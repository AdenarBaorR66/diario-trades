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B3" sheetId="2" state="visible" r:id="rId2"/>
    <sheet name="EUA" sheetId="3" state="visible" r:id="rId3"/>
    <sheet name="CRIPTO" sheetId="4" state="visible" r:id="rId4"/>
    <sheet name="Config" sheetId="5" state="visible" r:id="rId5"/>
    <sheet name="Setups" sheetId="6" state="visible" r:id="rId6"/>
  </sheets>
  <definedNames>
    <definedName name="_xlnm._FilterDatabase" localSheetId="1" hidden="1">'B3'!$A$1:$X$1001</definedName>
    <definedName name="_xlnm._FilterDatabase" localSheetId="2" hidden="1">'EUA'!$A$1:$X$1001</definedName>
    <definedName name="_xlnm._FilterDatabase" localSheetId="3" hidden="1">'CRIPTO'!$A$1:$X$1001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######"/>
    <numFmt numFmtId="166" formatCode="#,##0.########"/>
  </numFmts>
  <fonts count="5">
    <font>
      <name val="Calibri"/>
      <family val="2"/>
      <color theme="1"/>
      <sz val="11"/>
      <scheme val="minor"/>
    </font>
    <font>
      <b val="1"/>
      <color rgb="000D9488"/>
      <sz val="14"/>
    </font>
    <font>
      <color rgb="00000000"/>
      <sz val="11"/>
    </font>
    <font>
      <b val="1"/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9488"/>
      </patternFill>
    </fill>
    <fill>
      <patternFill patternType="solid">
        <fgColor rgb="0013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DIÁRIO DE TRADES</t>
        </is>
      </c>
    </row>
    <row r="2">
      <c r="A2" s="2" t="inlineStr"/>
    </row>
    <row r="3">
      <c r="A3" s="2" t="inlineStr">
        <is>
          <t>1. Lance cada trade numa linha da aba do mercado: B3, EUA ou CRIPTO.</t>
        </is>
      </c>
    </row>
    <row r="4">
      <c r="A4" s="2" t="inlineStr">
        <is>
          <t>2. Preencha só as colunas verdes (entrada, stop, alvo, estratégia, saídas, custos, observações).</t>
        </is>
      </c>
    </row>
    <row r="5">
      <c r="A5" s="2" t="inlineStr">
        <is>
          <t>3. As colunas escuras (Financeiro, Risco, Resultado, %, Dias, Status) são calculadas sozinhas. Não digite nelas.</t>
        </is>
      </c>
    </row>
    <row r="6">
      <c r="A6" s="2" t="inlineStr">
        <is>
          <t>4. Trade ainda aberto: deixe "Data Saída" e as saídas em branco. Ele aparece como posição aberta no dashboard.</t>
        </is>
      </c>
    </row>
    <row r="7">
      <c r="A7" s="2" t="inlineStr">
        <is>
          <t>5. Saídas parciais: use Saída 1, 2 e 3 (quantidade e preço). Uma saída só: preencha apenas a Saída 1.</t>
        </is>
      </c>
    </row>
    <row r="8">
      <c r="A8" s="2" t="inlineStr">
        <is>
          <t>6. Venda (vendido): escolha "Venda" na coluna Lado. O resultado é calculado com o sinal invertido.</t>
        </is>
      </c>
    </row>
    <row r="9">
      <c r="A9" s="2" t="inlineStr">
        <is>
          <t>7. Capital inicial, moeda e taxa livre de risco de cada mercado ficam na aba Config.</t>
        </is>
      </c>
    </row>
    <row r="10">
      <c r="A10" s="2" t="inlineStr">
        <is>
          <t>8. Novas estratégias: acrescente o nome na aba Setups; ele passa a aparecer na lista da coluna Estratégia.</t>
        </is>
      </c>
    </row>
    <row r="11">
      <c r="A11" s="2" t="inlineStr">
        <is>
          <t>9. Salve o arquivo no Google Drive e carregue-o no dashboard pelo botão "Carregar planilha".</t>
        </is>
      </c>
    </row>
    <row r="12">
      <c r="A12" s="2" t="inlineStr"/>
    </row>
    <row r="13">
      <c r="A13" s="3" t="inlineStr">
        <is>
          <t>Não renomeie as abas B3, EUA, CRIPTO e Config nem os títulos das colunas: o dashboard lê pelos nomes.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9" customWidth="1" min="4" max="4"/>
    <col width="11" customWidth="1" min="5" max="5"/>
    <col width="13" customWidth="1" min="6" max="6"/>
    <col width="10" customWidth="1" min="7" max="7"/>
    <col width="10" customWidth="1" min="8" max="8"/>
    <col width="20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3" customWidth="1" min="16" max="16"/>
    <col width="10" customWidth="1" min="17" max="17"/>
    <col width="36" customWidth="1" min="18" max="18"/>
    <col width="14" customWidth="1" min="19" max="19"/>
    <col width="12" customWidth="1" min="20" max="20"/>
    <col width="14" customWidth="1" min="21" max="21"/>
    <col width="12" customWidth="1" min="22" max="22"/>
    <col width="7" customWidth="1" min="23" max="23"/>
    <col width="10" customWidth="1" min="24" max="24"/>
  </cols>
  <sheetData>
    <row r="1" ht="32" customHeight="1">
      <c r="A1" s="4" t="inlineStr">
        <is>
          <t>Nº</t>
        </is>
      </c>
      <c r="B1" s="4" t="inlineStr">
        <is>
          <t>Ativo</t>
        </is>
      </c>
      <c r="C1" s="4" t="inlineStr">
        <is>
          <t>Data Entrada</t>
        </is>
      </c>
      <c r="D1" s="4" t="inlineStr">
        <is>
          <t>Lado</t>
        </is>
      </c>
      <c r="E1" s="4" t="inlineStr">
        <is>
          <t>Qtd Entrada</t>
        </is>
      </c>
      <c r="F1" s="4" t="inlineStr">
        <is>
          <t>Preço Entrada</t>
        </is>
      </c>
      <c r="G1" s="4" t="inlineStr">
        <is>
          <t>Stop</t>
        </is>
      </c>
      <c r="H1" s="4" t="inlineStr">
        <is>
          <t>Alvo</t>
        </is>
      </c>
      <c r="I1" s="4" t="inlineStr">
        <is>
          <t>Estratégia</t>
        </is>
      </c>
      <c r="J1" s="4" t="inlineStr">
        <is>
          <t>Qtd Saída 1</t>
        </is>
      </c>
      <c r="K1" s="4" t="inlineStr">
        <is>
          <t>Preço Saída 1</t>
        </is>
      </c>
      <c r="L1" s="4" t="inlineStr">
        <is>
          <t>Qtd Saída 2</t>
        </is>
      </c>
      <c r="M1" s="4" t="inlineStr">
        <is>
          <t>Preço Saída 2</t>
        </is>
      </c>
      <c r="N1" s="4" t="inlineStr">
        <is>
          <t>Qtd Saída 3</t>
        </is>
      </c>
      <c r="O1" s="4" t="inlineStr">
        <is>
          <t>Preço Saída 3</t>
        </is>
      </c>
      <c r="P1" s="4" t="inlineStr">
        <is>
          <t>Data Saída</t>
        </is>
      </c>
      <c r="Q1" s="4" t="inlineStr">
        <is>
          <t>Custos</t>
        </is>
      </c>
      <c r="R1" s="4" t="inlineStr">
        <is>
          <t>Observações</t>
        </is>
      </c>
      <c r="S1" s="5" t="inlineStr">
        <is>
          <t>Financeiro</t>
        </is>
      </c>
      <c r="T1" s="5" t="inlineStr">
        <is>
          <t>Risco</t>
        </is>
      </c>
      <c r="U1" s="5" t="inlineStr">
        <is>
          <t>Resultado</t>
        </is>
      </c>
      <c r="V1" s="5" t="inlineStr">
        <is>
          <t>Resultado %</t>
        </is>
      </c>
      <c r="W1" s="5" t="inlineStr">
        <is>
          <t>Dias</t>
        </is>
      </c>
      <c r="X1" s="5" t="inlineStr">
        <is>
          <t>Status</t>
        </is>
      </c>
    </row>
    <row r="2">
      <c r="C2" s="6" t="n"/>
      <c r="E2" s="7" t="n"/>
      <c r="F2" s="8" t="n"/>
      <c r="G2" s="8" t="n"/>
      <c r="H2" s="8" t="n"/>
      <c r="J2" s="7" t="n"/>
      <c r="K2" s="8" t="n"/>
      <c r="L2" s="7" t="n"/>
      <c r="M2" s="8" t="n"/>
      <c r="N2" s="7" t="n"/>
      <c r="O2" s="8" t="n"/>
      <c r="P2" s="6" t="n"/>
      <c r="Q2" s="8" t="n"/>
      <c r="S2" s="8">
        <f>IF(B2="","",E2*F2)</f>
        <v/>
      </c>
      <c r="T2" s="8">
        <f>IF(OR(B2="",N(G2)=0),"",ABS(F2-G2)*E2)</f>
        <v/>
      </c>
      <c r="U2" s="8">
        <f>IF(OR(B2="",P2=""),"",IF(D2="Venda",-1,1)*((N(J2)*N(K2)+N(L2)*N(M2)+N(N2)*N(O2))-(N(J2)+N(L2)+N(N2))*F2)-N(Q2))</f>
        <v/>
      </c>
      <c r="V2" s="9">
        <f>IF(OR(B2="",P2=""),"",U2/S2)</f>
        <v/>
      </c>
      <c r="W2">
        <f>IF(OR(B2="",P2=""),"",NETWORKDAYS(C2,P2)-1)</f>
        <v/>
      </c>
      <c r="X2">
        <f>IF(B2="","",IF(P2="","Aberto","Fechado"))</f>
        <v/>
      </c>
    </row>
    <row r="3">
      <c r="C3" s="6" t="n"/>
      <c r="E3" s="7" t="n"/>
      <c r="F3" s="8" t="n"/>
      <c r="G3" s="8" t="n"/>
      <c r="H3" s="8" t="n"/>
      <c r="J3" s="7" t="n"/>
      <c r="K3" s="8" t="n"/>
      <c r="L3" s="7" t="n"/>
      <c r="M3" s="8" t="n"/>
      <c r="N3" s="7" t="n"/>
      <c r="O3" s="8" t="n"/>
      <c r="P3" s="6" t="n"/>
      <c r="Q3" s="8" t="n"/>
      <c r="S3" s="8">
        <f>IF(B3="","",E3*F3)</f>
        <v/>
      </c>
      <c r="T3" s="8">
        <f>IF(OR(B3="",N(G3)=0),"",ABS(F3-G3)*E3)</f>
        <v/>
      </c>
      <c r="U3" s="8">
        <f>IF(OR(B3="",P3=""),"",IF(D3="Venda",-1,1)*((N(J3)*N(K3)+N(L3)*N(M3)+N(N3)*N(O3))-(N(J3)+N(L3)+N(N3))*F3)-N(Q3))</f>
        <v/>
      </c>
      <c r="V3" s="9">
        <f>IF(OR(B3="",P3=""),"",U3/S3)</f>
        <v/>
      </c>
      <c r="W3">
        <f>IF(OR(B3="",P3=""),"",NETWORKDAYS(C3,P3)-1)</f>
        <v/>
      </c>
      <c r="X3">
        <f>IF(B3="","",IF(P3="","Aberto","Fechado"))</f>
        <v/>
      </c>
    </row>
    <row r="4">
      <c r="C4" s="6" t="n"/>
      <c r="E4" s="7" t="n"/>
      <c r="F4" s="8" t="n"/>
      <c r="G4" s="8" t="n"/>
      <c r="H4" s="8" t="n"/>
      <c r="J4" s="7" t="n"/>
      <c r="K4" s="8" t="n"/>
      <c r="L4" s="7" t="n"/>
      <c r="M4" s="8" t="n"/>
      <c r="N4" s="7" t="n"/>
      <c r="O4" s="8" t="n"/>
      <c r="P4" s="6" t="n"/>
      <c r="Q4" s="8" t="n"/>
      <c r="S4" s="8">
        <f>IF(B4="","",E4*F4)</f>
        <v/>
      </c>
      <c r="T4" s="8">
        <f>IF(OR(B4="",N(G4)=0),"",ABS(F4-G4)*E4)</f>
        <v/>
      </c>
      <c r="U4" s="8">
        <f>IF(OR(B4="",P4=""),"",IF(D4="Venda",-1,1)*((N(J4)*N(K4)+N(L4)*N(M4)+N(N4)*N(O4))-(N(J4)+N(L4)+N(N4))*F4)-N(Q4))</f>
        <v/>
      </c>
      <c r="V4" s="9">
        <f>IF(OR(B4="",P4=""),"",U4/S4)</f>
        <v/>
      </c>
      <c r="W4">
        <f>IF(OR(B4="",P4=""),"",NETWORKDAYS(C4,P4)-1)</f>
        <v/>
      </c>
      <c r="X4">
        <f>IF(B4="","",IF(P4="","Aberto","Fechado"))</f>
        <v/>
      </c>
    </row>
    <row r="5">
      <c r="C5" s="6" t="n"/>
      <c r="E5" s="7" t="n"/>
      <c r="F5" s="8" t="n"/>
      <c r="G5" s="8" t="n"/>
      <c r="H5" s="8" t="n"/>
      <c r="J5" s="7" t="n"/>
      <c r="K5" s="8" t="n"/>
      <c r="L5" s="7" t="n"/>
      <c r="M5" s="8" t="n"/>
      <c r="N5" s="7" t="n"/>
      <c r="O5" s="8" t="n"/>
      <c r="P5" s="6" t="n"/>
      <c r="Q5" s="8" t="n"/>
      <c r="S5" s="8">
        <f>IF(B5="","",E5*F5)</f>
        <v/>
      </c>
      <c r="T5" s="8">
        <f>IF(OR(B5="",N(G5)=0),"",ABS(F5-G5)*E5)</f>
        <v/>
      </c>
      <c r="U5" s="8">
        <f>IF(OR(B5="",P5=""),"",IF(D5="Venda",-1,1)*((N(J5)*N(K5)+N(L5)*N(M5)+N(N5)*N(O5))-(N(J5)+N(L5)+N(N5))*F5)-N(Q5))</f>
        <v/>
      </c>
      <c r="V5" s="9">
        <f>IF(OR(B5="",P5=""),"",U5/S5)</f>
        <v/>
      </c>
      <c r="W5">
        <f>IF(OR(B5="",P5=""),"",NETWORKDAYS(C5,P5)-1)</f>
        <v/>
      </c>
      <c r="X5">
        <f>IF(B5="","",IF(P5="","Aberto","Fechado"))</f>
        <v/>
      </c>
    </row>
    <row r="6">
      <c r="C6" s="6" t="n"/>
      <c r="E6" s="7" t="n"/>
      <c r="F6" s="8" t="n"/>
      <c r="G6" s="8" t="n"/>
      <c r="H6" s="8" t="n"/>
      <c r="J6" s="7" t="n"/>
      <c r="K6" s="8" t="n"/>
      <c r="L6" s="7" t="n"/>
      <c r="M6" s="8" t="n"/>
      <c r="N6" s="7" t="n"/>
      <c r="O6" s="8" t="n"/>
      <c r="P6" s="6" t="n"/>
      <c r="Q6" s="8" t="n"/>
      <c r="S6" s="8">
        <f>IF(B6="","",E6*F6)</f>
        <v/>
      </c>
      <c r="T6" s="8">
        <f>IF(OR(B6="",N(G6)=0),"",ABS(F6-G6)*E6)</f>
        <v/>
      </c>
      <c r="U6" s="8">
        <f>IF(OR(B6="",P6=""),"",IF(D6="Venda",-1,1)*((N(J6)*N(K6)+N(L6)*N(M6)+N(N6)*N(O6))-(N(J6)+N(L6)+N(N6))*F6)-N(Q6))</f>
        <v/>
      </c>
      <c r="V6" s="9">
        <f>IF(OR(B6="",P6=""),"",U6/S6)</f>
        <v/>
      </c>
      <c r="W6">
        <f>IF(OR(B6="",P6=""),"",NETWORKDAYS(C6,P6)-1)</f>
        <v/>
      </c>
      <c r="X6">
        <f>IF(B6="","",IF(P6="","Aberto","Fechado"))</f>
        <v/>
      </c>
    </row>
    <row r="7">
      <c r="C7" s="6" t="n"/>
      <c r="E7" s="7" t="n"/>
      <c r="F7" s="8" t="n"/>
      <c r="G7" s="8" t="n"/>
      <c r="H7" s="8" t="n"/>
      <c r="J7" s="7" t="n"/>
      <c r="K7" s="8" t="n"/>
      <c r="L7" s="7" t="n"/>
      <c r="M7" s="8" t="n"/>
      <c r="N7" s="7" t="n"/>
      <c r="O7" s="8" t="n"/>
      <c r="P7" s="6" t="n"/>
      <c r="Q7" s="8" t="n"/>
      <c r="S7" s="8">
        <f>IF(B7="","",E7*F7)</f>
        <v/>
      </c>
      <c r="T7" s="8">
        <f>IF(OR(B7="",N(G7)=0),"",ABS(F7-G7)*E7)</f>
        <v/>
      </c>
      <c r="U7" s="8">
        <f>IF(OR(B7="",P7=""),"",IF(D7="Venda",-1,1)*((N(J7)*N(K7)+N(L7)*N(M7)+N(N7)*N(O7))-(N(J7)+N(L7)+N(N7))*F7)-N(Q7))</f>
        <v/>
      </c>
      <c r="V7" s="9">
        <f>IF(OR(B7="",P7=""),"",U7/S7)</f>
        <v/>
      </c>
      <c r="W7">
        <f>IF(OR(B7="",P7=""),"",NETWORKDAYS(C7,P7)-1)</f>
        <v/>
      </c>
      <c r="X7">
        <f>IF(B7="","",IF(P7="","Aberto","Fechado"))</f>
        <v/>
      </c>
    </row>
    <row r="8">
      <c r="C8" s="6" t="n"/>
      <c r="E8" s="7" t="n"/>
      <c r="F8" s="8" t="n"/>
      <c r="G8" s="8" t="n"/>
      <c r="H8" s="8" t="n"/>
      <c r="J8" s="7" t="n"/>
      <c r="K8" s="8" t="n"/>
      <c r="L8" s="7" t="n"/>
      <c r="M8" s="8" t="n"/>
      <c r="N8" s="7" t="n"/>
      <c r="O8" s="8" t="n"/>
      <c r="P8" s="6" t="n"/>
      <c r="Q8" s="8" t="n"/>
      <c r="S8" s="8">
        <f>IF(B8="","",E8*F8)</f>
        <v/>
      </c>
      <c r="T8" s="8">
        <f>IF(OR(B8="",N(G8)=0),"",ABS(F8-G8)*E8)</f>
        <v/>
      </c>
      <c r="U8" s="8">
        <f>IF(OR(B8="",P8=""),"",IF(D8="Venda",-1,1)*((N(J8)*N(K8)+N(L8)*N(M8)+N(N8)*N(O8))-(N(J8)+N(L8)+N(N8))*F8)-N(Q8))</f>
        <v/>
      </c>
      <c r="V8" s="9">
        <f>IF(OR(B8="",P8=""),"",U8/S8)</f>
        <v/>
      </c>
      <c r="W8">
        <f>IF(OR(B8="",P8=""),"",NETWORKDAYS(C8,P8)-1)</f>
        <v/>
      </c>
      <c r="X8">
        <f>IF(B8="","",IF(P8="","Aberto","Fechado"))</f>
        <v/>
      </c>
    </row>
    <row r="9">
      <c r="C9" s="6" t="n"/>
      <c r="E9" s="7" t="n"/>
      <c r="F9" s="8" t="n"/>
      <c r="G9" s="8" t="n"/>
      <c r="H9" s="8" t="n"/>
      <c r="J9" s="7" t="n"/>
      <c r="K9" s="8" t="n"/>
      <c r="L9" s="7" t="n"/>
      <c r="M9" s="8" t="n"/>
      <c r="N9" s="7" t="n"/>
      <c r="O9" s="8" t="n"/>
      <c r="P9" s="6" t="n"/>
      <c r="Q9" s="8" t="n"/>
      <c r="S9" s="8">
        <f>IF(B9="","",E9*F9)</f>
        <v/>
      </c>
      <c r="T9" s="8">
        <f>IF(OR(B9="",N(G9)=0),"",ABS(F9-G9)*E9)</f>
        <v/>
      </c>
      <c r="U9" s="8">
        <f>IF(OR(B9="",P9=""),"",IF(D9="Venda",-1,1)*((N(J9)*N(K9)+N(L9)*N(M9)+N(N9)*N(O9))-(N(J9)+N(L9)+N(N9))*F9)-N(Q9))</f>
        <v/>
      </c>
      <c r="V9" s="9">
        <f>IF(OR(B9="",P9=""),"",U9/S9)</f>
        <v/>
      </c>
      <c r="W9">
        <f>IF(OR(B9="",P9=""),"",NETWORKDAYS(C9,P9)-1)</f>
        <v/>
      </c>
      <c r="X9">
        <f>IF(B9="","",IF(P9="","Aberto","Fechado"))</f>
        <v/>
      </c>
    </row>
    <row r="10">
      <c r="C10" s="6" t="n"/>
      <c r="E10" s="7" t="n"/>
      <c r="F10" s="8" t="n"/>
      <c r="G10" s="8" t="n"/>
      <c r="H10" s="8" t="n"/>
      <c r="J10" s="7" t="n"/>
      <c r="K10" s="8" t="n"/>
      <c r="L10" s="7" t="n"/>
      <c r="M10" s="8" t="n"/>
      <c r="N10" s="7" t="n"/>
      <c r="O10" s="8" t="n"/>
      <c r="P10" s="6" t="n"/>
      <c r="Q10" s="8" t="n"/>
      <c r="S10" s="8">
        <f>IF(B10="","",E10*F10)</f>
        <v/>
      </c>
      <c r="T10" s="8">
        <f>IF(OR(B10="",N(G10)=0),"",ABS(F10-G10)*E10)</f>
        <v/>
      </c>
      <c r="U10" s="8">
        <f>IF(OR(B10="",P10=""),"",IF(D10="Venda",-1,1)*((N(J10)*N(K10)+N(L10)*N(M10)+N(N10)*N(O10))-(N(J10)+N(L10)+N(N10))*F10)-N(Q10))</f>
        <v/>
      </c>
      <c r="V10" s="9">
        <f>IF(OR(B10="",P10=""),"",U10/S10)</f>
        <v/>
      </c>
      <c r="W10">
        <f>IF(OR(B10="",P10=""),"",NETWORKDAYS(C10,P10)-1)</f>
        <v/>
      </c>
      <c r="X10">
        <f>IF(B10="","",IF(P10="","Aberto","Fechado"))</f>
        <v/>
      </c>
    </row>
    <row r="11">
      <c r="C11" s="6" t="n"/>
      <c r="E11" s="7" t="n"/>
      <c r="F11" s="8" t="n"/>
      <c r="G11" s="8" t="n"/>
      <c r="H11" s="8" t="n"/>
      <c r="J11" s="7" t="n"/>
      <c r="K11" s="8" t="n"/>
      <c r="L11" s="7" t="n"/>
      <c r="M11" s="8" t="n"/>
      <c r="N11" s="7" t="n"/>
      <c r="O11" s="8" t="n"/>
      <c r="P11" s="6" t="n"/>
      <c r="Q11" s="8" t="n"/>
      <c r="S11" s="8">
        <f>IF(B11="","",E11*F11)</f>
        <v/>
      </c>
      <c r="T11" s="8">
        <f>IF(OR(B11="",N(G11)=0),"",ABS(F11-G11)*E11)</f>
        <v/>
      </c>
      <c r="U11" s="8">
        <f>IF(OR(B11="",P11=""),"",IF(D11="Venda",-1,1)*((N(J11)*N(K11)+N(L11)*N(M11)+N(N11)*N(O11))-(N(J11)+N(L11)+N(N11))*F11)-N(Q11))</f>
        <v/>
      </c>
      <c r="V11" s="9">
        <f>IF(OR(B11="",P11=""),"",U11/S11)</f>
        <v/>
      </c>
      <c r="W11">
        <f>IF(OR(B11="",P11=""),"",NETWORKDAYS(C11,P11)-1)</f>
        <v/>
      </c>
      <c r="X11">
        <f>IF(B11="","",IF(P11="","Aberto","Fechado"))</f>
        <v/>
      </c>
    </row>
    <row r="12">
      <c r="C12" s="6" t="n"/>
      <c r="E12" s="7" t="n"/>
      <c r="F12" s="8" t="n"/>
      <c r="G12" s="8" t="n"/>
      <c r="H12" s="8" t="n"/>
      <c r="J12" s="7" t="n"/>
      <c r="K12" s="8" t="n"/>
      <c r="L12" s="7" t="n"/>
      <c r="M12" s="8" t="n"/>
      <c r="N12" s="7" t="n"/>
      <c r="O12" s="8" t="n"/>
      <c r="P12" s="6" t="n"/>
      <c r="Q12" s="8" t="n"/>
      <c r="S12" s="8">
        <f>IF(B12="","",E12*F12)</f>
        <v/>
      </c>
      <c r="T12" s="8">
        <f>IF(OR(B12="",N(G12)=0),"",ABS(F12-G12)*E12)</f>
        <v/>
      </c>
      <c r="U12" s="8">
        <f>IF(OR(B12="",P12=""),"",IF(D12="Venda",-1,1)*((N(J12)*N(K12)+N(L12)*N(M12)+N(N12)*N(O12))-(N(J12)+N(L12)+N(N12))*F12)-N(Q12))</f>
        <v/>
      </c>
      <c r="V12" s="9">
        <f>IF(OR(B12="",P12=""),"",U12/S12)</f>
        <v/>
      </c>
      <c r="W12">
        <f>IF(OR(B12="",P12=""),"",NETWORKDAYS(C12,P12)-1)</f>
        <v/>
      </c>
      <c r="X12">
        <f>IF(B12="","",IF(P12="","Aberto","Fechado"))</f>
        <v/>
      </c>
    </row>
    <row r="13">
      <c r="C13" s="6" t="n"/>
      <c r="E13" s="7" t="n"/>
      <c r="F13" s="8" t="n"/>
      <c r="G13" s="8" t="n"/>
      <c r="H13" s="8" t="n"/>
      <c r="J13" s="7" t="n"/>
      <c r="K13" s="8" t="n"/>
      <c r="L13" s="7" t="n"/>
      <c r="M13" s="8" t="n"/>
      <c r="N13" s="7" t="n"/>
      <c r="O13" s="8" t="n"/>
      <c r="P13" s="6" t="n"/>
      <c r="Q13" s="8" t="n"/>
      <c r="S13" s="8">
        <f>IF(B13="","",E13*F13)</f>
        <v/>
      </c>
      <c r="T13" s="8">
        <f>IF(OR(B13="",N(G13)=0),"",ABS(F13-G13)*E13)</f>
        <v/>
      </c>
      <c r="U13" s="8">
        <f>IF(OR(B13="",P13=""),"",IF(D13="Venda",-1,1)*((N(J13)*N(K13)+N(L13)*N(M13)+N(N13)*N(O13))-(N(J13)+N(L13)+N(N13))*F13)-N(Q13))</f>
        <v/>
      </c>
      <c r="V13" s="9">
        <f>IF(OR(B13="",P13=""),"",U13/S13)</f>
        <v/>
      </c>
      <c r="W13">
        <f>IF(OR(B13="",P13=""),"",NETWORKDAYS(C13,P13)-1)</f>
        <v/>
      </c>
      <c r="X13">
        <f>IF(B13="","",IF(P13="","Aberto","Fechado"))</f>
        <v/>
      </c>
    </row>
    <row r="14">
      <c r="C14" s="6" t="n"/>
      <c r="E14" s="7" t="n"/>
      <c r="F14" s="8" t="n"/>
      <c r="G14" s="8" t="n"/>
      <c r="H14" s="8" t="n"/>
      <c r="J14" s="7" t="n"/>
      <c r="K14" s="8" t="n"/>
      <c r="L14" s="7" t="n"/>
      <c r="M14" s="8" t="n"/>
      <c r="N14" s="7" t="n"/>
      <c r="O14" s="8" t="n"/>
      <c r="P14" s="6" t="n"/>
      <c r="Q14" s="8" t="n"/>
      <c r="S14" s="8">
        <f>IF(B14="","",E14*F14)</f>
        <v/>
      </c>
      <c r="T14" s="8">
        <f>IF(OR(B14="",N(G14)=0),"",ABS(F14-G14)*E14)</f>
        <v/>
      </c>
      <c r="U14" s="8">
        <f>IF(OR(B14="",P14=""),"",IF(D14="Venda",-1,1)*((N(J14)*N(K14)+N(L14)*N(M14)+N(N14)*N(O14))-(N(J14)+N(L14)+N(N14))*F14)-N(Q14))</f>
        <v/>
      </c>
      <c r="V14" s="9">
        <f>IF(OR(B14="",P14=""),"",U14/S14)</f>
        <v/>
      </c>
      <c r="W14">
        <f>IF(OR(B14="",P14=""),"",NETWORKDAYS(C14,P14)-1)</f>
        <v/>
      </c>
      <c r="X14">
        <f>IF(B14="","",IF(P14="","Aberto","Fechado"))</f>
        <v/>
      </c>
    </row>
    <row r="15">
      <c r="C15" s="6" t="n"/>
      <c r="E15" s="7" t="n"/>
      <c r="F15" s="8" t="n"/>
      <c r="G15" s="8" t="n"/>
      <c r="H15" s="8" t="n"/>
      <c r="J15" s="7" t="n"/>
      <c r="K15" s="8" t="n"/>
      <c r="L15" s="7" t="n"/>
      <c r="M15" s="8" t="n"/>
      <c r="N15" s="7" t="n"/>
      <c r="O15" s="8" t="n"/>
      <c r="P15" s="6" t="n"/>
      <c r="Q15" s="8" t="n"/>
      <c r="S15" s="8">
        <f>IF(B15="","",E15*F15)</f>
        <v/>
      </c>
      <c r="T15" s="8">
        <f>IF(OR(B15="",N(G15)=0),"",ABS(F15-G15)*E15)</f>
        <v/>
      </c>
      <c r="U15" s="8">
        <f>IF(OR(B15="",P15=""),"",IF(D15="Venda",-1,1)*((N(J15)*N(K15)+N(L15)*N(M15)+N(N15)*N(O15))-(N(J15)+N(L15)+N(N15))*F15)-N(Q15))</f>
        <v/>
      </c>
      <c r="V15" s="9">
        <f>IF(OR(B15="",P15=""),"",U15/S15)</f>
        <v/>
      </c>
      <c r="W15">
        <f>IF(OR(B15="",P15=""),"",NETWORKDAYS(C15,P15)-1)</f>
        <v/>
      </c>
      <c r="X15">
        <f>IF(B15="","",IF(P15="","Aberto","Fechado"))</f>
        <v/>
      </c>
    </row>
    <row r="16">
      <c r="C16" s="6" t="n"/>
      <c r="E16" s="7" t="n"/>
      <c r="F16" s="8" t="n"/>
      <c r="G16" s="8" t="n"/>
      <c r="H16" s="8" t="n"/>
      <c r="J16" s="7" t="n"/>
      <c r="K16" s="8" t="n"/>
      <c r="L16" s="7" t="n"/>
      <c r="M16" s="8" t="n"/>
      <c r="N16" s="7" t="n"/>
      <c r="O16" s="8" t="n"/>
      <c r="P16" s="6" t="n"/>
      <c r="Q16" s="8" t="n"/>
      <c r="S16" s="8">
        <f>IF(B16="","",E16*F16)</f>
        <v/>
      </c>
      <c r="T16" s="8">
        <f>IF(OR(B16="",N(G16)=0),"",ABS(F16-G16)*E16)</f>
        <v/>
      </c>
      <c r="U16" s="8">
        <f>IF(OR(B16="",P16=""),"",IF(D16="Venda",-1,1)*((N(J16)*N(K16)+N(L16)*N(M16)+N(N16)*N(O16))-(N(J16)+N(L16)+N(N16))*F16)-N(Q16))</f>
        <v/>
      </c>
      <c r="V16" s="9">
        <f>IF(OR(B16="",P16=""),"",U16/S16)</f>
        <v/>
      </c>
      <c r="W16">
        <f>IF(OR(B16="",P16=""),"",NETWORKDAYS(C16,P16)-1)</f>
        <v/>
      </c>
      <c r="X16">
        <f>IF(B16="","",IF(P16="","Aberto","Fechado"))</f>
        <v/>
      </c>
    </row>
    <row r="17">
      <c r="C17" s="6" t="n"/>
      <c r="E17" s="7" t="n"/>
      <c r="F17" s="8" t="n"/>
      <c r="G17" s="8" t="n"/>
      <c r="H17" s="8" t="n"/>
      <c r="J17" s="7" t="n"/>
      <c r="K17" s="8" t="n"/>
      <c r="L17" s="7" t="n"/>
      <c r="M17" s="8" t="n"/>
      <c r="N17" s="7" t="n"/>
      <c r="O17" s="8" t="n"/>
      <c r="P17" s="6" t="n"/>
      <c r="Q17" s="8" t="n"/>
      <c r="S17" s="8">
        <f>IF(B17="","",E17*F17)</f>
        <v/>
      </c>
      <c r="T17" s="8">
        <f>IF(OR(B17="",N(G17)=0),"",ABS(F17-G17)*E17)</f>
        <v/>
      </c>
      <c r="U17" s="8">
        <f>IF(OR(B17="",P17=""),"",IF(D17="Venda",-1,1)*((N(J17)*N(K17)+N(L17)*N(M17)+N(N17)*N(O17))-(N(J17)+N(L17)+N(N17))*F17)-N(Q17))</f>
        <v/>
      </c>
      <c r="V17" s="9">
        <f>IF(OR(B17="",P17=""),"",U17/S17)</f>
        <v/>
      </c>
      <c r="W17">
        <f>IF(OR(B17="",P17=""),"",NETWORKDAYS(C17,P17)-1)</f>
        <v/>
      </c>
      <c r="X17">
        <f>IF(B17="","",IF(P17="","Aberto","Fechado"))</f>
        <v/>
      </c>
    </row>
    <row r="18">
      <c r="C18" s="6" t="n"/>
      <c r="E18" s="7" t="n"/>
      <c r="F18" s="8" t="n"/>
      <c r="G18" s="8" t="n"/>
      <c r="H18" s="8" t="n"/>
      <c r="J18" s="7" t="n"/>
      <c r="K18" s="8" t="n"/>
      <c r="L18" s="7" t="n"/>
      <c r="M18" s="8" t="n"/>
      <c r="N18" s="7" t="n"/>
      <c r="O18" s="8" t="n"/>
      <c r="P18" s="6" t="n"/>
      <c r="Q18" s="8" t="n"/>
      <c r="S18" s="8">
        <f>IF(B18="","",E18*F18)</f>
        <v/>
      </c>
      <c r="T18" s="8">
        <f>IF(OR(B18="",N(G18)=0),"",ABS(F18-G18)*E18)</f>
        <v/>
      </c>
      <c r="U18" s="8">
        <f>IF(OR(B18="",P18=""),"",IF(D18="Venda",-1,1)*((N(J18)*N(K18)+N(L18)*N(M18)+N(N18)*N(O18))-(N(J18)+N(L18)+N(N18))*F18)-N(Q18))</f>
        <v/>
      </c>
      <c r="V18" s="9">
        <f>IF(OR(B18="",P18=""),"",U18/S18)</f>
        <v/>
      </c>
      <c r="W18">
        <f>IF(OR(B18="",P18=""),"",NETWORKDAYS(C18,P18)-1)</f>
        <v/>
      </c>
      <c r="X18">
        <f>IF(B18="","",IF(P18="","Aberto","Fechado"))</f>
        <v/>
      </c>
    </row>
    <row r="19">
      <c r="C19" s="6" t="n"/>
      <c r="E19" s="7" t="n"/>
      <c r="F19" s="8" t="n"/>
      <c r="G19" s="8" t="n"/>
      <c r="H19" s="8" t="n"/>
      <c r="J19" s="7" t="n"/>
      <c r="K19" s="8" t="n"/>
      <c r="L19" s="7" t="n"/>
      <c r="M19" s="8" t="n"/>
      <c r="N19" s="7" t="n"/>
      <c r="O19" s="8" t="n"/>
      <c r="P19" s="6" t="n"/>
      <c r="Q19" s="8" t="n"/>
      <c r="S19" s="8">
        <f>IF(B19="","",E19*F19)</f>
        <v/>
      </c>
      <c r="T19" s="8">
        <f>IF(OR(B19="",N(G19)=0),"",ABS(F19-G19)*E19)</f>
        <v/>
      </c>
      <c r="U19" s="8">
        <f>IF(OR(B19="",P19=""),"",IF(D19="Venda",-1,1)*((N(J19)*N(K19)+N(L19)*N(M19)+N(N19)*N(O19))-(N(J19)+N(L19)+N(N19))*F19)-N(Q19))</f>
        <v/>
      </c>
      <c r="V19" s="9">
        <f>IF(OR(B19="",P19=""),"",U19/S19)</f>
        <v/>
      </c>
      <c r="W19">
        <f>IF(OR(B19="",P19=""),"",NETWORKDAYS(C19,P19)-1)</f>
        <v/>
      </c>
      <c r="X19">
        <f>IF(B19="","",IF(P19="","Aberto","Fechado"))</f>
        <v/>
      </c>
    </row>
    <row r="20">
      <c r="C20" s="6" t="n"/>
      <c r="E20" s="7" t="n"/>
      <c r="F20" s="8" t="n"/>
      <c r="G20" s="8" t="n"/>
      <c r="H20" s="8" t="n"/>
      <c r="J20" s="7" t="n"/>
      <c r="K20" s="8" t="n"/>
      <c r="L20" s="7" t="n"/>
      <c r="M20" s="8" t="n"/>
      <c r="N20" s="7" t="n"/>
      <c r="O20" s="8" t="n"/>
      <c r="P20" s="6" t="n"/>
      <c r="Q20" s="8" t="n"/>
      <c r="S20" s="8">
        <f>IF(B20="","",E20*F20)</f>
        <v/>
      </c>
      <c r="T20" s="8">
        <f>IF(OR(B20="",N(G20)=0),"",ABS(F20-G20)*E20)</f>
        <v/>
      </c>
      <c r="U20" s="8">
        <f>IF(OR(B20="",P20=""),"",IF(D20="Venda",-1,1)*((N(J20)*N(K20)+N(L20)*N(M20)+N(N20)*N(O20))-(N(J20)+N(L20)+N(N20))*F20)-N(Q20))</f>
        <v/>
      </c>
      <c r="V20" s="9">
        <f>IF(OR(B20="",P20=""),"",U20/S20)</f>
        <v/>
      </c>
      <c r="W20">
        <f>IF(OR(B20="",P20=""),"",NETWORKDAYS(C20,P20)-1)</f>
        <v/>
      </c>
      <c r="X20">
        <f>IF(B20="","",IF(P20="","Aberto","Fechado"))</f>
        <v/>
      </c>
    </row>
    <row r="21">
      <c r="C21" s="6" t="n"/>
      <c r="E21" s="7" t="n"/>
      <c r="F21" s="8" t="n"/>
      <c r="G21" s="8" t="n"/>
      <c r="H21" s="8" t="n"/>
      <c r="J21" s="7" t="n"/>
      <c r="K21" s="8" t="n"/>
      <c r="L21" s="7" t="n"/>
      <c r="M21" s="8" t="n"/>
      <c r="N21" s="7" t="n"/>
      <c r="O21" s="8" t="n"/>
      <c r="P21" s="6" t="n"/>
      <c r="Q21" s="8" t="n"/>
      <c r="S21" s="8">
        <f>IF(B21="","",E21*F21)</f>
        <v/>
      </c>
      <c r="T21" s="8">
        <f>IF(OR(B21="",N(G21)=0),"",ABS(F21-G21)*E21)</f>
        <v/>
      </c>
      <c r="U21" s="8">
        <f>IF(OR(B21="",P21=""),"",IF(D21="Venda",-1,1)*((N(J21)*N(K21)+N(L21)*N(M21)+N(N21)*N(O21))-(N(J21)+N(L21)+N(N21))*F21)-N(Q21))</f>
        <v/>
      </c>
      <c r="V21" s="9">
        <f>IF(OR(B21="",P21=""),"",U21/S21)</f>
        <v/>
      </c>
      <c r="W21">
        <f>IF(OR(B21="",P21=""),"",NETWORKDAYS(C21,P21)-1)</f>
        <v/>
      </c>
      <c r="X21">
        <f>IF(B21="","",IF(P21="","Aberto","Fechado"))</f>
        <v/>
      </c>
    </row>
    <row r="22">
      <c r="C22" s="6" t="n"/>
      <c r="E22" s="7" t="n"/>
      <c r="F22" s="8" t="n"/>
      <c r="G22" s="8" t="n"/>
      <c r="H22" s="8" t="n"/>
      <c r="J22" s="7" t="n"/>
      <c r="K22" s="8" t="n"/>
      <c r="L22" s="7" t="n"/>
      <c r="M22" s="8" t="n"/>
      <c r="N22" s="7" t="n"/>
      <c r="O22" s="8" t="n"/>
      <c r="P22" s="6" t="n"/>
      <c r="Q22" s="8" t="n"/>
      <c r="S22" s="8">
        <f>IF(B22="","",E22*F22)</f>
        <v/>
      </c>
      <c r="T22" s="8">
        <f>IF(OR(B22="",N(G22)=0),"",ABS(F22-G22)*E22)</f>
        <v/>
      </c>
      <c r="U22" s="8">
        <f>IF(OR(B22="",P22=""),"",IF(D22="Venda",-1,1)*((N(J22)*N(K22)+N(L22)*N(M22)+N(N22)*N(O22))-(N(J22)+N(L22)+N(N22))*F22)-N(Q22))</f>
        <v/>
      </c>
      <c r="V22" s="9">
        <f>IF(OR(B22="",P22=""),"",U22/S22)</f>
        <v/>
      </c>
      <c r="W22">
        <f>IF(OR(B22="",P22=""),"",NETWORKDAYS(C22,P22)-1)</f>
        <v/>
      </c>
      <c r="X22">
        <f>IF(B22="","",IF(P22="","Aberto","Fechado"))</f>
        <v/>
      </c>
    </row>
    <row r="23">
      <c r="C23" s="6" t="n"/>
      <c r="E23" s="7" t="n"/>
      <c r="F23" s="8" t="n"/>
      <c r="G23" s="8" t="n"/>
      <c r="H23" s="8" t="n"/>
      <c r="J23" s="7" t="n"/>
      <c r="K23" s="8" t="n"/>
      <c r="L23" s="7" t="n"/>
      <c r="M23" s="8" t="n"/>
      <c r="N23" s="7" t="n"/>
      <c r="O23" s="8" t="n"/>
      <c r="P23" s="6" t="n"/>
      <c r="Q23" s="8" t="n"/>
      <c r="S23" s="8">
        <f>IF(B23="","",E23*F23)</f>
        <v/>
      </c>
      <c r="T23" s="8">
        <f>IF(OR(B23="",N(G23)=0),"",ABS(F23-G23)*E23)</f>
        <v/>
      </c>
      <c r="U23" s="8">
        <f>IF(OR(B23="",P23=""),"",IF(D23="Venda",-1,1)*((N(J23)*N(K23)+N(L23)*N(M23)+N(N23)*N(O23))-(N(J23)+N(L23)+N(N23))*F23)-N(Q23))</f>
        <v/>
      </c>
      <c r="V23" s="9">
        <f>IF(OR(B23="",P23=""),"",U23/S23)</f>
        <v/>
      </c>
      <c r="W23">
        <f>IF(OR(B23="",P23=""),"",NETWORKDAYS(C23,P23)-1)</f>
        <v/>
      </c>
      <c r="X23">
        <f>IF(B23="","",IF(P23="","Aberto","Fechado"))</f>
        <v/>
      </c>
    </row>
    <row r="24">
      <c r="C24" s="6" t="n"/>
      <c r="E24" s="7" t="n"/>
      <c r="F24" s="8" t="n"/>
      <c r="G24" s="8" t="n"/>
      <c r="H24" s="8" t="n"/>
      <c r="J24" s="7" t="n"/>
      <c r="K24" s="8" t="n"/>
      <c r="L24" s="7" t="n"/>
      <c r="M24" s="8" t="n"/>
      <c r="N24" s="7" t="n"/>
      <c r="O24" s="8" t="n"/>
      <c r="P24" s="6" t="n"/>
      <c r="Q24" s="8" t="n"/>
      <c r="S24" s="8">
        <f>IF(B24="","",E24*F24)</f>
        <v/>
      </c>
      <c r="T24" s="8">
        <f>IF(OR(B24="",N(G24)=0),"",ABS(F24-G24)*E24)</f>
        <v/>
      </c>
      <c r="U24" s="8">
        <f>IF(OR(B24="",P24=""),"",IF(D24="Venda",-1,1)*((N(J24)*N(K24)+N(L24)*N(M24)+N(N24)*N(O24))-(N(J24)+N(L24)+N(N24))*F24)-N(Q24))</f>
        <v/>
      </c>
      <c r="V24" s="9">
        <f>IF(OR(B24="",P24=""),"",U24/S24)</f>
        <v/>
      </c>
      <c r="W24">
        <f>IF(OR(B24="",P24=""),"",NETWORKDAYS(C24,P24)-1)</f>
        <v/>
      </c>
      <c r="X24">
        <f>IF(B24="","",IF(P24="","Aberto","Fechado"))</f>
        <v/>
      </c>
    </row>
    <row r="25">
      <c r="C25" s="6" t="n"/>
      <c r="E25" s="7" t="n"/>
      <c r="F25" s="8" t="n"/>
      <c r="G25" s="8" t="n"/>
      <c r="H25" s="8" t="n"/>
      <c r="J25" s="7" t="n"/>
      <c r="K25" s="8" t="n"/>
      <c r="L25" s="7" t="n"/>
      <c r="M25" s="8" t="n"/>
      <c r="N25" s="7" t="n"/>
      <c r="O25" s="8" t="n"/>
      <c r="P25" s="6" t="n"/>
      <c r="Q25" s="8" t="n"/>
      <c r="S25" s="8">
        <f>IF(B25="","",E25*F25)</f>
        <v/>
      </c>
      <c r="T25" s="8">
        <f>IF(OR(B25="",N(G25)=0),"",ABS(F25-G25)*E25)</f>
        <v/>
      </c>
      <c r="U25" s="8">
        <f>IF(OR(B25="",P25=""),"",IF(D25="Venda",-1,1)*((N(J25)*N(K25)+N(L25)*N(M25)+N(N25)*N(O25))-(N(J25)+N(L25)+N(N25))*F25)-N(Q25))</f>
        <v/>
      </c>
      <c r="V25" s="9">
        <f>IF(OR(B25="",P25=""),"",U25/S25)</f>
        <v/>
      </c>
      <c r="W25">
        <f>IF(OR(B25="",P25=""),"",NETWORKDAYS(C25,P25)-1)</f>
        <v/>
      </c>
      <c r="X25">
        <f>IF(B25="","",IF(P25="","Aberto","Fechado"))</f>
        <v/>
      </c>
    </row>
    <row r="26">
      <c r="C26" s="6" t="n"/>
      <c r="E26" s="7" t="n"/>
      <c r="F26" s="8" t="n"/>
      <c r="G26" s="8" t="n"/>
      <c r="H26" s="8" t="n"/>
      <c r="J26" s="7" t="n"/>
      <c r="K26" s="8" t="n"/>
      <c r="L26" s="7" t="n"/>
      <c r="M26" s="8" t="n"/>
      <c r="N26" s="7" t="n"/>
      <c r="O26" s="8" t="n"/>
      <c r="P26" s="6" t="n"/>
      <c r="Q26" s="8" t="n"/>
      <c r="S26" s="8">
        <f>IF(B26="","",E26*F26)</f>
        <v/>
      </c>
      <c r="T26" s="8">
        <f>IF(OR(B26="",N(G26)=0),"",ABS(F26-G26)*E26)</f>
        <v/>
      </c>
      <c r="U26" s="8">
        <f>IF(OR(B26="",P26=""),"",IF(D26="Venda",-1,1)*((N(J26)*N(K26)+N(L26)*N(M26)+N(N26)*N(O26))-(N(J26)+N(L26)+N(N26))*F26)-N(Q26))</f>
        <v/>
      </c>
      <c r="V26" s="9">
        <f>IF(OR(B26="",P26=""),"",U26/S26)</f>
        <v/>
      </c>
      <c r="W26">
        <f>IF(OR(B26="",P26=""),"",NETWORKDAYS(C26,P26)-1)</f>
        <v/>
      </c>
      <c r="X26">
        <f>IF(B26="","",IF(P26="","Aberto","Fechado"))</f>
        <v/>
      </c>
    </row>
    <row r="27">
      <c r="C27" s="6" t="n"/>
      <c r="E27" s="7" t="n"/>
      <c r="F27" s="8" t="n"/>
      <c r="G27" s="8" t="n"/>
      <c r="H27" s="8" t="n"/>
      <c r="J27" s="7" t="n"/>
      <c r="K27" s="8" t="n"/>
      <c r="L27" s="7" t="n"/>
      <c r="M27" s="8" t="n"/>
      <c r="N27" s="7" t="n"/>
      <c r="O27" s="8" t="n"/>
      <c r="P27" s="6" t="n"/>
      <c r="Q27" s="8" t="n"/>
      <c r="S27" s="8">
        <f>IF(B27="","",E27*F27)</f>
        <v/>
      </c>
      <c r="T27" s="8">
        <f>IF(OR(B27="",N(G27)=0),"",ABS(F27-G27)*E27)</f>
        <v/>
      </c>
      <c r="U27" s="8">
        <f>IF(OR(B27="",P27=""),"",IF(D27="Venda",-1,1)*((N(J27)*N(K27)+N(L27)*N(M27)+N(N27)*N(O27))-(N(J27)+N(L27)+N(N27))*F27)-N(Q27))</f>
        <v/>
      </c>
      <c r="V27" s="9">
        <f>IF(OR(B27="",P27=""),"",U27/S27)</f>
        <v/>
      </c>
      <c r="W27">
        <f>IF(OR(B27="",P27=""),"",NETWORKDAYS(C27,P27)-1)</f>
        <v/>
      </c>
      <c r="X27">
        <f>IF(B27="","",IF(P27="","Aberto","Fechado"))</f>
        <v/>
      </c>
    </row>
    <row r="28">
      <c r="C28" s="6" t="n"/>
      <c r="E28" s="7" t="n"/>
      <c r="F28" s="8" t="n"/>
      <c r="G28" s="8" t="n"/>
      <c r="H28" s="8" t="n"/>
      <c r="J28" s="7" t="n"/>
      <c r="K28" s="8" t="n"/>
      <c r="L28" s="7" t="n"/>
      <c r="M28" s="8" t="n"/>
      <c r="N28" s="7" t="n"/>
      <c r="O28" s="8" t="n"/>
      <c r="P28" s="6" t="n"/>
      <c r="Q28" s="8" t="n"/>
      <c r="S28" s="8">
        <f>IF(B28="","",E28*F28)</f>
        <v/>
      </c>
      <c r="T28" s="8">
        <f>IF(OR(B28="",N(G28)=0),"",ABS(F28-G28)*E28)</f>
        <v/>
      </c>
      <c r="U28" s="8">
        <f>IF(OR(B28="",P28=""),"",IF(D28="Venda",-1,1)*((N(J28)*N(K28)+N(L28)*N(M28)+N(N28)*N(O28))-(N(J28)+N(L28)+N(N28))*F28)-N(Q28))</f>
        <v/>
      </c>
      <c r="V28" s="9">
        <f>IF(OR(B28="",P28=""),"",U28/S28)</f>
        <v/>
      </c>
      <c r="W28">
        <f>IF(OR(B28="",P28=""),"",NETWORKDAYS(C28,P28)-1)</f>
        <v/>
      </c>
      <c r="X28">
        <f>IF(B28="","",IF(P28="","Aberto","Fechado"))</f>
        <v/>
      </c>
    </row>
    <row r="29">
      <c r="C29" s="6" t="n"/>
      <c r="E29" s="7" t="n"/>
      <c r="F29" s="8" t="n"/>
      <c r="G29" s="8" t="n"/>
      <c r="H29" s="8" t="n"/>
      <c r="J29" s="7" t="n"/>
      <c r="K29" s="8" t="n"/>
      <c r="L29" s="7" t="n"/>
      <c r="M29" s="8" t="n"/>
      <c r="N29" s="7" t="n"/>
      <c r="O29" s="8" t="n"/>
      <c r="P29" s="6" t="n"/>
      <c r="Q29" s="8" t="n"/>
      <c r="S29" s="8">
        <f>IF(B29="","",E29*F29)</f>
        <v/>
      </c>
      <c r="T29" s="8">
        <f>IF(OR(B29="",N(G29)=0),"",ABS(F29-G29)*E29)</f>
        <v/>
      </c>
      <c r="U29" s="8">
        <f>IF(OR(B29="",P29=""),"",IF(D29="Venda",-1,1)*((N(J29)*N(K29)+N(L29)*N(M29)+N(N29)*N(O29))-(N(J29)+N(L29)+N(N29))*F29)-N(Q29))</f>
        <v/>
      </c>
      <c r="V29" s="9">
        <f>IF(OR(B29="",P29=""),"",U29/S29)</f>
        <v/>
      </c>
      <c r="W29">
        <f>IF(OR(B29="",P29=""),"",NETWORKDAYS(C29,P29)-1)</f>
        <v/>
      </c>
      <c r="X29">
        <f>IF(B29="","",IF(P29="","Aberto","Fechado"))</f>
        <v/>
      </c>
    </row>
    <row r="30">
      <c r="C30" s="6" t="n"/>
      <c r="E30" s="7" t="n"/>
      <c r="F30" s="8" t="n"/>
      <c r="G30" s="8" t="n"/>
      <c r="H30" s="8" t="n"/>
      <c r="J30" s="7" t="n"/>
      <c r="K30" s="8" t="n"/>
      <c r="L30" s="7" t="n"/>
      <c r="M30" s="8" t="n"/>
      <c r="N30" s="7" t="n"/>
      <c r="O30" s="8" t="n"/>
      <c r="P30" s="6" t="n"/>
      <c r="Q30" s="8" t="n"/>
      <c r="S30" s="8">
        <f>IF(B30="","",E30*F30)</f>
        <v/>
      </c>
      <c r="T30" s="8">
        <f>IF(OR(B30="",N(G30)=0),"",ABS(F30-G30)*E30)</f>
        <v/>
      </c>
      <c r="U30" s="8">
        <f>IF(OR(B30="",P30=""),"",IF(D30="Venda",-1,1)*((N(J30)*N(K30)+N(L30)*N(M30)+N(N30)*N(O30))-(N(J30)+N(L30)+N(N30))*F30)-N(Q30))</f>
        <v/>
      </c>
      <c r="V30" s="9">
        <f>IF(OR(B30="",P30=""),"",U30/S30)</f>
        <v/>
      </c>
      <c r="W30">
        <f>IF(OR(B30="",P30=""),"",NETWORKDAYS(C30,P30)-1)</f>
        <v/>
      </c>
      <c r="X30">
        <f>IF(B30="","",IF(P30="","Aberto","Fechado"))</f>
        <v/>
      </c>
    </row>
    <row r="31">
      <c r="C31" s="6" t="n"/>
      <c r="E31" s="7" t="n"/>
      <c r="F31" s="8" t="n"/>
      <c r="G31" s="8" t="n"/>
      <c r="H31" s="8" t="n"/>
      <c r="J31" s="7" t="n"/>
      <c r="K31" s="8" t="n"/>
      <c r="L31" s="7" t="n"/>
      <c r="M31" s="8" t="n"/>
      <c r="N31" s="7" t="n"/>
      <c r="O31" s="8" t="n"/>
      <c r="P31" s="6" t="n"/>
      <c r="Q31" s="8" t="n"/>
      <c r="S31" s="8">
        <f>IF(B31="","",E31*F31)</f>
        <v/>
      </c>
      <c r="T31" s="8">
        <f>IF(OR(B31="",N(G31)=0),"",ABS(F31-G31)*E31)</f>
        <v/>
      </c>
      <c r="U31" s="8">
        <f>IF(OR(B31="",P31=""),"",IF(D31="Venda",-1,1)*((N(J31)*N(K31)+N(L31)*N(M31)+N(N31)*N(O31))-(N(J31)+N(L31)+N(N31))*F31)-N(Q31))</f>
        <v/>
      </c>
      <c r="V31" s="9">
        <f>IF(OR(B31="",P31=""),"",U31/S31)</f>
        <v/>
      </c>
      <c r="W31">
        <f>IF(OR(B31="",P31=""),"",NETWORKDAYS(C31,P31)-1)</f>
        <v/>
      </c>
      <c r="X31">
        <f>IF(B31="","",IF(P31="","Aberto","Fechado"))</f>
        <v/>
      </c>
    </row>
    <row r="32">
      <c r="C32" s="6" t="n"/>
      <c r="E32" s="7" t="n"/>
      <c r="F32" s="8" t="n"/>
      <c r="G32" s="8" t="n"/>
      <c r="H32" s="8" t="n"/>
      <c r="J32" s="7" t="n"/>
      <c r="K32" s="8" t="n"/>
      <c r="L32" s="7" t="n"/>
      <c r="M32" s="8" t="n"/>
      <c r="N32" s="7" t="n"/>
      <c r="O32" s="8" t="n"/>
      <c r="P32" s="6" t="n"/>
      <c r="Q32" s="8" t="n"/>
      <c r="S32" s="8">
        <f>IF(B32="","",E32*F32)</f>
        <v/>
      </c>
      <c r="T32" s="8">
        <f>IF(OR(B32="",N(G32)=0),"",ABS(F32-G32)*E32)</f>
        <v/>
      </c>
      <c r="U32" s="8">
        <f>IF(OR(B32="",P32=""),"",IF(D32="Venda",-1,1)*((N(J32)*N(K32)+N(L32)*N(M32)+N(N32)*N(O32))-(N(J32)+N(L32)+N(N32))*F32)-N(Q32))</f>
        <v/>
      </c>
      <c r="V32" s="9">
        <f>IF(OR(B32="",P32=""),"",U32/S32)</f>
        <v/>
      </c>
      <c r="W32">
        <f>IF(OR(B32="",P32=""),"",NETWORKDAYS(C32,P32)-1)</f>
        <v/>
      </c>
      <c r="X32">
        <f>IF(B32="","",IF(P32="","Aberto","Fechado"))</f>
        <v/>
      </c>
    </row>
    <row r="33">
      <c r="C33" s="6" t="n"/>
      <c r="E33" s="7" t="n"/>
      <c r="F33" s="8" t="n"/>
      <c r="G33" s="8" t="n"/>
      <c r="H33" s="8" t="n"/>
      <c r="J33" s="7" t="n"/>
      <c r="K33" s="8" t="n"/>
      <c r="L33" s="7" t="n"/>
      <c r="M33" s="8" t="n"/>
      <c r="N33" s="7" t="n"/>
      <c r="O33" s="8" t="n"/>
      <c r="P33" s="6" t="n"/>
      <c r="Q33" s="8" t="n"/>
      <c r="S33" s="8">
        <f>IF(B33="","",E33*F33)</f>
        <v/>
      </c>
      <c r="T33" s="8">
        <f>IF(OR(B33="",N(G33)=0),"",ABS(F33-G33)*E33)</f>
        <v/>
      </c>
      <c r="U33" s="8">
        <f>IF(OR(B33="",P33=""),"",IF(D33="Venda",-1,1)*((N(J33)*N(K33)+N(L33)*N(M33)+N(N33)*N(O33))-(N(J33)+N(L33)+N(N33))*F33)-N(Q33))</f>
        <v/>
      </c>
      <c r="V33" s="9">
        <f>IF(OR(B33="",P33=""),"",U33/S33)</f>
        <v/>
      </c>
      <c r="W33">
        <f>IF(OR(B33="",P33=""),"",NETWORKDAYS(C33,P33)-1)</f>
        <v/>
      </c>
      <c r="X33">
        <f>IF(B33="","",IF(P33="","Aberto","Fechado"))</f>
        <v/>
      </c>
    </row>
    <row r="34">
      <c r="C34" s="6" t="n"/>
      <c r="E34" s="7" t="n"/>
      <c r="F34" s="8" t="n"/>
      <c r="G34" s="8" t="n"/>
      <c r="H34" s="8" t="n"/>
      <c r="J34" s="7" t="n"/>
      <c r="K34" s="8" t="n"/>
      <c r="L34" s="7" t="n"/>
      <c r="M34" s="8" t="n"/>
      <c r="N34" s="7" t="n"/>
      <c r="O34" s="8" t="n"/>
      <c r="P34" s="6" t="n"/>
      <c r="Q34" s="8" t="n"/>
      <c r="S34" s="8">
        <f>IF(B34="","",E34*F34)</f>
        <v/>
      </c>
      <c r="T34" s="8">
        <f>IF(OR(B34="",N(G34)=0),"",ABS(F34-G34)*E34)</f>
        <v/>
      </c>
      <c r="U34" s="8">
        <f>IF(OR(B34="",P34=""),"",IF(D34="Venda",-1,1)*((N(J34)*N(K34)+N(L34)*N(M34)+N(N34)*N(O34))-(N(J34)+N(L34)+N(N34))*F34)-N(Q34))</f>
        <v/>
      </c>
      <c r="V34" s="9">
        <f>IF(OR(B34="",P34=""),"",U34/S34)</f>
        <v/>
      </c>
      <c r="W34">
        <f>IF(OR(B34="",P34=""),"",NETWORKDAYS(C34,P34)-1)</f>
        <v/>
      </c>
      <c r="X34">
        <f>IF(B34="","",IF(P34="","Aberto","Fechado"))</f>
        <v/>
      </c>
    </row>
    <row r="35">
      <c r="C35" s="6" t="n"/>
      <c r="E35" s="7" t="n"/>
      <c r="F35" s="8" t="n"/>
      <c r="G35" s="8" t="n"/>
      <c r="H35" s="8" t="n"/>
      <c r="J35" s="7" t="n"/>
      <c r="K35" s="8" t="n"/>
      <c r="L35" s="7" t="n"/>
      <c r="M35" s="8" t="n"/>
      <c r="N35" s="7" t="n"/>
      <c r="O35" s="8" t="n"/>
      <c r="P35" s="6" t="n"/>
      <c r="Q35" s="8" t="n"/>
      <c r="S35" s="8">
        <f>IF(B35="","",E35*F35)</f>
        <v/>
      </c>
      <c r="T35" s="8">
        <f>IF(OR(B35="",N(G35)=0),"",ABS(F35-G35)*E35)</f>
        <v/>
      </c>
      <c r="U35" s="8">
        <f>IF(OR(B35="",P35=""),"",IF(D35="Venda",-1,1)*((N(J35)*N(K35)+N(L35)*N(M35)+N(N35)*N(O35))-(N(J35)+N(L35)+N(N35))*F35)-N(Q35))</f>
        <v/>
      </c>
      <c r="V35" s="9">
        <f>IF(OR(B35="",P35=""),"",U35/S35)</f>
        <v/>
      </c>
      <c r="W35">
        <f>IF(OR(B35="",P35=""),"",NETWORKDAYS(C35,P35)-1)</f>
        <v/>
      </c>
      <c r="X35">
        <f>IF(B35="","",IF(P35="","Aberto","Fechado"))</f>
        <v/>
      </c>
    </row>
    <row r="36">
      <c r="C36" s="6" t="n"/>
      <c r="E36" s="7" t="n"/>
      <c r="F36" s="8" t="n"/>
      <c r="G36" s="8" t="n"/>
      <c r="H36" s="8" t="n"/>
      <c r="J36" s="7" t="n"/>
      <c r="K36" s="8" t="n"/>
      <c r="L36" s="7" t="n"/>
      <c r="M36" s="8" t="n"/>
      <c r="N36" s="7" t="n"/>
      <c r="O36" s="8" t="n"/>
      <c r="P36" s="6" t="n"/>
      <c r="Q36" s="8" t="n"/>
      <c r="S36" s="8">
        <f>IF(B36="","",E36*F36)</f>
        <v/>
      </c>
      <c r="T36" s="8">
        <f>IF(OR(B36="",N(G36)=0),"",ABS(F36-G36)*E36)</f>
        <v/>
      </c>
      <c r="U36" s="8">
        <f>IF(OR(B36="",P36=""),"",IF(D36="Venda",-1,1)*((N(J36)*N(K36)+N(L36)*N(M36)+N(N36)*N(O36))-(N(J36)+N(L36)+N(N36))*F36)-N(Q36))</f>
        <v/>
      </c>
      <c r="V36" s="9">
        <f>IF(OR(B36="",P36=""),"",U36/S36)</f>
        <v/>
      </c>
      <c r="W36">
        <f>IF(OR(B36="",P36=""),"",NETWORKDAYS(C36,P36)-1)</f>
        <v/>
      </c>
      <c r="X36">
        <f>IF(B36="","",IF(P36="","Aberto","Fechado"))</f>
        <v/>
      </c>
    </row>
    <row r="37">
      <c r="C37" s="6" t="n"/>
      <c r="E37" s="7" t="n"/>
      <c r="F37" s="8" t="n"/>
      <c r="G37" s="8" t="n"/>
      <c r="H37" s="8" t="n"/>
      <c r="J37" s="7" t="n"/>
      <c r="K37" s="8" t="n"/>
      <c r="L37" s="7" t="n"/>
      <c r="M37" s="8" t="n"/>
      <c r="N37" s="7" t="n"/>
      <c r="O37" s="8" t="n"/>
      <c r="P37" s="6" t="n"/>
      <c r="Q37" s="8" t="n"/>
      <c r="S37" s="8">
        <f>IF(B37="","",E37*F37)</f>
        <v/>
      </c>
      <c r="T37" s="8">
        <f>IF(OR(B37="",N(G37)=0),"",ABS(F37-G37)*E37)</f>
        <v/>
      </c>
      <c r="U37" s="8">
        <f>IF(OR(B37="",P37=""),"",IF(D37="Venda",-1,1)*((N(J37)*N(K37)+N(L37)*N(M37)+N(N37)*N(O37))-(N(J37)+N(L37)+N(N37))*F37)-N(Q37))</f>
        <v/>
      </c>
      <c r="V37" s="9">
        <f>IF(OR(B37="",P37=""),"",U37/S37)</f>
        <v/>
      </c>
      <c r="W37">
        <f>IF(OR(B37="",P37=""),"",NETWORKDAYS(C37,P37)-1)</f>
        <v/>
      </c>
      <c r="X37">
        <f>IF(B37="","",IF(P37="","Aberto","Fechado"))</f>
        <v/>
      </c>
    </row>
    <row r="38">
      <c r="C38" s="6" t="n"/>
      <c r="E38" s="7" t="n"/>
      <c r="F38" s="8" t="n"/>
      <c r="G38" s="8" t="n"/>
      <c r="H38" s="8" t="n"/>
      <c r="J38" s="7" t="n"/>
      <c r="K38" s="8" t="n"/>
      <c r="L38" s="7" t="n"/>
      <c r="M38" s="8" t="n"/>
      <c r="N38" s="7" t="n"/>
      <c r="O38" s="8" t="n"/>
      <c r="P38" s="6" t="n"/>
      <c r="Q38" s="8" t="n"/>
      <c r="S38" s="8">
        <f>IF(B38="","",E38*F38)</f>
        <v/>
      </c>
      <c r="T38" s="8">
        <f>IF(OR(B38="",N(G38)=0),"",ABS(F38-G38)*E38)</f>
        <v/>
      </c>
      <c r="U38" s="8">
        <f>IF(OR(B38="",P38=""),"",IF(D38="Venda",-1,1)*((N(J38)*N(K38)+N(L38)*N(M38)+N(N38)*N(O38))-(N(J38)+N(L38)+N(N38))*F38)-N(Q38))</f>
        <v/>
      </c>
      <c r="V38" s="9">
        <f>IF(OR(B38="",P38=""),"",U38/S38)</f>
        <v/>
      </c>
      <c r="W38">
        <f>IF(OR(B38="",P38=""),"",NETWORKDAYS(C38,P38)-1)</f>
        <v/>
      </c>
      <c r="X38">
        <f>IF(B38="","",IF(P38="","Aberto","Fechado"))</f>
        <v/>
      </c>
    </row>
    <row r="39">
      <c r="C39" s="6" t="n"/>
      <c r="E39" s="7" t="n"/>
      <c r="F39" s="8" t="n"/>
      <c r="G39" s="8" t="n"/>
      <c r="H39" s="8" t="n"/>
      <c r="J39" s="7" t="n"/>
      <c r="K39" s="8" t="n"/>
      <c r="L39" s="7" t="n"/>
      <c r="M39" s="8" t="n"/>
      <c r="N39" s="7" t="n"/>
      <c r="O39" s="8" t="n"/>
      <c r="P39" s="6" t="n"/>
      <c r="Q39" s="8" t="n"/>
      <c r="S39" s="8">
        <f>IF(B39="","",E39*F39)</f>
        <v/>
      </c>
      <c r="T39" s="8">
        <f>IF(OR(B39="",N(G39)=0),"",ABS(F39-G39)*E39)</f>
        <v/>
      </c>
      <c r="U39" s="8">
        <f>IF(OR(B39="",P39=""),"",IF(D39="Venda",-1,1)*((N(J39)*N(K39)+N(L39)*N(M39)+N(N39)*N(O39))-(N(J39)+N(L39)+N(N39))*F39)-N(Q39))</f>
        <v/>
      </c>
      <c r="V39" s="9">
        <f>IF(OR(B39="",P39=""),"",U39/S39)</f>
        <v/>
      </c>
      <c r="W39">
        <f>IF(OR(B39="",P39=""),"",NETWORKDAYS(C39,P39)-1)</f>
        <v/>
      </c>
      <c r="X39">
        <f>IF(B39="","",IF(P39="","Aberto","Fechado"))</f>
        <v/>
      </c>
    </row>
    <row r="40">
      <c r="C40" s="6" t="n"/>
      <c r="E40" s="7" t="n"/>
      <c r="F40" s="8" t="n"/>
      <c r="G40" s="8" t="n"/>
      <c r="H40" s="8" t="n"/>
      <c r="J40" s="7" t="n"/>
      <c r="K40" s="8" t="n"/>
      <c r="L40" s="7" t="n"/>
      <c r="M40" s="8" t="n"/>
      <c r="N40" s="7" t="n"/>
      <c r="O40" s="8" t="n"/>
      <c r="P40" s="6" t="n"/>
      <c r="Q40" s="8" t="n"/>
      <c r="S40" s="8">
        <f>IF(B40="","",E40*F40)</f>
        <v/>
      </c>
      <c r="T40" s="8">
        <f>IF(OR(B40="",N(G40)=0),"",ABS(F40-G40)*E40)</f>
        <v/>
      </c>
      <c r="U40" s="8">
        <f>IF(OR(B40="",P40=""),"",IF(D40="Venda",-1,1)*((N(J40)*N(K40)+N(L40)*N(M40)+N(N40)*N(O40))-(N(J40)+N(L40)+N(N40))*F40)-N(Q40))</f>
        <v/>
      </c>
      <c r="V40" s="9">
        <f>IF(OR(B40="",P40=""),"",U40/S40)</f>
        <v/>
      </c>
      <c r="W40">
        <f>IF(OR(B40="",P40=""),"",NETWORKDAYS(C40,P40)-1)</f>
        <v/>
      </c>
      <c r="X40">
        <f>IF(B40="","",IF(P40="","Aberto","Fechado"))</f>
        <v/>
      </c>
    </row>
    <row r="41">
      <c r="C41" s="6" t="n"/>
      <c r="E41" s="7" t="n"/>
      <c r="F41" s="8" t="n"/>
      <c r="G41" s="8" t="n"/>
      <c r="H41" s="8" t="n"/>
      <c r="J41" s="7" t="n"/>
      <c r="K41" s="8" t="n"/>
      <c r="L41" s="7" t="n"/>
      <c r="M41" s="8" t="n"/>
      <c r="N41" s="7" t="n"/>
      <c r="O41" s="8" t="n"/>
      <c r="P41" s="6" t="n"/>
      <c r="Q41" s="8" t="n"/>
      <c r="S41" s="8">
        <f>IF(B41="","",E41*F41)</f>
        <v/>
      </c>
      <c r="T41" s="8">
        <f>IF(OR(B41="",N(G41)=0),"",ABS(F41-G41)*E41)</f>
        <v/>
      </c>
      <c r="U41" s="8">
        <f>IF(OR(B41="",P41=""),"",IF(D41="Venda",-1,1)*((N(J41)*N(K41)+N(L41)*N(M41)+N(N41)*N(O41))-(N(J41)+N(L41)+N(N41))*F41)-N(Q41))</f>
        <v/>
      </c>
      <c r="V41" s="9">
        <f>IF(OR(B41="",P41=""),"",U41/S41)</f>
        <v/>
      </c>
      <c r="W41">
        <f>IF(OR(B41="",P41=""),"",NETWORKDAYS(C41,P41)-1)</f>
        <v/>
      </c>
      <c r="X41">
        <f>IF(B41="","",IF(P41="","Aberto","Fechado"))</f>
        <v/>
      </c>
    </row>
    <row r="42">
      <c r="C42" s="6" t="n"/>
      <c r="E42" s="7" t="n"/>
      <c r="F42" s="8" t="n"/>
      <c r="G42" s="8" t="n"/>
      <c r="H42" s="8" t="n"/>
      <c r="J42" s="7" t="n"/>
      <c r="K42" s="8" t="n"/>
      <c r="L42" s="7" t="n"/>
      <c r="M42" s="8" t="n"/>
      <c r="N42" s="7" t="n"/>
      <c r="O42" s="8" t="n"/>
      <c r="P42" s="6" t="n"/>
      <c r="Q42" s="8" t="n"/>
      <c r="S42" s="8">
        <f>IF(B42="","",E42*F42)</f>
        <v/>
      </c>
      <c r="T42" s="8">
        <f>IF(OR(B42="",N(G42)=0),"",ABS(F42-G42)*E42)</f>
        <v/>
      </c>
      <c r="U42" s="8">
        <f>IF(OR(B42="",P42=""),"",IF(D42="Venda",-1,1)*((N(J42)*N(K42)+N(L42)*N(M42)+N(N42)*N(O42))-(N(J42)+N(L42)+N(N42))*F42)-N(Q42))</f>
        <v/>
      </c>
      <c r="V42" s="9">
        <f>IF(OR(B42="",P42=""),"",U42/S42)</f>
        <v/>
      </c>
      <c r="W42">
        <f>IF(OR(B42="",P42=""),"",NETWORKDAYS(C42,P42)-1)</f>
        <v/>
      </c>
      <c r="X42">
        <f>IF(B42="","",IF(P42="","Aberto","Fechado"))</f>
        <v/>
      </c>
    </row>
    <row r="43">
      <c r="C43" s="6" t="n"/>
      <c r="E43" s="7" t="n"/>
      <c r="F43" s="8" t="n"/>
      <c r="G43" s="8" t="n"/>
      <c r="H43" s="8" t="n"/>
      <c r="J43" s="7" t="n"/>
      <c r="K43" s="8" t="n"/>
      <c r="L43" s="7" t="n"/>
      <c r="M43" s="8" t="n"/>
      <c r="N43" s="7" t="n"/>
      <c r="O43" s="8" t="n"/>
      <c r="P43" s="6" t="n"/>
      <c r="Q43" s="8" t="n"/>
      <c r="S43" s="8">
        <f>IF(B43="","",E43*F43)</f>
        <v/>
      </c>
      <c r="T43" s="8">
        <f>IF(OR(B43="",N(G43)=0),"",ABS(F43-G43)*E43)</f>
        <v/>
      </c>
      <c r="U43" s="8">
        <f>IF(OR(B43="",P43=""),"",IF(D43="Venda",-1,1)*((N(J43)*N(K43)+N(L43)*N(M43)+N(N43)*N(O43))-(N(J43)+N(L43)+N(N43))*F43)-N(Q43))</f>
        <v/>
      </c>
      <c r="V43" s="9">
        <f>IF(OR(B43="",P43=""),"",U43/S43)</f>
        <v/>
      </c>
      <c r="W43">
        <f>IF(OR(B43="",P43=""),"",NETWORKDAYS(C43,P43)-1)</f>
        <v/>
      </c>
      <c r="X43">
        <f>IF(B43="","",IF(P43="","Aberto","Fechado"))</f>
        <v/>
      </c>
    </row>
    <row r="44">
      <c r="C44" s="6" t="n"/>
      <c r="E44" s="7" t="n"/>
      <c r="F44" s="8" t="n"/>
      <c r="G44" s="8" t="n"/>
      <c r="H44" s="8" t="n"/>
      <c r="J44" s="7" t="n"/>
      <c r="K44" s="8" t="n"/>
      <c r="L44" s="7" t="n"/>
      <c r="M44" s="8" t="n"/>
      <c r="N44" s="7" t="n"/>
      <c r="O44" s="8" t="n"/>
      <c r="P44" s="6" t="n"/>
      <c r="Q44" s="8" t="n"/>
      <c r="S44" s="8">
        <f>IF(B44="","",E44*F44)</f>
        <v/>
      </c>
      <c r="T44" s="8">
        <f>IF(OR(B44="",N(G44)=0),"",ABS(F44-G44)*E44)</f>
        <v/>
      </c>
      <c r="U44" s="8">
        <f>IF(OR(B44="",P44=""),"",IF(D44="Venda",-1,1)*((N(J44)*N(K44)+N(L44)*N(M44)+N(N44)*N(O44))-(N(J44)+N(L44)+N(N44))*F44)-N(Q44))</f>
        <v/>
      </c>
      <c r="V44" s="9">
        <f>IF(OR(B44="",P44=""),"",U44/S44)</f>
        <v/>
      </c>
      <c r="W44">
        <f>IF(OR(B44="",P44=""),"",NETWORKDAYS(C44,P44)-1)</f>
        <v/>
      </c>
      <c r="X44">
        <f>IF(B44="","",IF(P44="","Aberto","Fechado"))</f>
        <v/>
      </c>
    </row>
    <row r="45">
      <c r="C45" s="6" t="n"/>
      <c r="E45" s="7" t="n"/>
      <c r="F45" s="8" t="n"/>
      <c r="G45" s="8" t="n"/>
      <c r="H45" s="8" t="n"/>
      <c r="J45" s="7" t="n"/>
      <c r="K45" s="8" t="n"/>
      <c r="L45" s="7" t="n"/>
      <c r="M45" s="8" t="n"/>
      <c r="N45" s="7" t="n"/>
      <c r="O45" s="8" t="n"/>
      <c r="P45" s="6" t="n"/>
      <c r="Q45" s="8" t="n"/>
      <c r="S45" s="8">
        <f>IF(B45="","",E45*F45)</f>
        <v/>
      </c>
      <c r="T45" s="8">
        <f>IF(OR(B45="",N(G45)=0),"",ABS(F45-G45)*E45)</f>
        <v/>
      </c>
      <c r="U45" s="8">
        <f>IF(OR(B45="",P45=""),"",IF(D45="Venda",-1,1)*((N(J45)*N(K45)+N(L45)*N(M45)+N(N45)*N(O45))-(N(J45)+N(L45)+N(N45))*F45)-N(Q45))</f>
        <v/>
      </c>
      <c r="V45" s="9">
        <f>IF(OR(B45="",P45=""),"",U45/S45)</f>
        <v/>
      </c>
      <c r="W45">
        <f>IF(OR(B45="",P45=""),"",NETWORKDAYS(C45,P45)-1)</f>
        <v/>
      </c>
      <c r="X45">
        <f>IF(B45="","",IF(P45="","Aberto","Fechado"))</f>
        <v/>
      </c>
    </row>
    <row r="46">
      <c r="C46" s="6" t="n"/>
      <c r="E46" s="7" t="n"/>
      <c r="F46" s="8" t="n"/>
      <c r="G46" s="8" t="n"/>
      <c r="H46" s="8" t="n"/>
      <c r="J46" s="7" t="n"/>
      <c r="K46" s="8" t="n"/>
      <c r="L46" s="7" t="n"/>
      <c r="M46" s="8" t="n"/>
      <c r="N46" s="7" t="n"/>
      <c r="O46" s="8" t="n"/>
      <c r="P46" s="6" t="n"/>
      <c r="Q46" s="8" t="n"/>
      <c r="S46" s="8">
        <f>IF(B46="","",E46*F46)</f>
        <v/>
      </c>
      <c r="T46" s="8">
        <f>IF(OR(B46="",N(G46)=0),"",ABS(F46-G46)*E46)</f>
        <v/>
      </c>
      <c r="U46" s="8">
        <f>IF(OR(B46="",P46=""),"",IF(D46="Venda",-1,1)*((N(J46)*N(K46)+N(L46)*N(M46)+N(N46)*N(O46))-(N(J46)+N(L46)+N(N46))*F46)-N(Q46))</f>
        <v/>
      </c>
      <c r="V46" s="9">
        <f>IF(OR(B46="",P46=""),"",U46/S46)</f>
        <v/>
      </c>
      <c r="W46">
        <f>IF(OR(B46="",P46=""),"",NETWORKDAYS(C46,P46)-1)</f>
        <v/>
      </c>
      <c r="X46">
        <f>IF(B46="","",IF(P46="","Aberto","Fechado"))</f>
        <v/>
      </c>
    </row>
    <row r="47">
      <c r="C47" s="6" t="n"/>
      <c r="E47" s="7" t="n"/>
      <c r="F47" s="8" t="n"/>
      <c r="G47" s="8" t="n"/>
      <c r="H47" s="8" t="n"/>
      <c r="J47" s="7" t="n"/>
      <c r="K47" s="8" t="n"/>
      <c r="L47" s="7" t="n"/>
      <c r="M47" s="8" t="n"/>
      <c r="N47" s="7" t="n"/>
      <c r="O47" s="8" t="n"/>
      <c r="P47" s="6" t="n"/>
      <c r="Q47" s="8" t="n"/>
      <c r="S47" s="8">
        <f>IF(B47="","",E47*F47)</f>
        <v/>
      </c>
      <c r="T47" s="8">
        <f>IF(OR(B47="",N(G47)=0),"",ABS(F47-G47)*E47)</f>
        <v/>
      </c>
      <c r="U47" s="8">
        <f>IF(OR(B47="",P47=""),"",IF(D47="Venda",-1,1)*((N(J47)*N(K47)+N(L47)*N(M47)+N(N47)*N(O47))-(N(J47)+N(L47)+N(N47))*F47)-N(Q47))</f>
        <v/>
      </c>
      <c r="V47" s="9">
        <f>IF(OR(B47="",P47=""),"",U47/S47)</f>
        <v/>
      </c>
      <c r="W47">
        <f>IF(OR(B47="",P47=""),"",NETWORKDAYS(C47,P47)-1)</f>
        <v/>
      </c>
      <c r="X47">
        <f>IF(B47="","",IF(P47="","Aberto","Fechado"))</f>
        <v/>
      </c>
    </row>
    <row r="48">
      <c r="C48" s="6" t="n"/>
      <c r="E48" s="7" t="n"/>
      <c r="F48" s="8" t="n"/>
      <c r="G48" s="8" t="n"/>
      <c r="H48" s="8" t="n"/>
      <c r="J48" s="7" t="n"/>
      <c r="K48" s="8" t="n"/>
      <c r="L48" s="7" t="n"/>
      <c r="M48" s="8" t="n"/>
      <c r="N48" s="7" t="n"/>
      <c r="O48" s="8" t="n"/>
      <c r="P48" s="6" t="n"/>
      <c r="Q48" s="8" t="n"/>
      <c r="S48" s="8">
        <f>IF(B48="","",E48*F48)</f>
        <v/>
      </c>
      <c r="T48" s="8">
        <f>IF(OR(B48="",N(G48)=0),"",ABS(F48-G48)*E48)</f>
        <v/>
      </c>
      <c r="U48" s="8">
        <f>IF(OR(B48="",P48=""),"",IF(D48="Venda",-1,1)*((N(J48)*N(K48)+N(L48)*N(M48)+N(N48)*N(O48))-(N(J48)+N(L48)+N(N48))*F48)-N(Q48))</f>
        <v/>
      </c>
      <c r="V48" s="9">
        <f>IF(OR(B48="",P48=""),"",U48/S48)</f>
        <v/>
      </c>
      <c r="W48">
        <f>IF(OR(B48="",P48=""),"",NETWORKDAYS(C48,P48)-1)</f>
        <v/>
      </c>
      <c r="X48">
        <f>IF(B48="","",IF(P48="","Aberto","Fechado"))</f>
        <v/>
      </c>
    </row>
    <row r="49">
      <c r="C49" s="6" t="n"/>
      <c r="E49" s="7" t="n"/>
      <c r="F49" s="8" t="n"/>
      <c r="G49" s="8" t="n"/>
      <c r="H49" s="8" t="n"/>
      <c r="J49" s="7" t="n"/>
      <c r="K49" s="8" t="n"/>
      <c r="L49" s="7" t="n"/>
      <c r="M49" s="8" t="n"/>
      <c r="N49" s="7" t="n"/>
      <c r="O49" s="8" t="n"/>
      <c r="P49" s="6" t="n"/>
      <c r="Q49" s="8" t="n"/>
      <c r="S49" s="8">
        <f>IF(B49="","",E49*F49)</f>
        <v/>
      </c>
      <c r="T49" s="8">
        <f>IF(OR(B49="",N(G49)=0),"",ABS(F49-G49)*E49)</f>
        <v/>
      </c>
      <c r="U49" s="8">
        <f>IF(OR(B49="",P49=""),"",IF(D49="Venda",-1,1)*((N(J49)*N(K49)+N(L49)*N(M49)+N(N49)*N(O49))-(N(J49)+N(L49)+N(N49))*F49)-N(Q49))</f>
        <v/>
      </c>
      <c r="V49" s="9">
        <f>IF(OR(B49="",P49=""),"",U49/S49)</f>
        <v/>
      </c>
      <c r="W49">
        <f>IF(OR(B49="",P49=""),"",NETWORKDAYS(C49,P49)-1)</f>
        <v/>
      </c>
      <c r="X49">
        <f>IF(B49="","",IF(P49="","Aberto","Fechado"))</f>
        <v/>
      </c>
    </row>
    <row r="50">
      <c r="C50" s="6" t="n"/>
      <c r="E50" s="7" t="n"/>
      <c r="F50" s="8" t="n"/>
      <c r="G50" s="8" t="n"/>
      <c r="H50" s="8" t="n"/>
      <c r="J50" s="7" t="n"/>
      <c r="K50" s="8" t="n"/>
      <c r="L50" s="7" t="n"/>
      <c r="M50" s="8" t="n"/>
      <c r="N50" s="7" t="n"/>
      <c r="O50" s="8" t="n"/>
      <c r="P50" s="6" t="n"/>
      <c r="Q50" s="8" t="n"/>
      <c r="S50" s="8">
        <f>IF(B50="","",E50*F50)</f>
        <v/>
      </c>
      <c r="T50" s="8">
        <f>IF(OR(B50="",N(G50)=0),"",ABS(F50-G50)*E50)</f>
        <v/>
      </c>
      <c r="U50" s="8">
        <f>IF(OR(B50="",P50=""),"",IF(D50="Venda",-1,1)*((N(J50)*N(K50)+N(L50)*N(M50)+N(N50)*N(O50))-(N(J50)+N(L50)+N(N50))*F50)-N(Q50))</f>
        <v/>
      </c>
      <c r="V50" s="9">
        <f>IF(OR(B50="",P50=""),"",U50/S50)</f>
        <v/>
      </c>
      <c r="W50">
        <f>IF(OR(B50="",P50=""),"",NETWORKDAYS(C50,P50)-1)</f>
        <v/>
      </c>
      <c r="X50">
        <f>IF(B50="","",IF(P50="","Aberto","Fechado"))</f>
        <v/>
      </c>
    </row>
    <row r="51">
      <c r="C51" s="6" t="n"/>
      <c r="E51" s="7" t="n"/>
      <c r="F51" s="8" t="n"/>
      <c r="G51" s="8" t="n"/>
      <c r="H51" s="8" t="n"/>
      <c r="J51" s="7" t="n"/>
      <c r="K51" s="8" t="n"/>
      <c r="L51" s="7" t="n"/>
      <c r="M51" s="8" t="n"/>
      <c r="N51" s="7" t="n"/>
      <c r="O51" s="8" t="n"/>
      <c r="P51" s="6" t="n"/>
      <c r="Q51" s="8" t="n"/>
      <c r="S51" s="8">
        <f>IF(B51="","",E51*F51)</f>
        <v/>
      </c>
      <c r="T51" s="8">
        <f>IF(OR(B51="",N(G51)=0),"",ABS(F51-G51)*E51)</f>
        <v/>
      </c>
      <c r="U51" s="8">
        <f>IF(OR(B51="",P51=""),"",IF(D51="Venda",-1,1)*((N(J51)*N(K51)+N(L51)*N(M51)+N(N51)*N(O51))-(N(J51)+N(L51)+N(N51))*F51)-N(Q51))</f>
        <v/>
      </c>
      <c r="V51" s="9">
        <f>IF(OR(B51="",P51=""),"",U51/S51)</f>
        <v/>
      </c>
      <c r="W51">
        <f>IF(OR(B51="",P51=""),"",NETWORKDAYS(C51,P51)-1)</f>
        <v/>
      </c>
      <c r="X51">
        <f>IF(B51="","",IF(P51="","Aberto","Fechado"))</f>
        <v/>
      </c>
    </row>
    <row r="52">
      <c r="C52" s="6" t="n"/>
      <c r="E52" s="7" t="n"/>
      <c r="F52" s="8" t="n"/>
      <c r="G52" s="8" t="n"/>
      <c r="H52" s="8" t="n"/>
      <c r="J52" s="7" t="n"/>
      <c r="K52" s="8" t="n"/>
      <c r="L52" s="7" t="n"/>
      <c r="M52" s="8" t="n"/>
      <c r="N52" s="7" t="n"/>
      <c r="O52" s="8" t="n"/>
      <c r="P52" s="6" t="n"/>
      <c r="Q52" s="8" t="n"/>
      <c r="S52" s="8">
        <f>IF(B52="","",E52*F52)</f>
        <v/>
      </c>
      <c r="T52" s="8">
        <f>IF(OR(B52="",N(G52)=0),"",ABS(F52-G52)*E52)</f>
        <v/>
      </c>
      <c r="U52" s="8">
        <f>IF(OR(B52="",P52=""),"",IF(D52="Venda",-1,1)*((N(J52)*N(K52)+N(L52)*N(M52)+N(N52)*N(O52))-(N(J52)+N(L52)+N(N52))*F52)-N(Q52))</f>
        <v/>
      </c>
      <c r="V52" s="9">
        <f>IF(OR(B52="",P52=""),"",U52/S52)</f>
        <v/>
      </c>
      <c r="W52">
        <f>IF(OR(B52="",P52=""),"",NETWORKDAYS(C52,P52)-1)</f>
        <v/>
      </c>
      <c r="X52">
        <f>IF(B52="","",IF(P52="","Aberto","Fechado"))</f>
        <v/>
      </c>
    </row>
    <row r="53">
      <c r="C53" s="6" t="n"/>
      <c r="E53" s="7" t="n"/>
      <c r="F53" s="8" t="n"/>
      <c r="G53" s="8" t="n"/>
      <c r="H53" s="8" t="n"/>
      <c r="J53" s="7" t="n"/>
      <c r="K53" s="8" t="n"/>
      <c r="L53" s="7" t="n"/>
      <c r="M53" s="8" t="n"/>
      <c r="N53" s="7" t="n"/>
      <c r="O53" s="8" t="n"/>
      <c r="P53" s="6" t="n"/>
      <c r="Q53" s="8" t="n"/>
      <c r="S53" s="8">
        <f>IF(B53="","",E53*F53)</f>
        <v/>
      </c>
      <c r="T53" s="8">
        <f>IF(OR(B53="",N(G53)=0),"",ABS(F53-G53)*E53)</f>
        <v/>
      </c>
      <c r="U53" s="8">
        <f>IF(OR(B53="",P53=""),"",IF(D53="Venda",-1,1)*((N(J53)*N(K53)+N(L53)*N(M53)+N(N53)*N(O53))-(N(J53)+N(L53)+N(N53))*F53)-N(Q53))</f>
        <v/>
      </c>
      <c r="V53" s="9">
        <f>IF(OR(B53="",P53=""),"",U53/S53)</f>
        <v/>
      </c>
      <c r="W53">
        <f>IF(OR(B53="",P53=""),"",NETWORKDAYS(C53,P53)-1)</f>
        <v/>
      </c>
      <c r="X53">
        <f>IF(B53="","",IF(P53="","Aberto","Fechado"))</f>
        <v/>
      </c>
    </row>
    <row r="54">
      <c r="C54" s="6" t="n"/>
      <c r="E54" s="7" t="n"/>
      <c r="F54" s="8" t="n"/>
      <c r="G54" s="8" t="n"/>
      <c r="H54" s="8" t="n"/>
      <c r="J54" s="7" t="n"/>
      <c r="K54" s="8" t="n"/>
      <c r="L54" s="7" t="n"/>
      <c r="M54" s="8" t="n"/>
      <c r="N54" s="7" t="n"/>
      <c r="O54" s="8" t="n"/>
      <c r="P54" s="6" t="n"/>
      <c r="Q54" s="8" t="n"/>
      <c r="S54" s="8">
        <f>IF(B54="","",E54*F54)</f>
        <v/>
      </c>
      <c r="T54" s="8">
        <f>IF(OR(B54="",N(G54)=0),"",ABS(F54-G54)*E54)</f>
        <v/>
      </c>
      <c r="U54" s="8">
        <f>IF(OR(B54="",P54=""),"",IF(D54="Venda",-1,1)*((N(J54)*N(K54)+N(L54)*N(M54)+N(N54)*N(O54))-(N(J54)+N(L54)+N(N54))*F54)-N(Q54))</f>
        <v/>
      </c>
      <c r="V54" s="9">
        <f>IF(OR(B54="",P54=""),"",U54/S54)</f>
        <v/>
      </c>
      <c r="W54">
        <f>IF(OR(B54="",P54=""),"",NETWORKDAYS(C54,P54)-1)</f>
        <v/>
      </c>
      <c r="X54">
        <f>IF(B54="","",IF(P54="","Aberto","Fechado"))</f>
        <v/>
      </c>
    </row>
    <row r="55">
      <c r="C55" s="6" t="n"/>
      <c r="E55" s="7" t="n"/>
      <c r="F55" s="8" t="n"/>
      <c r="G55" s="8" t="n"/>
      <c r="H55" s="8" t="n"/>
      <c r="J55" s="7" t="n"/>
      <c r="K55" s="8" t="n"/>
      <c r="L55" s="7" t="n"/>
      <c r="M55" s="8" t="n"/>
      <c r="N55" s="7" t="n"/>
      <c r="O55" s="8" t="n"/>
      <c r="P55" s="6" t="n"/>
      <c r="Q55" s="8" t="n"/>
      <c r="S55" s="8">
        <f>IF(B55="","",E55*F55)</f>
        <v/>
      </c>
      <c r="T55" s="8">
        <f>IF(OR(B55="",N(G55)=0),"",ABS(F55-G55)*E55)</f>
        <v/>
      </c>
      <c r="U55" s="8">
        <f>IF(OR(B55="",P55=""),"",IF(D55="Venda",-1,1)*((N(J55)*N(K55)+N(L55)*N(M55)+N(N55)*N(O55))-(N(J55)+N(L55)+N(N55))*F55)-N(Q55))</f>
        <v/>
      </c>
      <c r="V55" s="9">
        <f>IF(OR(B55="",P55=""),"",U55/S55)</f>
        <v/>
      </c>
      <c r="W55">
        <f>IF(OR(B55="",P55=""),"",NETWORKDAYS(C55,P55)-1)</f>
        <v/>
      </c>
      <c r="X55">
        <f>IF(B55="","",IF(P55="","Aberto","Fechado"))</f>
        <v/>
      </c>
    </row>
    <row r="56">
      <c r="C56" s="6" t="n"/>
      <c r="E56" s="7" t="n"/>
      <c r="F56" s="8" t="n"/>
      <c r="G56" s="8" t="n"/>
      <c r="H56" s="8" t="n"/>
      <c r="J56" s="7" t="n"/>
      <c r="K56" s="8" t="n"/>
      <c r="L56" s="7" t="n"/>
      <c r="M56" s="8" t="n"/>
      <c r="N56" s="7" t="n"/>
      <c r="O56" s="8" t="n"/>
      <c r="P56" s="6" t="n"/>
      <c r="Q56" s="8" t="n"/>
      <c r="S56" s="8">
        <f>IF(B56="","",E56*F56)</f>
        <v/>
      </c>
      <c r="T56" s="8">
        <f>IF(OR(B56="",N(G56)=0),"",ABS(F56-G56)*E56)</f>
        <v/>
      </c>
      <c r="U56" s="8">
        <f>IF(OR(B56="",P56=""),"",IF(D56="Venda",-1,1)*((N(J56)*N(K56)+N(L56)*N(M56)+N(N56)*N(O56))-(N(J56)+N(L56)+N(N56))*F56)-N(Q56))</f>
        <v/>
      </c>
      <c r="V56" s="9">
        <f>IF(OR(B56="",P56=""),"",U56/S56)</f>
        <v/>
      </c>
      <c r="W56">
        <f>IF(OR(B56="",P56=""),"",NETWORKDAYS(C56,P56)-1)</f>
        <v/>
      </c>
      <c r="X56">
        <f>IF(B56="","",IF(P56="","Aberto","Fechado"))</f>
        <v/>
      </c>
    </row>
    <row r="57">
      <c r="C57" s="6" t="n"/>
      <c r="E57" s="7" t="n"/>
      <c r="F57" s="8" t="n"/>
      <c r="G57" s="8" t="n"/>
      <c r="H57" s="8" t="n"/>
      <c r="J57" s="7" t="n"/>
      <c r="K57" s="8" t="n"/>
      <c r="L57" s="7" t="n"/>
      <c r="M57" s="8" t="n"/>
      <c r="N57" s="7" t="n"/>
      <c r="O57" s="8" t="n"/>
      <c r="P57" s="6" t="n"/>
      <c r="Q57" s="8" t="n"/>
      <c r="S57" s="8">
        <f>IF(B57="","",E57*F57)</f>
        <v/>
      </c>
      <c r="T57" s="8">
        <f>IF(OR(B57="",N(G57)=0),"",ABS(F57-G57)*E57)</f>
        <v/>
      </c>
      <c r="U57" s="8">
        <f>IF(OR(B57="",P57=""),"",IF(D57="Venda",-1,1)*((N(J57)*N(K57)+N(L57)*N(M57)+N(N57)*N(O57))-(N(J57)+N(L57)+N(N57))*F57)-N(Q57))</f>
        <v/>
      </c>
      <c r="V57" s="9">
        <f>IF(OR(B57="",P57=""),"",U57/S57)</f>
        <v/>
      </c>
      <c r="W57">
        <f>IF(OR(B57="",P57=""),"",NETWORKDAYS(C57,P57)-1)</f>
        <v/>
      </c>
      <c r="X57">
        <f>IF(B57="","",IF(P57="","Aberto","Fechado"))</f>
        <v/>
      </c>
    </row>
    <row r="58">
      <c r="C58" s="6" t="n"/>
      <c r="E58" s="7" t="n"/>
      <c r="F58" s="8" t="n"/>
      <c r="G58" s="8" t="n"/>
      <c r="H58" s="8" t="n"/>
      <c r="J58" s="7" t="n"/>
      <c r="K58" s="8" t="n"/>
      <c r="L58" s="7" t="n"/>
      <c r="M58" s="8" t="n"/>
      <c r="N58" s="7" t="n"/>
      <c r="O58" s="8" t="n"/>
      <c r="P58" s="6" t="n"/>
      <c r="Q58" s="8" t="n"/>
      <c r="S58" s="8">
        <f>IF(B58="","",E58*F58)</f>
        <v/>
      </c>
      <c r="T58" s="8">
        <f>IF(OR(B58="",N(G58)=0),"",ABS(F58-G58)*E58)</f>
        <v/>
      </c>
      <c r="U58" s="8">
        <f>IF(OR(B58="",P58=""),"",IF(D58="Venda",-1,1)*((N(J58)*N(K58)+N(L58)*N(M58)+N(N58)*N(O58))-(N(J58)+N(L58)+N(N58))*F58)-N(Q58))</f>
        <v/>
      </c>
      <c r="V58" s="9">
        <f>IF(OR(B58="",P58=""),"",U58/S58)</f>
        <v/>
      </c>
      <c r="W58">
        <f>IF(OR(B58="",P58=""),"",NETWORKDAYS(C58,P58)-1)</f>
        <v/>
      </c>
      <c r="X58">
        <f>IF(B58="","",IF(P58="","Aberto","Fechado"))</f>
        <v/>
      </c>
    </row>
    <row r="59">
      <c r="C59" s="6" t="n"/>
      <c r="E59" s="7" t="n"/>
      <c r="F59" s="8" t="n"/>
      <c r="G59" s="8" t="n"/>
      <c r="H59" s="8" t="n"/>
      <c r="J59" s="7" t="n"/>
      <c r="K59" s="8" t="n"/>
      <c r="L59" s="7" t="n"/>
      <c r="M59" s="8" t="n"/>
      <c r="N59" s="7" t="n"/>
      <c r="O59" s="8" t="n"/>
      <c r="P59" s="6" t="n"/>
      <c r="Q59" s="8" t="n"/>
      <c r="S59" s="8">
        <f>IF(B59="","",E59*F59)</f>
        <v/>
      </c>
      <c r="T59" s="8">
        <f>IF(OR(B59="",N(G59)=0),"",ABS(F59-G59)*E59)</f>
        <v/>
      </c>
      <c r="U59" s="8">
        <f>IF(OR(B59="",P59=""),"",IF(D59="Venda",-1,1)*((N(J59)*N(K59)+N(L59)*N(M59)+N(N59)*N(O59))-(N(J59)+N(L59)+N(N59))*F59)-N(Q59))</f>
        <v/>
      </c>
      <c r="V59" s="9">
        <f>IF(OR(B59="",P59=""),"",U59/S59)</f>
        <v/>
      </c>
      <c r="W59">
        <f>IF(OR(B59="",P59=""),"",NETWORKDAYS(C59,P59)-1)</f>
        <v/>
      </c>
      <c r="X59">
        <f>IF(B59="","",IF(P59="","Aberto","Fechado"))</f>
        <v/>
      </c>
    </row>
    <row r="60">
      <c r="C60" s="6" t="n"/>
      <c r="E60" s="7" t="n"/>
      <c r="F60" s="8" t="n"/>
      <c r="G60" s="8" t="n"/>
      <c r="H60" s="8" t="n"/>
      <c r="J60" s="7" t="n"/>
      <c r="K60" s="8" t="n"/>
      <c r="L60" s="7" t="n"/>
      <c r="M60" s="8" t="n"/>
      <c r="N60" s="7" t="n"/>
      <c r="O60" s="8" t="n"/>
      <c r="P60" s="6" t="n"/>
      <c r="Q60" s="8" t="n"/>
      <c r="S60" s="8">
        <f>IF(B60="","",E60*F60)</f>
        <v/>
      </c>
      <c r="T60" s="8">
        <f>IF(OR(B60="",N(G60)=0),"",ABS(F60-G60)*E60)</f>
        <v/>
      </c>
      <c r="U60" s="8">
        <f>IF(OR(B60="",P60=""),"",IF(D60="Venda",-1,1)*((N(J60)*N(K60)+N(L60)*N(M60)+N(N60)*N(O60))-(N(J60)+N(L60)+N(N60))*F60)-N(Q60))</f>
        <v/>
      </c>
      <c r="V60" s="9">
        <f>IF(OR(B60="",P60=""),"",U60/S60)</f>
        <v/>
      </c>
      <c r="W60">
        <f>IF(OR(B60="",P60=""),"",NETWORKDAYS(C60,P60)-1)</f>
        <v/>
      </c>
      <c r="X60">
        <f>IF(B60="","",IF(P60="","Aberto","Fechado"))</f>
        <v/>
      </c>
    </row>
    <row r="61">
      <c r="C61" s="6" t="n"/>
      <c r="E61" s="7" t="n"/>
      <c r="F61" s="8" t="n"/>
      <c r="G61" s="8" t="n"/>
      <c r="H61" s="8" t="n"/>
      <c r="J61" s="7" t="n"/>
      <c r="K61" s="8" t="n"/>
      <c r="L61" s="7" t="n"/>
      <c r="M61" s="8" t="n"/>
      <c r="N61" s="7" t="n"/>
      <c r="O61" s="8" t="n"/>
      <c r="P61" s="6" t="n"/>
      <c r="Q61" s="8" t="n"/>
      <c r="S61" s="8">
        <f>IF(B61="","",E61*F61)</f>
        <v/>
      </c>
      <c r="T61" s="8">
        <f>IF(OR(B61="",N(G61)=0),"",ABS(F61-G61)*E61)</f>
        <v/>
      </c>
      <c r="U61" s="8">
        <f>IF(OR(B61="",P61=""),"",IF(D61="Venda",-1,1)*((N(J61)*N(K61)+N(L61)*N(M61)+N(N61)*N(O61))-(N(J61)+N(L61)+N(N61))*F61)-N(Q61))</f>
        <v/>
      </c>
      <c r="V61" s="9">
        <f>IF(OR(B61="",P61=""),"",U61/S61)</f>
        <v/>
      </c>
      <c r="W61">
        <f>IF(OR(B61="",P61=""),"",NETWORKDAYS(C61,P61)-1)</f>
        <v/>
      </c>
      <c r="X61">
        <f>IF(B61="","",IF(P61="","Aberto","Fechado"))</f>
        <v/>
      </c>
    </row>
    <row r="62">
      <c r="C62" s="6" t="n"/>
      <c r="E62" s="7" t="n"/>
      <c r="F62" s="8" t="n"/>
      <c r="G62" s="8" t="n"/>
      <c r="H62" s="8" t="n"/>
      <c r="J62" s="7" t="n"/>
      <c r="K62" s="8" t="n"/>
      <c r="L62" s="7" t="n"/>
      <c r="M62" s="8" t="n"/>
      <c r="N62" s="7" t="n"/>
      <c r="O62" s="8" t="n"/>
      <c r="P62" s="6" t="n"/>
      <c r="Q62" s="8" t="n"/>
      <c r="S62" s="8">
        <f>IF(B62="","",E62*F62)</f>
        <v/>
      </c>
      <c r="T62" s="8">
        <f>IF(OR(B62="",N(G62)=0),"",ABS(F62-G62)*E62)</f>
        <v/>
      </c>
      <c r="U62" s="8">
        <f>IF(OR(B62="",P62=""),"",IF(D62="Venda",-1,1)*((N(J62)*N(K62)+N(L62)*N(M62)+N(N62)*N(O62))-(N(J62)+N(L62)+N(N62))*F62)-N(Q62))</f>
        <v/>
      </c>
      <c r="V62" s="9">
        <f>IF(OR(B62="",P62=""),"",U62/S62)</f>
        <v/>
      </c>
      <c r="W62">
        <f>IF(OR(B62="",P62=""),"",NETWORKDAYS(C62,P62)-1)</f>
        <v/>
      </c>
      <c r="X62">
        <f>IF(B62="","",IF(P62="","Aberto","Fechado"))</f>
        <v/>
      </c>
    </row>
    <row r="63">
      <c r="C63" s="6" t="n"/>
      <c r="E63" s="7" t="n"/>
      <c r="F63" s="8" t="n"/>
      <c r="G63" s="8" t="n"/>
      <c r="H63" s="8" t="n"/>
      <c r="J63" s="7" t="n"/>
      <c r="K63" s="8" t="n"/>
      <c r="L63" s="7" t="n"/>
      <c r="M63" s="8" t="n"/>
      <c r="N63" s="7" t="n"/>
      <c r="O63" s="8" t="n"/>
      <c r="P63" s="6" t="n"/>
      <c r="Q63" s="8" t="n"/>
      <c r="S63" s="8">
        <f>IF(B63="","",E63*F63)</f>
        <v/>
      </c>
      <c r="T63" s="8">
        <f>IF(OR(B63="",N(G63)=0),"",ABS(F63-G63)*E63)</f>
        <v/>
      </c>
      <c r="U63" s="8">
        <f>IF(OR(B63="",P63=""),"",IF(D63="Venda",-1,1)*((N(J63)*N(K63)+N(L63)*N(M63)+N(N63)*N(O63))-(N(J63)+N(L63)+N(N63))*F63)-N(Q63))</f>
        <v/>
      </c>
      <c r="V63" s="9">
        <f>IF(OR(B63="",P63=""),"",U63/S63)</f>
        <v/>
      </c>
      <c r="W63">
        <f>IF(OR(B63="",P63=""),"",NETWORKDAYS(C63,P63)-1)</f>
        <v/>
      </c>
      <c r="X63">
        <f>IF(B63="","",IF(P63="","Aberto","Fechado"))</f>
        <v/>
      </c>
    </row>
    <row r="64">
      <c r="C64" s="6" t="n"/>
      <c r="E64" s="7" t="n"/>
      <c r="F64" s="8" t="n"/>
      <c r="G64" s="8" t="n"/>
      <c r="H64" s="8" t="n"/>
      <c r="J64" s="7" t="n"/>
      <c r="K64" s="8" t="n"/>
      <c r="L64" s="7" t="n"/>
      <c r="M64" s="8" t="n"/>
      <c r="N64" s="7" t="n"/>
      <c r="O64" s="8" t="n"/>
      <c r="P64" s="6" t="n"/>
      <c r="Q64" s="8" t="n"/>
      <c r="S64" s="8">
        <f>IF(B64="","",E64*F64)</f>
        <v/>
      </c>
      <c r="T64" s="8">
        <f>IF(OR(B64="",N(G64)=0),"",ABS(F64-G64)*E64)</f>
        <v/>
      </c>
      <c r="U64" s="8">
        <f>IF(OR(B64="",P64=""),"",IF(D64="Venda",-1,1)*((N(J64)*N(K64)+N(L64)*N(M64)+N(N64)*N(O64))-(N(J64)+N(L64)+N(N64))*F64)-N(Q64))</f>
        <v/>
      </c>
      <c r="V64" s="9">
        <f>IF(OR(B64="",P64=""),"",U64/S64)</f>
        <v/>
      </c>
      <c r="W64">
        <f>IF(OR(B64="",P64=""),"",NETWORKDAYS(C64,P64)-1)</f>
        <v/>
      </c>
      <c r="X64">
        <f>IF(B64="","",IF(P64="","Aberto","Fechado"))</f>
        <v/>
      </c>
    </row>
    <row r="65">
      <c r="C65" s="6" t="n"/>
      <c r="E65" s="7" t="n"/>
      <c r="F65" s="8" t="n"/>
      <c r="G65" s="8" t="n"/>
      <c r="H65" s="8" t="n"/>
      <c r="J65" s="7" t="n"/>
      <c r="K65" s="8" t="n"/>
      <c r="L65" s="7" t="n"/>
      <c r="M65" s="8" t="n"/>
      <c r="N65" s="7" t="n"/>
      <c r="O65" s="8" t="n"/>
      <c r="P65" s="6" t="n"/>
      <c r="Q65" s="8" t="n"/>
      <c r="S65" s="8">
        <f>IF(B65="","",E65*F65)</f>
        <v/>
      </c>
      <c r="T65" s="8">
        <f>IF(OR(B65="",N(G65)=0),"",ABS(F65-G65)*E65)</f>
        <v/>
      </c>
      <c r="U65" s="8">
        <f>IF(OR(B65="",P65=""),"",IF(D65="Venda",-1,1)*((N(J65)*N(K65)+N(L65)*N(M65)+N(N65)*N(O65))-(N(J65)+N(L65)+N(N65))*F65)-N(Q65))</f>
        <v/>
      </c>
      <c r="V65" s="9">
        <f>IF(OR(B65="",P65=""),"",U65/S65)</f>
        <v/>
      </c>
      <c r="W65">
        <f>IF(OR(B65="",P65=""),"",NETWORKDAYS(C65,P65)-1)</f>
        <v/>
      </c>
      <c r="X65">
        <f>IF(B65="","",IF(P65="","Aberto","Fechado"))</f>
        <v/>
      </c>
    </row>
    <row r="66">
      <c r="C66" s="6" t="n"/>
      <c r="E66" s="7" t="n"/>
      <c r="F66" s="8" t="n"/>
      <c r="G66" s="8" t="n"/>
      <c r="H66" s="8" t="n"/>
      <c r="J66" s="7" t="n"/>
      <c r="K66" s="8" t="n"/>
      <c r="L66" s="7" t="n"/>
      <c r="M66" s="8" t="n"/>
      <c r="N66" s="7" t="n"/>
      <c r="O66" s="8" t="n"/>
      <c r="P66" s="6" t="n"/>
      <c r="Q66" s="8" t="n"/>
      <c r="S66" s="8">
        <f>IF(B66="","",E66*F66)</f>
        <v/>
      </c>
      <c r="T66" s="8">
        <f>IF(OR(B66="",N(G66)=0),"",ABS(F66-G66)*E66)</f>
        <v/>
      </c>
      <c r="U66" s="8">
        <f>IF(OR(B66="",P66=""),"",IF(D66="Venda",-1,1)*((N(J66)*N(K66)+N(L66)*N(M66)+N(N66)*N(O66))-(N(J66)+N(L66)+N(N66))*F66)-N(Q66))</f>
        <v/>
      </c>
      <c r="V66" s="9">
        <f>IF(OR(B66="",P66=""),"",U66/S66)</f>
        <v/>
      </c>
      <c r="W66">
        <f>IF(OR(B66="",P66=""),"",NETWORKDAYS(C66,P66)-1)</f>
        <v/>
      </c>
      <c r="X66">
        <f>IF(B66="","",IF(P66="","Aberto","Fechado"))</f>
        <v/>
      </c>
    </row>
    <row r="67">
      <c r="C67" s="6" t="n"/>
      <c r="E67" s="7" t="n"/>
      <c r="F67" s="8" t="n"/>
      <c r="G67" s="8" t="n"/>
      <c r="H67" s="8" t="n"/>
      <c r="J67" s="7" t="n"/>
      <c r="K67" s="8" t="n"/>
      <c r="L67" s="7" t="n"/>
      <c r="M67" s="8" t="n"/>
      <c r="N67" s="7" t="n"/>
      <c r="O67" s="8" t="n"/>
      <c r="P67" s="6" t="n"/>
      <c r="Q67" s="8" t="n"/>
      <c r="S67" s="8">
        <f>IF(B67="","",E67*F67)</f>
        <v/>
      </c>
      <c r="T67" s="8">
        <f>IF(OR(B67="",N(G67)=0),"",ABS(F67-G67)*E67)</f>
        <v/>
      </c>
      <c r="U67" s="8">
        <f>IF(OR(B67="",P67=""),"",IF(D67="Venda",-1,1)*((N(J67)*N(K67)+N(L67)*N(M67)+N(N67)*N(O67))-(N(J67)+N(L67)+N(N67))*F67)-N(Q67))</f>
        <v/>
      </c>
      <c r="V67" s="9">
        <f>IF(OR(B67="",P67=""),"",U67/S67)</f>
        <v/>
      </c>
      <c r="W67">
        <f>IF(OR(B67="",P67=""),"",NETWORKDAYS(C67,P67)-1)</f>
        <v/>
      </c>
      <c r="X67">
        <f>IF(B67="","",IF(P67="","Aberto","Fechado"))</f>
        <v/>
      </c>
    </row>
    <row r="68">
      <c r="C68" s="6" t="n"/>
      <c r="E68" s="7" t="n"/>
      <c r="F68" s="8" t="n"/>
      <c r="G68" s="8" t="n"/>
      <c r="H68" s="8" t="n"/>
      <c r="J68" s="7" t="n"/>
      <c r="K68" s="8" t="n"/>
      <c r="L68" s="7" t="n"/>
      <c r="M68" s="8" t="n"/>
      <c r="N68" s="7" t="n"/>
      <c r="O68" s="8" t="n"/>
      <c r="P68" s="6" t="n"/>
      <c r="Q68" s="8" t="n"/>
      <c r="S68" s="8">
        <f>IF(B68="","",E68*F68)</f>
        <v/>
      </c>
      <c r="T68" s="8">
        <f>IF(OR(B68="",N(G68)=0),"",ABS(F68-G68)*E68)</f>
        <v/>
      </c>
      <c r="U68" s="8">
        <f>IF(OR(B68="",P68=""),"",IF(D68="Venda",-1,1)*((N(J68)*N(K68)+N(L68)*N(M68)+N(N68)*N(O68))-(N(J68)+N(L68)+N(N68))*F68)-N(Q68))</f>
        <v/>
      </c>
      <c r="V68" s="9">
        <f>IF(OR(B68="",P68=""),"",U68/S68)</f>
        <v/>
      </c>
      <c r="W68">
        <f>IF(OR(B68="",P68=""),"",NETWORKDAYS(C68,P68)-1)</f>
        <v/>
      </c>
      <c r="X68">
        <f>IF(B68="","",IF(P68="","Aberto","Fechado"))</f>
        <v/>
      </c>
    </row>
    <row r="69">
      <c r="C69" s="6" t="n"/>
      <c r="E69" s="7" t="n"/>
      <c r="F69" s="8" t="n"/>
      <c r="G69" s="8" t="n"/>
      <c r="H69" s="8" t="n"/>
      <c r="J69" s="7" t="n"/>
      <c r="K69" s="8" t="n"/>
      <c r="L69" s="7" t="n"/>
      <c r="M69" s="8" t="n"/>
      <c r="N69" s="7" t="n"/>
      <c r="O69" s="8" t="n"/>
      <c r="P69" s="6" t="n"/>
      <c r="Q69" s="8" t="n"/>
      <c r="S69" s="8">
        <f>IF(B69="","",E69*F69)</f>
        <v/>
      </c>
      <c r="T69" s="8">
        <f>IF(OR(B69="",N(G69)=0),"",ABS(F69-G69)*E69)</f>
        <v/>
      </c>
      <c r="U69" s="8">
        <f>IF(OR(B69="",P69=""),"",IF(D69="Venda",-1,1)*((N(J69)*N(K69)+N(L69)*N(M69)+N(N69)*N(O69))-(N(J69)+N(L69)+N(N69))*F69)-N(Q69))</f>
        <v/>
      </c>
      <c r="V69" s="9">
        <f>IF(OR(B69="",P69=""),"",U69/S69)</f>
        <v/>
      </c>
      <c r="W69">
        <f>IF(OR(B69="",P69=""),"",NETWORKDAYS(C69,P69)-1)</f>
        <v/>
      </c>
      <c r="X69">
        <f>IF(B69="","",IF(P69="","Aberto","Fechado"))</f>
        <v/>
      </c>
    </row>
    <row r="70">
      <c r="C70" s="6" t="n"/>
      <c r="E70" s="7" t="n"/>
      <c r="F70" s="8" t="n"/>
      <c r="G70" s="8" t="n"/>
      <c r="H70" s="8" t="n"/>
      <c r="J70" s="7" t="n"/>
      <c r="K70" s="8" t="n"/>
      <c r="L70" s="7" t="n"/>
      <c r="M70" s="8" t="n"/>
      <c r="N70" s="7" t="n"/>
      <c r="O70" s="8" t="n"/>
      <c r="P70" s="6" t="n"/>
      <c r="Q70" s="8" t="n"/>
      <c r="S70" s="8">
        <f>IF(B70="","",E70*F70)</f>
        <v/>
      </c>
      <c r="T70" s="8">
        <f>IF(OR(B70="",N(G70)=0),"",ABS(F70-G70)*E70)</f>
        <v/>
      </c>
      <c r="U70" s="8">
        <f>IF(OR(B70="",P70=""),"",IF(D70="Venda",-1,1)*((N(J70)*N(K70)+N(L70)*N(M70)+N(N70)*N(O70))-(N(J70)+N(L70)+N(N70))*F70)-N(Q70))</f>
        <v/>
      </c>
      <c r="V70" s="9">
        <f>IF(OR(B70="",P70=""),"",U70/S70)</f>
        <v/>
      </c>
      <c r="W70">
        <f>IF(OR(B70="",P70=""),"",NETWORKDAYS(C70,P70)-1)</f>
        <v/>
      </c>
      <c r="X70">
        <f>IF(B70="","",IF(P70="","Aberto","Fechado"))</f>
        <v/>
      </c>
    </row>
    <row r="71">
      <c r="C71" s="6" t="n"/>
      <c r="E71" s="7" t="n"/>
      <c r="F71" s="8" t="n"/>
      <c r="G71" s="8" t="n"/>
      <c r="H71" s="8" t="n"/>
      <c r="J71" s="7" t="n"/>
      <c r="K71" s="8" t="n"/>
      <c r="L71" s="7" t="n"/>
      <c r="M71" s="8" t="n"/>
      <c r="N71" s="7" t="n"/>
      <c r="O71" s="8" t="n"/>
      <c r="P71" s="6" t="n"/>
      <c r="Q71" s="8" t="n"/>
      <c r="S71" s="8">
        <f>IF(B71="","",E71*F71)</f>
        <v/>
      </c>
      <c r="T71" s="8">
        <f>IF(OR(B71="",N(G71)=0),"",ABS(F71-G71)*E71)</f>
        <v/>
      </c>
      <c r="U71" s="8">
        <f>IF(OR(B71="",P71=""),"",IF(D71="Venda",-1,1)*((N(J71)*N(K71)+N(L71)*N(M71)+N(N71)*N(O71))-(N(J71)+N(L71)+N(N71))*F71)-N(Q71))</f>
        <v/>
      </c>
      <c r="V71" s="9">
        <f>IF(OR(B71="",P71=""),"",U71/S71)</f>
        <v/>
      </c>
      <c r="W71">
        <f>IF(OR(B71="",P71=""),"",NETWORKDAYS(C71,P71)-1)</f>
        <v/>
      </c>
      <c r="X71">
        <f>IF(B71="","",IF(P71="","Aberto","Fechado"))</f>
        <v/>
      </c>
    </row>
    <row r="72">
      <c r="C72" s="6" t="n"/>
      <c r="E72" s="7" t="n"/>
      <c r="F72" s="8" t="n"/>
      <c r="G72" s="8" t="n"/>
      <c r="H72" s="8" t="n"/>
      <c r="J72" s="7" t="n"/>
      <c r="K72" s="8" t="n"/>
      <c r="L72" s="7" t="n"/>
      <c r="M72" s="8" t="n"/>
      <c r="N72" s="7" t="n"/>
      <c r="O72" s="8" t="n"/>
      <c r="P72" s="6" t="n"/>
      <c r="Q72" s="8" t="n"/>
      <c r="S72" s="8">
        <f>IF(B72="","",E72*F72)</f>
        <v/>
      </c>
      <c r="T72" s="8">
        <f>IF(OR(B72="",N(G72)=0),"",ABS(F72-G72)*E72)</f>
        <v/>
      </c>
      <c r="U72" s="8">
        <f>IF(OR(B72="",P72=""),"",IF(D72="Venda",-1,1)*((N(J72)*N(K72)+N(L72)*N(M72)+N(N72)*N(O72))-(N(J72)+N(L72)+N(N72))*F72)-N(Q72))</f>
        <v/>
      </c>
      <c r="V72" s="9">
        <f>IF(OR(B72="",P72=""),"",U72/S72)</f>
        <v/>
      </c>
      <c r="W72">
        <f>IF(OR(B72="",P72=""),"",NETWORKDAYS(C72,P72)-1)</f>
        <v/>
      </c>
      <c r="X72">
        <f>IF(B72="","",IF(P72="","Aberto","Fechado"))</f>
        <v/>
      </c>
    </row>
    <row r="73">
      <c r="C73" s="6" t="n"/>
      <c r="E73" s="7" t="n"/>
      <c r="F73" s="8" t="n"/>
      <c r="G73" s="8" t="n"/>
      <c r="H73" s="8" t="n"/>
      <c r="J73" s="7" t="n"/>
      <c r="K73" s="8" t="n"/>
      <c r="L73" s="7" t="n"/>
      <c r="M73" s="8" t="n"/>
      <c r="N73" s="7" t="n"/>
      <c r="O73" s="8" t="n"/>
      <c r="P73" s="6" t="n"/>
      <c r="Q73" s="8" t="n"/>
      <c r="S73" s="8">
        <f>IF(B73="","",E73*F73)</f>
        <v/>
      </c>
      <c r="T73" s="8">
        <f>IF(OR(B73="",N(G73)=0),"",ABS(F73-G73)*E73)</f>
        <v/>
      </c>
      <c r="U73" s="8">
        <f>IF(OR(B73="",P73=""),"",IF(D73="Venda",-1,1)*((N(J73)*N(K73)+N(L73)*N(M73)+N(N73)*N(O73))-(N(J73)+N(L73)+N(N73))*F73)-N(Q73))</f>
        <v/>
      </c>
      <c r="V73" s="9">
        <f>IF(OR(B73="",P73=""),"",U73/S73)</f>
        <v/>
      </c>
      <c r="W73">
        <f>IF(OR(B73="",P73=""),"",NETWORKDAYS(C73,P73)-1)</f>
        <v/>
      </c>
      <c r="X73">
        <f>IF(B73="","",IF(P73="","Aberto","Fechado"))</f>
        <v/>
      </c>
    </row>
    <row r="74">
      <c r="C74" s="6" t="n"/>
      <c r="E74" s="7" t="n"/>
      <c r="F74" s="8" t="n"/>
      <c r="G74" s="8" t="n"/>
      <c r="H74" s="8" t="n"/>
      <c r="J74" s="7" t="n"/>
      <c r="K74" s="8" t="n"/>
      <c r="L74" s="7" t="n"/>
      <c r="M74" s="8" t="n"/>
      <c r="N74" s="7" t="n"/>
      <c r="O74" s="8" t="n"/>
      <c r="P74" s="6" t="n"/>
      <c r="Q74" s="8" t="n"/>
      <c r="S74" s="8">
        <f>IF(B74="","",E74*F74)</f>
        <v/>
      </c>
      <c r="T74" s="8">
        <f>IF(OR(B74="",N(G74)=0),"",ABS(F74-G74)*E74)</f>
        <v/>
      </c>
      <c r="U74" s="8">
        <f>IF(OR(B74="",P74=""),"",IF(D74="Venda",-1,1)*((N(J74)*N(K74)+N(L74)*N(M74)+N(N74)*N(O74))-(N(J74)+N(L74)+N(N74))*F74)-N(Q74))</f>
        <v/>
      </c>
      <c r="V74" s="9">
        <f>IF(OR(B74="",P74=""),"",U74/S74)</f>
        <v/>
      </c>
      <c r="W74">
        <f>IF(OR(B74="",P74=""),"",NETWORKDAYS(C74,P74)-1)</f>
        <v/>
      </c>
      <c r="X74">
        <f>IF(B74="","",IF(P74="","Aberto","Fechado"))</f>
        <v/>
      </c>
    </row>
    <row r="75">
      <c r="C75" s="6" t="n"/>
      <c r="E75" s="7" t="n"/>
      <c r="F75" s="8" t="n"/>
      <c r="G75" s="8" t="n"/>
      <c r="H75" s="8" t="n"/>
      <c r="J75" s="7" t="n"/>
      <c r="K75" s="8" t="n"/>
      <c r="L75" s="7" t="n"/>
      <c r="M75" s="8" t="n"/>
      <c r="N75" s="7" t="n"/>
      <c r="O75" s="8" t="n"/>
      <c r="P75" s="6" t="n"/>
      <c r="Q75" s="8" t="n"/>
      <c r="S75" s="8">
        <f>IF(B75="","",E75*F75)</f>
        <v/>
      </c>
      <c r="T75" s="8">
        <f>IF(OR(B75="",N(G75)=0),"",ABS(F75-G75)*E75)</f>
        <v/>
      </c>
      <c r="U75" s="8">
        <f>IF(OR(B75="",P75=""),"",IF(D75="Venda",-1,1)*((N(J75)*N(K75)+N(L75)*N(M75)+N(N75)*N(O75))-(N(J75)+N(L75)+N(N75))*F75)-N(Q75))</f>
        <v/>
      </c>
      <c r="V75" s="9">
        <f>IF(OR(B75="",P75=""),"",U75/S75)</f>
        <v/>
      </c>
      <c r="W75">
        <f>IF(OR(B75="",P75=""),"",NETWORKDAYS(C75,P75)-1)</f>
        <v/>
      </c>
      <c r="X75">
        <f>IF(B75="","",IF(P75="","Aberto","Fechado"))</f>
        <v/>
      </c>
    </row>
    <row r="76">
      <c r="C76" s="6" t="n"/>
      <c r="E76" s="7" t="n"/>
      <c r="F76" s="8" t="n"/>
      <c r="G76" s="8" t="n"/>
      <c r="H76" s="8" t="n"/>
      <c r="J76" s="7" t="n"/>
      <c r="K76" s="8" t="n"/>
      <c r="L76" s="7" t="n"/>
      <c r="M76" s="8" t="n"/>
      <c r="N76" s="7" t="n"/>
      <c r="O76" s="8" t="n"/>
      <c r="P76" s="6" t="n"/>
      <c r="Q76" s="8" t="n"/>
      <c r="S76" s="8">
        <f>IF(B76="","",E76*F76)</f>
        <v/>
      </c>
      <c r="T76" s="8">
        <f>IF(OR(B76="",N(G76)=0),"",ABS(F76-G76)*E76)</f>
        <v/>
      </c>
      <c r="U76" s="8">
        <f>IF(OR(B76="",P76=""),"",IF(D76="Venda",-1,1)*((N(J76)*N(K76)+N(L76)*N(M76)+N(N76)*N(O76))-(N(J76)+N(L76)+N(N76))*F76)-N(Q76))</f>
        <v/>
      </c>
      <c r="V76" s="9">
        <f>IF(OR(B76="",P76=""),"",U76/S76)</f>
        <v/>
      </c>
      <c r="W76">
        <f>IF(OR(B76="",P76=""),"",NETWORKDAYS(C76,P76)-1)</f>
        <v/>
      </c>
      <c r="X76">
        <f>IF(B76="","",IF(P76="","Aberto","Fechado"))</f>
        <v/>
      </c>
    </row>
    <row r="77">
      <c r="C77" s="6" t="n"/>
      <c r="E77" s="7" t="n"/>
      <c r="F77" s="8" t="n"/>
      <c r="G77" s="8" t="n"/>
      <c r="H77" s="8" t="n"/>
      <c r="J77" s="7" t="n"/>
      <c r="K77" s="8" t="n"/>
      <c r="L77" s="7" t="n"/>
      <c r="M77" s="8" t="n"/>
      <c r="N77" s="7" t="n"/>
      <c r="O77" s="8" t="n"/>
      <c r="P77" s="6" t="n"/>
      <c r="Q77" s="8" t="n"/>
      <c r="S77" s="8">
        <f>IF(B77="","",E77*F77)</f>
        <v/>
      </c>
      <c r="T77" s="8">
        <f>IF(OR(B77="",N(G77)=0),"",ABS(F77-G77)*E77)</f>
        <v/>
      </c>
      <c r="U77" s="8">
        <f>IF(OR(B77="",P77=""),"",IF(D77="Venda",-1,1)*((N(J77)*N(K77)+N(L77)*N(M77)+N(N77)*N(O77))-(N(J77)+N(L77)+N(N77))*F77)-N(Q77))</f>
        <v/>
      </c>
      <c r="V77" s="9">
        <f>IF(OR(B77="",P77=""),"",U77/S77)</f>
        <v/>
      </c>
      <c r="W77">
        <f>IF(OR(B77="",P77=""),"",NETWORKDAYS(C77,P77)-1)</f>
        <v/>
      </c>
      <c r="X77">
        <f>IF(B77="","",IF(P77="","Aberto","Fechado"))</f>
        <v/>
      </c>
    </row>
    <row r="78">
      <c r="C78" s="6" t="n"/>
      <c r="E78" s="7" t="n"/>
      <c r="F78" s="8" t="n"/>
      <c r="G78" s="8" t="n"/>
      <c r="H78" s="8" t="n"/>
      <c r="J78" s="7" t="n"/>
      <c r="K78" s="8" t="n"/>
      <c r="L78" s="7" t="n"/>
      <c r="M78" s="8" t="n"/>
      <c r="N78" s="7" t="n"/>
      <c r="O78" s="8" t="n"/>
      <c r="P78" s="6" t="n"/>
      <c r="Q78" s="8" t="n"/>
      <c r="S78" s="8">
        <f>IF(B78="","",E78*F78)</f>
        <v/>
      </c>
      <c r="T78" s="8">
        <f>IF(OR(B78="",N(G78)=0),"",ABS(F78-G78)*E78)</f>
        <v/>
      </c>
      <c r="U78" s="8">
        <f>IF(OR(B78="",P78=""),"",IF(D78="Venda",-1,1)*((N(J78)*N(K78)+N(L78)*N(M78)+N(N78)*N(O78))-(N(J78)+N(L78)+N(N78))*F78)-N(Q78))</f>
        <v/>
      </c>
      <c r="V78" s="9">
        <f>IF(OR(B78="",P78=""),"",U78/S78)</f>
        <v/>
      </c>
      <c r="W78">
        <f>IF(OR(B78="",P78=""),"",NETWORKDAYS(C78,P78)-1)</f>
        <v/>
      </c>
      <c r="X78">
        <f>IF(B78="","",IF(P78="","Aberto","Fechado"))</f>
        <v/>
      </c>
    </row>
    <row r="79">
      <c r="C79" s="6" t="n"/>
      <c r="E79" s="7" t="n"/>
      <c r="F79" s="8" t="n"/>
      <c r="G79" s="8" t="n"/>
      <c r="H79" s="8" t="n"/>
      <c r="J79" s="7" t="n"/>
      <c r="K79" s="8" t="n"/>
      <c r="L79" s="7" t="n"/>
      <c r="M79" s="8" t="n"/>
      <c r="N79" s="7" t="n"/>
      <c r="O79" s="8" t="n"/>
      <c r="P79" s="6" t="n"/>
      <c r="Q79" s="8" t="n"/>
      <c r="S79" s="8">
        <f>IF(B79="","",E79*F79)</f>
        <v/>
      </c>
      <c r="T79" s="8">
        <f>IF(OR(B79="",N(G79)=0),"",ABS(F79-G79)*E79)</f>
        <v/>
      </c>
      <c r="U79" s="8">
        <f>IF(OR(B79="",P79=""),"",IF(D79="Venda",-1,1)*((N(J79)*N(K79)+N(L79)*N(M79)+N(N79)*N(O79))-(N(J79)+N(L79)+N(N79))*F79)-N(Q79))</f>
        <v/>
      </c>
      <c r="V79" s="9">
        <f>IF(OR(B79="",P79=""),"",U79/S79)</f>
        <v/>
      </c>
      <c r="W79">
        <f>IF(OR(B79="",P79=""),"",NETWORKDAYS(C79,P79)-1)</f>
        <v/>
      </c>
      <c r="X79">
        <f>IF(B79="","",IF(P79="","Aberto","Fechado"))</f>
        <v/>
      </c>
    </row>
    <row r="80">
      <c r="C80" s="6" t="n"/>
      <c r="E80" s="7" t="n"/>
      <c r="F80" s="8" t="n"/>
      <c r="G80" s="8" t="n"/>
      <c r="H80" s="8" t="n"/>
      <c r="J80" s="7" t="n"/>
      <c r="K80" s="8" t="n"/>
      <c r="L80" s="7" t="n"/>
      <c r="M80" s="8" t="n"/>
      <c r="N80" s="7" t="n"/>
      <c r="O80" s="8" t="n"/>
      <c r="P80" s="6" t="n"/>
      <c r="Q80" s="8" t="n"/>
      <c r="S80" s="8">
        <f>IF(B80="","",E80*F80)</f>
        <v/>
      </c>
      <c r="T80" s="8">
        <f>IF(OR(B80="",N(G80)=0),"",ABS(F80-G80)*E80)</f>
        <v/>
      </c>
      <c r="U80" s="8">
        <f>IF(OR(B80="",P80=""),"",IF(D80="Venda",-1,1)*((N(J80)*N(K80)+N(L80)*N(M80)+N(N80)*N(O80))-(N(J80)+N(L80)+N(N80))*F80)-N(Q80))</f>
        <v/>
      </c>
      <c r="V80" s="9">
        <f>IF(OR(B80="",P80=""),"",U80/S80)</f>
        <v/>
      </c>
      <c r="W80">
        <f>IF(OR(B80="",P80=""),"",NETWORKDAYS(C80,P80)-1)</f>
        <v/>
      </c>
      <c r="X80">
        <f>IF(B80="","",IF(P80="","Aberto","Fechado"))</f>
        <v/>
      </c>
    </row>
    <row r="81">
      <c r="C81" s="6" t="n"/>
      <c r="E81" s="7" t="n"/>
      <c r="F81" s="8" t="n"/>
      <c r="G81" s="8" t="n"/>
      <c r="H81" s="8" t="n"/>
      <c r="J81" s="7" t="n"/>
      <c r="K81" s="8" t="n"/>
      <c r="L81" s="7" t="n"/>
      <c r="M81" s="8" t="n"/>
      <c r="N81" s="7" t="n"/>
      <c r="O81" s="8" t="n"/>
      <c r="P81" s="6" t="n"/>
      <c r="Q81" s="8" t="n"/>
      <c r="S81" s="8">
        <f>IF(B81="","",E81*F81)</f>
        <v/>
      </c>
      <c r="T81" s="8">
        <f>IF(OR(B81="",N(G81)=0),"",ABS(F81-G81)*E81)</f>
        <v/>
      </c>
      <c r="U81" s="8">
        <f>IF(OR(B81="",P81=""),"",IF(D81="Venda",-1,1)*((N(J81)*N(K81)+N(L81)*N(M81)+N(N81)*N(O81))-(N(J81)+N(L81)+N(N81))*F81)-N(Q81))</f>
        <v/>
      </c>
      <c r="V81" s="9">
        <f>IF(OR(B81="",P81=""),"",U81/S81)</f>
        <v/>
      </c>
      <c r="W81">
        <f>IF(OR(B81="",P81=""),"",NETWORKDAYS(C81,P81)-1)</f>
        <v/>
      </c>
      <c r="X81">
        <f>IF(B81="","",IF(P81="","Aberto","Fechado"))</f>
        <v/>
      </c>
    </row>
    <row r="82">
      <c r="C82" s="6" t="n"/>
      <c r="E82" s="7" t="n"/>
      <c r="F82" s="8" t="n"/>
      <c r="G82" s="8" t="n"/>
      <c r="H82" s="8" t="n"/>
      <c r="J82" s="7" t="n"/>
      <c r="K82" s="8" t="n"/>
      <c r="L82" s="7" t="n"/>
      <c r="M82" s="8" t="n"/>
      <c r="N82" s="7" t="n"/>
      <c r="O82" s="8" t="n"/>
      <c r="P82" s="6" t="n"/>
      <c r="Q82" s="8" t="n"/>
      <c r="S82" s="8">
        <f>IF(B82="","",E82*F82)</f>
        <v/>
      </c>
      <c r="T82" s="8">
        <f>IF(OR(B82="",N(G82)=0),"",ABS(F82-G82)*E82)</f>
        <v/>
      </c>
      <c r="U82" s="8">
        <f>IF(OR(B82="",P82=""),"",IF(D82="Venda",-1,1)*((N(J82)*N(K82)+N(L82)*N(M82)+N(N82)*N(O82))-(N(J82)+N(L82)+N(N82))*F82)-N(Q82))</f>
        <v/>
      </c>
      <c r="V82" s="9">
        <f>IF(OR(B82="",P82=""),"",U82/S82)</f>
        <v/>
      </c>
      <c r="W82">
        <f>IF(OR(B82="",P82=""),"",NETWORKDAYS(C82,P82)-1)</f>
        <v/>
      </c>
      <c r="X82">
        <f>IF(B82="","",IF(P82="","Aberto","Fechado"))</f>
        <v/>
      </c>
    </row>
    <row r="83">
      <c r="C83" s="6" t="n"/>
      <c r="E83" s="7" t="n"/>
      <c r="F83" s="8" t="n"/>
      <c r="G83" s="8" t="n"/>
      <c r="H83" s="8" t="n"/>
      <c r="J83" s="7" t="n"/>
      <c r="K83" s="8" t="n"/>
      <c r="L83" s="7" t="n"/>
      <c r="M83" s="8" t="n"/>
      <c r="N83" s="7" t="n"/>
      <c r="O83" s="8" t="n"/>
      <c r="P83" s="6" t="n"/>
      <c r="Q83" s="8" t="n"/>
      <c r="S83" s="8">
        <f>IF(B83="","",E83*F83)</f>
        <v/>
      </c>
      <c r="T83" s="8">
        <f>IF(OR(B83="",N(G83)=0),"",ABS(F83-G83)*E83)</f>
        <v/>
      </c>
      <c r="U83" s="8">
        <f>IF(OR(B83="",P83=""),"",IF(D83="Venda",-1,1)*((N(J83)*N(K83)+N(L83)*N(M83)+N(N83)*N(O83))-(N(J83)+N(L83)+N(N83))*F83)-N(Q83))</f>
        <v/>
      </c>
      <c r="V83" s="9">
        <f>IF(OR(B83="",P83=""),"",U83/S83)</f>
        <v/>
      </c>
      <c r="W83">
        <f>IF(OR(B83="",P83=""),"",NETWORKDAYS(C83,P83)-1)</f>
        <v/>
      </c>
      <c r="X83">
        <f>IF(B83="","",IF(P83="","Aberto","Fechado"))</f>
        <v/>
      </c>
    </row>
    <row r="84">
      <c r="C84" s="6" t="n"/>
      <c r="E84" s="7" t="n"/>
      <c r="F84" s="8" t="n"/>
      <c r="G84" s="8" t="n"/>
      <c r="H84" s="8" t="n"/>
      <c r="J84" s="7" t="n"/>
      <c r="K84" s="8" t="n"/>
      <c r="L84" s="7" t="n"/>
      <c r="M84" s="8" t="n"/>
      <c r="N84" s="7" t="n"/>
      <c r="O84" s="8" t="n"/>
      <c r="P84" s="6" t="n"/>
      <c r="Q84" s="8" t="n"/>
      <c r="S84" s="8">
        <f>IF(B84="","",E84*F84)</f>
        <v/>
      </c>
      <c r="T84" s="8">
        <f>IF(OR(B84="",N(G84)=0),"",ABS(F84-G84)*E84)</f>
        <v/>
      </c>
      <c r="U84" s="8">
        <f>IF(OR(B84="",P84=""),"",IF(D84="Venda",-1,1)*((N(J84)*N(K84)+N(L84)*N(M84)+N(N84)*N(O84))-(N(J84)+N(L84)+N(N84))*F84)-N(Q84))</f>
        <v/>
      </c>
      <c r="V84" s="9">
        <f>IF(OR(B84="",P84=""),"",U84/S84)</f>
        <v/>
      </c>
      <c r="W84">
        <f>IF(OR(B84="",P84=""),"",NETWORKDAYS(C84,P84)-1)</f>
        <v/>
      </c>
      <c r="X84">
        <f>IF(B84="","",IF(P84="","Aberto","Fechado"))</f>
        <v/>
      </c>
    </row>
    <row r="85">
      <c r="C85" s="6" t="n"/>
      <c r="E85" s="7" t="n"/>
      <c r="F85" s="8" t="n"/>
      <c r="G85" s="8" t="n"/>
      <c r="H85" s="8" t="n"/>
      <c r="J85" s="7" t="n"/>
      <c r="K85" s="8" t="n"/>
      <c r="L85" s="7" t="n"/>
      <c r="M85" s="8" t="n"/>
      <c r="N85" s="7" t="n"/>
      <c r="O85" s="8" t="n"/>
      <c r="P85" s="6" t="n"/>
      <c r="Q85" s="8" t="n"/>
      <c r="S85" s="8">
        <f>IF(B85="","",E85*F85)</f>
        <v/>
      </c>
      <c r="T85" s="8">
        <f>IF(OR(B85="",N(G85)=0),"",ABS(F85-G85)*E85)</f>
        <v/>
      </c>
      <c r="U85" s="8">
        <f>IF(OR(B85="",P85=""),"",IF(D85="Venda",-1,1)*((N(J85)*N(K85)+N(L85)*N(M85)+N(N85)*N(O85))-(N(J85)+N(L85)+N(N85))*F85)-N(Q85))</f>
        <v/>
      </c>
      <c r="V85" s="9">
        <f>IF(OR(B85="",P85=""),"",U85/S85)</f>
        <v/>
      </c>
      <c r="W85">
        <f>IF(OR(B85="",P85=""),"",NETWORKDAYS(C85,P85)-1)</f>
        <v/>
      </c>
      <c r="X85">
        <f>IF(B85="","",IF(P85="","Aberto","Fechado"))</f>
        <v/>
      </c>
    </row>
    <row r="86">
      <c r="C86" s="6" t="n"/>
      <c r="E86" s="7" t="n"/>
      <c r="F86" s="8" t="n"/>
      <c r="G86" s="8" t="n"/>
      <c r="H86" s="8" t="n"/>
      <c r="J86" s="7" t="n"/>
      <c r="K86" s="8" t="n"/>
      <c r="L86" s="7" t="n"/>
      <c r="M86" s="8" t="n"/>
      <c r="N86" s="7" t="n"/>
      <c r="O86" s="8" t="n"/>
      <c r="P86" s="6" t="n"/>
      <c r="Q86" s="8" t="n"/>
      <c r="S86" s="8">
        <f>IF(B86="","",E86*F86)</f>
        <v/>
      </c>
      <c r="T86" s="8">
        <f>IF(OR(B86="",N(G86)=0),"",ABS(F86-G86)*E86)</f>
        <v/>
      </c>
      <c r="U86" s="8">
        <f>IF(OR(B86="",P86=""),"",IF(D86="Venda",-1,1)*((N(J86)*N(K86)+N(L86)*N(M86)+N(N86)*N(O86))-(N(J86)+N(L86)+N(N86))*F86)-N(Q86))</f>
        <v/>
      </c>
      <c r="V86" s="9">
        <f>IF(OR(B86="",P86=""),"",U86/S86)</f>
        <v/>
      </c>
      <c r="W86">
        <f>IF(OR(B86="",P86=""),"",NETWORKDAYS(C86,P86)-1)</f>
        <v/>
      </c>
      <c r="X86">
        <f>IF(B86="","",IF(P86="","Aberto","Fechado"))</f>
        <v/>
      </c>
    </row>
    <row r="87">
      <c r="C87" s="6" t="n"/>
      <c r="E87" s="7" t="n"/>
      <c r="F87" s="8" t="n"/>
      <c r="G87" s="8" t="n"/>
      <c r="H87" s="8" t="n"/>
      <c r="J87" s="7" t="n"/>
      <c r="K87" s="8" t="n"/>
      <c r="L87" s="7" t="n"/>
      <c r="M87" s="8" t="n"/>
      <c r="N87" s="7" t="n"/>
      <c r="O87" s="8" t="n"/>
      <c r="P87" s="6" t="n"/>
      <c r="Q87" s="8" t="n"/>
      <c r="S87" s="8">
        <f>IF(B87="","",E87*F87)</f>
        <v/>
      </c>
      <c r="T87" s="8">
        <f>IF(OR(B87="",N(G87)=0),"",ABS(F87-G87)*E87)</f>
        <v/>
      </c>
      <c r="U87" s="8">
        <f>IF(OR(B87="",P87=""),"",IF(D87="Venda",-1,1)*((N(J87)*N(K87)+N(L87)*N(M87)+N(N87)*N(O87))-(N(J87)+N(L87)+N(N87))*F87)-N(Q87))</f>
        <v/>
      </c>
      <c r="V87" s="9">
        <f>IF(OR(B87="",P87=""),"",U87/S87)</f>
        <v/>
      </c>
      <c r="W87">
        <f>IF(OR(B87="",P87=""),"",NETWORKDAYS(C87,P87)-1)</f>
        <v/>
      </c>
      <c r="X87">
        <f>IF(B87="","",IF(P87="","Aberto","Fechado"))</f>
        <v/>
      </c>
    </row>
    <row r="88">
      <c r="C88" s="6" t="n"/>
      <c r="E88" s="7" t="n"/>
      <c r="F88" s="8" t="n"/>
      <c r="G88" s="8" t="n"/>
      <c r="H88" s="8" t="n"/>
      <c r="J88" s="7" t="n"/>
      <c r="K88" s="8" t="n"/>
      <c r="L88" s="7" t="n"/>
      <c r="M88" s="8" t="n"/>
      <c r="N88" s="7" t="n"/>
      <c r="O88" s="8" t="n"/>
      <c r="P88" s="6" t="n"/>
      <c r="Q88" s="8" t="n"/>
      <c r="S88" s="8">
        <f>IF(B88="","",E88*F88)</f>
        <v/>
      </c>
      <c r="T88" s="8">
        <f>IF(OR(B88="",N(G88)=0),"",ABS(F88-G88)*E88)</f>
        <v/>
      </c>
      <c r="U88" s="8">
        <f>IF(OR(B88="",P88=""),"",IF(D88="Venda",-1,1)*((N(J88)*N(K88)+N(L88)*N(M88)+N(N88)*N(O88))-(N(J88)+N(L88)+N(N88))*F88)-N(Q88))</f>
        <v/>
      </c>
      <c r="V88" s="9">
        <f>IF(OR(B88="",P88=""),"",U88/S88)</f>
        <v/>
      </c>
      <c r="W88">
        <f>IF(OR(B88="",P88=""),"",NETWORKDAYS(C88,P88)-1)</f>
        <v/>
      </c>
      <c r="X88">
        <f>IF(B88="","",IF(P88="","Aberto","Fechado"))</f>
        <v/>
      </c>
    </row>
    <row r="89">
      <c r="C89" s="6" t="n"/>
      <c r="E89" s="7" t="n"/>
      <c r="F89" s="8" t="n"/>
      <c r="G89" s="8" t="n"/>
      <c r="H89" s="8" t="n"/>
      <c r="J89" s="7" t="n"/>
      <c r="K89" s="8" t="n"/>
      <c r="L89" s="7" t="n"/>
      <c r="M89" s="8" t="n"/>
      <c r="N89" s="7" t="n"/>
      <c r="O89" s="8" t="n"/>
      <c r="P89" s="6" t="n"/>
      <c r="Q89" s="8" t="n"/>
      <c r="S89" s="8">
        <f>IF(B89="","",E89*F89)</f>
        <v/>
      </c>
      <c r="T89" s="8">
        <f>IF(OR(B89="",N(G89)=0),"",ABS(F89-G89)*E89)</f>
        <v/>
      </c>
      <c r="U89" s="8">
        <f>IF(OR(B89="",P89=""),"",IF(D89="Venda",-1,1)*((N(J89)*N(K89)+N(L89)*N(M89)+N(N89)*N(O89))-(N(J89)+N(L89)+N(N89))*F89)-N(Q89))</f>
        <v/>
      </c>
      <c r="V89" s="9">
        <f>IF(OR(B89="",P89=""),"",U89/S89)</f>
        <v/>
      </c>
      <c r="W89">
        <f>IF(OR(B89="",P89=""),"",NETWORKDAYS(C89,P89)-1)</f>
        <v/>
      </c>
      <c r="X89">
        <f>IF(B89="","",IF(P89="","Aberto","Fechado"))</f>
        <v/>
      </c>
    </row>
    <row r="90">
      <c r="C90" s="6" t="n"/>
      <c r="E90" s="7" t="n"/>
      <c r="F90" s="8" t="n"/>
      <c r="G90" s="8" t="n"/>
      <c r="H90" s="8" t="n"/>
      <c r="J90" s="7" t="n"/>
      <c r="K90" s="8" t="n"/>
      <c r="L90" s="7" t="n"/>
      <c r="M90" s="8" t="n"/>
      <c r="N90" s="7" t="n"/>
      <c r="O90" s="8" t="n"/>
      <c r="P90" s="6" t="n"/>
      <c r="Q90" s="8" t="n"/>
      <c r="S90" s="8">
        <f>IF(B90="","",E90*F90)</f>
        <v/>
      </c>
      <c r="T90" s="8">
        <f>IF(OR(B90="",N(G90)=0),"",ABS(F90-G90)*E90)</f>
        <v/>
      </c>
      <c r="U90" s="8">
        <f>IF(OR(B90="",P90=""),"",IF(D90="Venda",-1,1)*((N(J90)*N(K90)+N(L90)*N(M90)+N(N90)*N(O90))-(N(J90)+N(L90)+N(N90))*F90)-N(Q90))</f>
        <v/>
      </c>
      <c r="V90" s="9">
        <f>IF(OR(B90="",P90=""),"",U90/S90)</f>
        <v/>
      </c>
      <c r="W90">
        <f>IF(OR(B90="",P90=""),"",NETWORKDAYS(C90,P90)-1)</f>
        <v/>
      </c>
      <c r="X90">
        <f>IF(B90="","",IF(P90="","Aberto","Fechado"))</f>
        <v/>
      </c>
    </row>
    <row r="91">
      <c r="C91" s="6" t="n"/>
      <c r="E91" s="7" t="n"/>
      <c r="F91" s="8" t="n"/>
      <c r="G91" s="8" t="n"/>
      <c r="H91" s="8" t="n"/>
      <c r="J91" s="7" t="n"/>
      <c r="K91" s="8" t="n"/>
      <c r="L91" s="7" t="n"/>
      <c r="M91" s="8" t="n"/>
      <c r="N91" s="7" t="n"/>
      <c r="O91" s="8" t="n"/>
      <c r="P91" s="6" t="n"/>
      <c r="Q91" s="8" t="n"/>
      <c r="S91" s="8">
        <f>IF(B91="","",E91*F91)</f>
        <v/>
      </c>
      <c r="T91" s="8">
        <f>IF(OR(B91="",N(G91)=0),"",ABS(F91-G91)*E91)</f>
        <v/>
      </c>
      <c r="U91" s="8">
        <f>IF(OR(B91="",P91=""),"",IF(D91="Venda",-1,1)*((N(J91)*N(K91)+N(L91)*N(M91)+N(N91)*N(O91))-(N(J91)+N(L91)+N(N91))*F91)-N(Q91))</f>
        <v/>
      </c>
      <c r="V91" s="9">
        <f>IF(OR(B91="",P91=""),"",U91/S91)</f>
        <v/>
      </c>
      <c r="W91">
        <f>IF(OR(B91="",P91=""),"",NETWORKDAYS(C91,P91)-1)</f>
        <v/>
      </c>
      <c r="X91">
        <f>IF(B91="","",IF(P91="","Aberto","Fechado"))</f>
        <v/>
      </c>
    </row>
    <row r="92">
      <c r="C92" s="6" t="n"/>
      <c r="E92" s="7" t="n"/>
      <c r="F92" s="8" t="n"/>
      <c r="G92" s="8" t="n"/>
      <c r="H92" s="8" t="n"/>
      <c r="J92" s="7" t="n"/>
      <c r="K92" s="8" t="n"/>
      <c r="L92" s="7" t="n"/>
      <c r="M92" s="8" t="n"/>
      <c r="N92" s="7" t="n"/>
      <c r="O92" s="8" t="n"/>
      <c r="P92" s="6" t="n"/>
      <c r="Q92" s="8" t="n"/>
      <c r="S92" s="8">
        <f>IF(B92="","",E92*F92)</f>
        <v/>
      </c>
      <c r="T92" s="8">
        <f>IF(OR(B92="",N(G92)=0),"",ABS(F92-G92)*E92)</f>
        <v/>
      </c>
      <c r="U92" s="8">
        <f>IF(OR(B92="",P92=""),"",IF(D92="Venda",-1,1)*((N(J92)*N(K92)+N(L92)*N(M92)+N(N92)*N(O92))-(N(J92)+N(L92)+N(N92))*F92)-N(Q92))</f>
        <v/>
      </c>
      <c r="V92" s="9">
        <f>IF(OR(B92="",P92=""),"",U92/S92)</f>
        <v/>
      </c>
      <c r="W92">
        <f>IF(OR(B92="",P92=""),"",NETWORKDAYS(C92,P92)-1)</f>
        <v/>
      </c>
      <c r="X92">
        <f>IF(B92="","",IF(P92="","Aberto","Fechado"))</f>
        <v/>
      </c>
    </row>
    <row r="93">
      <c r="C93" s="6" t="n"/>
      <c r="E93" s="7" t="n"/>
      <c r="F93" s="8" t="n"/>
      <c r="G93" s="8" t="n"/>
      <c r="H93" s="8" t="n"/>
      <c r="J93" s="7" t="n"/>
      <c r="K93" s="8" t="n"/>
      <c r="L93" s="7" t="n"/>
      <c r="M93" s="8" t="n"/>
      <c r="N93" s="7" t="n"/>
      <c r="O93" s="8" t="n"/>
      <c r="P93" s="6" t="n"/>
      <c r="Q93" s="8" t="n"/>
      <c r="S93" s="8">
        <f>IF(B93="","",E93*F93)</f>
        <v/>
      </c>
      <c r="T93" s="8">
        <f>IF(OR(B93="",N(G93)=0),"",ABS(F93-G93)*E93)</f>
        <v/>
      </c>
      <c r="U93" s="8">
        <f>IF(OR(B93="",P93=""),"",IF(D93="Venda",-1,1)*((N(J93)*N(K93)+N(L93)*N(M93)+N(N93)*N(O93))-(N(J93)+N(L93)+N(N93))*F93)-N(Q93))</f>
        <v/>
      </c>
      <c r="V93" s="9">
        <f>IF(OR(B93="",P93=""),"",U93/S93)</f>
        <v/>
      </c>
      <c r="W93">
        <f>IF(OR(B93="",P93=""),"",NETWORKDAYS(C93,P93)-1)</f>
        <v/>
      </c>
      <c r="X93">
        <f>IF(B93="","",IF(P93="","Aberto","Fechado"))</f>
        <v/>
      </c>
    </row>
    <row r="94">
      <c r="C94" s="6" t="n"/>
      <c r="E94" s="7" t="n"/>
      <c r="F94" s="8" t="n"/>
      <c r="G94" s="8" t="n"/>
      <c r="H94" s="8" t="n"/>
      <c r="J94" s="7" t="n"/>
      <c r="K94" s="8" t="n"/>
      <c r="L94" s="7" t="n"/>
      <c r="M94" s="8" t="n"/>
      <c r="N94" s="7" t="n"/>
      <c r="O94" s="8" t="n"/>
      <c r="P94" s="6" t="n"/>
      <c r="Q94" s="8" t="n"/>
      <c r="S94" s="8">
        <f>IF(B94="","",E94*F94)</f>
        <v/>
      </c>
      <c r="T94" s="8">
        <f>IF(OR(B94="",N(G94)=0),"",ABS(F94-G94)*E94)</f>
        <v/>
      </c>
      <c r="U94" s="8">
        <f>IF(OR(B94="",P94=""),"",IF(D94="Venda",-1,1)*((N(J94)*N(K94)+N(L94)*N(M94)+N(N94)*N(O94))-(N(J94)+N(L94)+N(N94))*F94)-N(Q94))</f>
        <v/>
      </c>
      <c r="V94" s="9">
        <f>IF(OR(B94="",P94=""),"",U94/S94)</f>
        <v/>
      </c>
      <c r="W94">
        <f>IF(OR(B94="",P94=""),"",NETWORKDAYS(C94,P94)-1)</f>
        <v/>
      </c>
      <c r="X94">
        <f>IF(B94="","",IF(P94="","Aberto","Fechado"))</f>
        <v/>
      </c>
    </row>
    <row r="95">
      <c r="C95" s="6" t="n"/>
      <c r="E95" s="7" t="n"/>
      <c r="F95" s="8" t="n"/>
      <c r="G95" s="8" t="n"/>
      <c r="H95" s="8" t="n"/>
      <c r="J95" s="7" t="n"/>
      <c r="K95" s="8" t="n"/>
      <c r="L95" s="7" t="n"/>
      <c r="M95" s="8" t="n"/>
      <c r="N95" s="7" t="n"/>
      <c r="O95" s="8" t="n"/>
      <c r="P95" s="6" t="n"/>
      <c r="Q95" s="8" t="n"/>
      <c r="S95" s="8">
        <f>IF(B95="","",E95*F95)</f>
        <v/>
      </c>
      <c r="T95" s="8">
        <f>IF(OR(B95="",N(G95)=0),"",ABS(F95-G95)*E95)</f>
        <v/>
      </c>
      <c r="U95" s="8">
        <f>IF(OR(B95="",P95=""),"",IF(D95="Venda",-1,1)*((N(J95)*N(K95)+N(L95)*N(M95)+N(N95)*N(O95))-(N(J95)+N(L95)+N(N95))*F95)-N(Q95))</f>
        <v/>
      </c>
      <c r="V95" s="9">
        <f>IF(OR(B95="",P95=""),"",U95/S95)</f>
        <v/>
      </c>
      <c r="W95">
        <f>IF(OR(B95="",P95=""),"",NETWORKDAYS(C95,P95)-1)</f>
        <v/>
      </c>
      <c r="X95">
        <f>IF(B95="","",IF(P95="","Aberto","Fechado"))</f>
        <v/>
      </c>
    </row>
    <row r="96">
      <c r="C96" s="6" t="n"/>
      <c r="E96" s="7" t="n"/>
      <c r="F96" s="8" t="n"/>
      <c r="G96" s="8" t="n"/>
      <c r="H96" s="8" t="n"/>
      <c r="J96" s="7" t="n"/>
      <c r="K96" s="8" t="n"/>
      <c r="L96" s="7" t="n"/>
      <c r="M96" s="8" t="n"/>
      <c r="N96" s="7" t="n"/>
      <c r="O96" s="8" t="n"/>
      <c r="P96" s="6" t="n"/>
      <c r="Q96" s="8" t="n"/>
      <c r="S96" s="8">
        <f>IF(B96="","",E96*F96)</f>
        <v/>
      </c>
      <c r="T96" s="8">
        <f>IF(OR(B96="",N(G96)=0),"",ABS(F96-G96)*E96)</f>
        <v/>
      </c>
      <c r="U96" s="8">
        <f>IF(OR(B96="",P96=""),"",IF(D96="Venda",-1,1)*((N(J96)*N(K96)+N(L96)*N(M96)+N(N96)*N(O96))-(N(J96)+N(L96)+N(N96))*F96)-N(Q96))</f>
        <v/>
      </c>
      <c r="V96" s="9">
        <f>IF(OR(B96="",P96=""),"",U96/S96)</f>
        <v/>
      </c>
      <c r="W96">
        <f>IF(OR(B96="",P96=""),"",NETWORKDAYS(C96,P96)-1)</f>
        <v/>
      </c>
      <c r="X96">
        <f>IF(B96="","",IF(P96="","Aberto","Fechado"))</f>
        <v/>
      </c>
    </row>
    <row r="97">
      <c r="C97" s="6" t="n"/>
      <c r="E97" s="7" t="n"/>
      <c r="F97" s="8" t="n"/>
      <c r="G97" s="8" t="n"/>
      <c r="H97" s="8" t="n"/>
      <c r="J97" s="7" t="n"/>
      <c r="K97" s="8" t="n"/>
      <c r="L97" s="7" t="n"/>
      <c r="M97" s="8" t="n"/>
      <c r="N97" s="7" t="n"/>
      <c r="O97" s="8" t="n"/>
      <c r="P97" s="6" t="n"/>
      <c r="Q97" s="8" t="n"/>
      <c r="S97" s="8">
        <f>IF(B97="","",E97*F97)</f>
        <v/>
      </c>
      <c r="T97" s="8">
        <f>IF(OR(B97="",N(G97)=0),"",ABS(F97-G97)*E97)</f>
        <v/>
      </c>
      <c r="U97" s="8">
        <f>IF(OR(B97="",P97=""),"",IF(D97="Venda",-1,1)*((N(J97)*N(K97)+N(L97)*N(M97)+N(N97)*N(O97))-(N(J97)+N(L97)+N(N97))*F97)-N(Q97))</f>
        <v/>
      </c>
      <c r="V97" s="9">
        <f>IF(OR(B97="",P97=""),"",U97/S97)</f>
        <v/>
      </c>
      <c r="W97">
        <f>IF(OR(B97="",P97=""),"",NETWORKDAYS(C97,P97)-1)</f>
        <v/>
      </c>
      <c r="X97">
        <f>IF(B97="","",IF(P97="","Aberto","Fechado"))</f>
        <v/>
      </c>
    </row>
    <row r="98">
      <c r="C98" s="6" t="n"/>
      <c r="E98" s="7" t="n"/>
      <c r="F98" s="8" t="n"/>
      <c r="G98" s="8" t="n"/>
      <c r="H98" s="8" t="n"/>
      <c r="J98" s="7" t="n"/>
      <c r="K98" s="8" t="n"/>
      <c r="L98" s="7" t="n"/>
      <c r="M98" s="8" t="n"/>
      <c r="N98" s="7" t="n"/>
      <c r="O98" s="8" t="n"/>
      <c r="P98" s="6" t="n"/>
      <c r="Q98" s="8" t="n"/>
      <c r="S98" s="8">
        <f>IF(B98="","",E98*F98)</f>
        <v/>
      </c>
      <c r="T98" s="8">
        <f>IF(OR(B98="",N(G98)=0),"",ABS(F98-G98)*E98)</f>
        <v/>
      </c>
      <c r="U98" s="8">
        <f>IF(OR(B98="",P98=""),"",IF(D98="Venda",-1,1)*((N(J98)*N(K98)+N(L98)*N(M98)+N(N98)*N(O98))-(N(J98)+N(L98)+N(N98))*F98)-N(Q98))</f>
        <v/>
      </c>
      <c r="V98" s="9">
        <f>IF(OR(B98="",P98=""),"",U98/S98)</f>
        <v/>
      </c>
      <c r="W98">
        <f>IF(OR(B98="",P98=""),"",NETWORKDAYS(C98,P98)-1)</f>
        <v/>
      </c>
      <c r="X98">
        <f>IF(B98="","",IF(P98="","Aberto","Fechado"))</f>
        <v/>
      </c>
    </row>
    <row r="99">
      <c r="C99" s="6" t="n"/>
      <c r="E99" s="7" t="n"/>
      <c r="F99" s="8" t="n"/>
      <c r="G99" s="8" t="n"/>
      <c r="H99" s="8" t="n"/>
      <c r="J99" s="7" t="n"/>
      <c r="K99" s="8" t="n"/>
      <c r="L99" s="7" t="n"/>
      <c r="M99" s="8" t="n"/>
      <c r="N99" s="7" t="n"/>
      <c r="O99" s="8" t="n"/>
      <c r="P99" s="6" t="n"/>
      <c r="Q99" s="8" t="n"/>
      <c r="S99" s="8">
        <f>IF(B99="","",E99*F99)</f>
        <v/>
      </c>
      <c r="T99" s="8">
        <f>IF(OR(B99="",N(G99)=0),"",ABS(F99-G99)*E99)</f>
        <v/>
      </c>
      <c r="U99" s="8">
        <f>IF(OR(B99="",P99=""),"",IF(D99="Venda",-1,1)*((N(J99)*N(K99)+N(L99)*N(M99)+N(N99)*N(O99))-(N(J99)+N(L99)+N(N99))*F99)-N(Q99))</f>
        <v/>
      </c>
      <c r="V99" s="9">
        <f>IF(OR(B99="",P99=""),"",U99/S99)</f>
        <v/>
      </c>
      <c r="W99">
        <f>IF(OR(B99="",P99=""),"",NETWORKDAYS(C99,P99)-1)</f>
        <v/>
      </c>
      <c r="X99">
        <f>IF(B99="","",IF(P99="","Aberto","Fechado"))</f>
        <v/>
      </c>
    </row>
    <row r="100">
      <c r="C100" s="6" t="n"/>
      <c r="E100" s="7" t="n"/>
      <c r="F100" s="8" t="n"/>
      <c r="G100" s="8" t="n"/>
      <c r="H100" s="8" t="n"/>
      <c r="J100" s="7" t="n"/>
      <c r="K100" s="8" t="n"/>
      <c r="L100" s="7" t="n"/>
      <c r="M100" s="8" t="n"/>
      <c r="N100" s="7" t="n"/>
      <c r="O100" s="8" t="n"/>
      <c r="P100" s="6" t="n"/>
      <c r="Q100" s="8" t="n"/>
      <c r="S100" s="8">
        <f>IF(B100="","",E100*F100)</f>
        <v/>
      </c>
      <c r="T100" s="8">
        <f>IF(OR(B100="",N(G100)=0),"",ABS(F100-G100)*E100)</f>
        <v/>
      </c>
      <c r="U100" s="8">
        <f>IF(OR(B100="",P100=""),"",IF(D100="Venda",-1,1)*((N(J100)*N(K100)+N(L100)*N(M100)+N(N100)*N(O100))-(N(J100)+N(L100)+N(N100))*F100)-N(Q100))</f>
        <v/>
      </c>
      <c r="V100" s="9">
        <f>IF(OR(B100="",P100=""),"",U100/S100)</f>
        <v/>
      </c>
      <c r="W100">
        <f>IF(OR(B100="",P100=""),"",NETWORKDAYS(C100,P100)-1)</f>
        <v/>
      </c>
      <c r="X100">
        <f>IF(B100="","",IF(P100="","Aberto","Fechado"))</f>
        <v/>
      </c>
    </row>
    <row r="101">
      <c r="C101" s="6" t="n"/>
      <c r="E101" s="7" t="n"/>
      <c r="F101" s="8" t="n"/>
      <c r="G101" s="8" t="n"/>
      <c r="H101" s="8" t="n"/>
      <c r="J101" s="7" t="n"/>
      <c r="K101" s="8" t="n"/>
      <c r="L101" s="7" t="n"/>
      <c r="M101" s="8" t="n"/>
      <c r="N101" s="7" t="n"/>
      <c r="O101" s="8" t="n"/>
      <c r="P101" s="6" t="n"/>
      <c r="Q101" s="8" t="n"/>
      <c r="S101" s="8">
        <f>IF(B101="","",E101*F101)</f>
        <v/>
      </c>
      <c r="T101" s="8">
        <f>IF(OR(B101="",N(G101)=0),"",ABS(F101-G101)*E101)</f>
        <v/>
      </c>
      <c r="U101" s="8">
        <f>IF(OR(B101="",P101=""),"",IF(D101="Venda",-1,1)*((N(J101)*N(K101)+N(L101)*N(M101)+N(N101)*N(O101))-(N(J101)+N(L101)+N(N101))*F101)-N(Q101))</f>
        <v/>
      </c>
      <c r="V101" s="9">
        <f>IF(OR(B101="",P101=""),"",U101/S101)</f>
        <v/>
      </c>
      <c r="W101">
        <f>IF(OR(B101="",P101=""),"",NETWORKDAYS(C101,P101)-1)</f>
        <v/>
      </c>
      <c r="X101">
        <f>IF(B101="","",IF(P101="","Aberto","Fechado"))</f>
        <v/>
      </c>
    </row>
    <row r="102">
      <c r="C102" s="6" t="n"/>
      <c r="E102" s="7" t="n"/>
      <c r="F102" s="8" t="n"/>
      <c r="G102" s="8" t="n"/>
      <c r="H102" s="8" t="n"/>
      <c r="J102" s="7" t="n"/>
      <c r="K102" s="8" t="n"/>
      <c r="L102" s="7" t="n"/>
      <c r="M102" s="8" t="n"/>
      <c r="N102" s="7" t="n"/>
      <c r="O102" s="8" t="n"/>
      <c r="P102" s="6" t="n"/>
      <c r="Q102" s="8" t="n"/>
      <c r="S102" s="8">
        <f>IF(B102="","",E102*F102)</f>
        <v/>
      </c>
      <c r="T102" s="8">
        <f>IF(OR(B102="",N(G102)=0),"",ABS(F102-G102)*E102)</f>
        <v/>
      </c>
      <c r="U102" s="8">
        <f>IF(OR(B102="",P102=""),"",IF(D102="Venda",-1,1)*((N(J102)*N(K102)+N(L102)*N(M102)+N(N102)*N(O102))-(N(J102)+N(L102)+N(N102))*F102)-N(Q102))</f>
        <v/>
      </c>
      <c r="V102" s="9">
        <f>IF(OR(B102="",P102=""),"",U102/S102)</f>
        <v/>
      </c>
      <c r="W102">
        <f>IF(OR(B102="",P102=""),"",NETWORKDAYS(C102,P102)-1)</f>
        <v/>
      </c>
      <c r="X102">
        <f>IF(B102="","",IF(P102="","Aberto","Fechado"))</f>
        <v/>
      </c>
    </row>
    <row r="103">
      <c r="C103" s="6" t="n"/>
      <c r="E103" s="7" t="n"/>
      <c r="F103" s="8" t="n"/>
      <c r="G103" s="8" t="n"/>
      <c r="H103" s="8" t="n"/>
      <c r="J103" s="7" t="n"/>
      <c r="K103" s="8" t="n"/>
      <c r="L103" s="7" t="n"/>
      <c r="M103" s="8" t="n"/>
      <c r="N103" s="7" t="n"/>
      <c r="O103" s="8" t="n"/>
      <c r="P103" s="6" t="n"/>
      <c r="Q103" s="8" t="n"/>
      <c r="S103" s="8">
        <f>IF(B103="","",E103*F103)</f>
        <v/>
      </c>
      <c r="T103" s="8">
        <f>IF(OR(B103="",N(G103)=0),"",ABS(F103-G103)*E103)</f>
        <v/>
      </c>
      <c r="U103" s="8">
        <f>IF(OR(B103="",P103=""),"",IF(D103="Venda",-1,1)*((N(J103)*N(K103)+N(L103)*N(M103)+N(N103)*N(O103))-(N(J103)+N(L103)+N(N103))*F103)-N(Q103))</f>
        <v/>
      </c>
      <c r="V103" s="9">
        <f>IF(OR(B103="",P103=""),"",U103/S103)</f>
        <v/>
      </c>
      <c r="W103">
        <f>IF(OR(B103="",P103=""),"",NETWORKDAYS(C103,P103)-1)</f>
        <v/>
      </c>
      <c r="X103">
        <f>IF(B103="","",IF(P103="","Aberto","Fechado"))</f>
        <v/>
      </c>
    </row>
    <row r="104">
      <c r="C104" s="6" t="n"/>
      <c r="E104" s="7" t="n"/>
      <c r="F104" s="8" t="n"/>
      <c r="G104" s="8" t="n"/>
      <c r="H104" s="8" t="n"/>
      <c r="J104" s="7" t="n"/>
      <c r="K104" s="8" t="n"/>
      <c r="L104" s="7" t="n"/>
      <c r="M104" s="8" t="n"/>
      <c r="N104" s="7" t="n"/>
      <c r="O104" s="8" t="n"/>
      <c r="P104" s="6" t="n"/>
      <c r="Q104" s="8" t="n"/>
      <c r="S104" s="8">
        <f>IF(B104="","",E104*F104)</f>
        <v/>
      </c>
      <c r="T104" s="8">
        <f>IF(OR(B104="",N(G104)=0),"",ABS(F104-G104)*E104)</f>
        <v/>
      </c>
      <c r="U104" s="8">
        <f>IF(OR(B104="",P104=""),"",IF(D104="Venda",-1,1)*((N(J104)*N(K104)+N(L104)*N(M104)+N(N104)*N(O104))-(N(J104)+N(L104)+N(N104))*F104)-N(Q104))</f>
        <v/>
      </c>
      <c r="V104" s="9">
        <f>IF(OR(B104="",P104=""),"",U104/S104)</f>
        <v/>
      </c>
      <c r="W104">
        <f>IF(OR(B104="",P104=""),"",NETWORKDAYS(C104,P104)-1)</f>
        <v/>
      </c>
      <c r="X104">
        <f>IF(B104="","",IF(P104="","Aberto","Fechado"))</f>
        <v/>
      </c>
    </row>
    <row r="105">
      <c r="C105" s="6" t="n"/>
      <c r="E105" s="7" t="n"/>
      <c r="F105" s="8" t="n"/>
      <c r="G105" s="8" t="n"/>
      <c r="H105" s="8" t="n"/>
      <c r="J105" s="7" t="n"/>
      <c r="K105" s="8" t="n"/>
      <c r="L105" s="7" t="n"/>
      <c r="M105" s="8" t="n"/>
      <c r="N105" s="7" t="n"/>
      <c r="O105" s="8" t="n"/>
      <c r="P105" s="6" t="n"/>
      <c r="Q105" s="8" t="n"/>
      <c r="S105" s="8">
        <f>IF(B105="","",E105*F105)</f>
        <v/>
      </c>
      <c r="T105" s="8">
        <f>IF(OR(B105="",N(G105)=0),"",ABS(F105-G105)*E105)</f>
        <v/>
      </c>
      <c r="U105" s="8">
        <f>IF(OR(B105="",P105=""),"",IF(D105="Venda",-1,1)*((N(J105)*N(K105)+N(L105)*N(M105)+N(N105)*N(O105))-(N(J105)+N(L105)+N(N105))*F105)-N(Q105))</f>
        <v/>
      </c>
      <c r="V105" s="9">
        <f>IF(OR(B105="",P105=""),"",U105/S105)</f>
        <v/>
      </c>
      <c r="W105">
        <f>IF(OR(B105="",P105=""),"",NETWORKDAYS(C105,P105)-1)</f>
        <v/>
      </c>
      <c r="X105">
        <f>IF(B105="","",IF(P105="","Aberto","Fechado"))</f>
        <v/>
      </c>
    </row>
    <row r="106">
      <c r="C106" s="6" t="n"/>
      <c r="E106" s="7" t="n"/>
      <c r="F106" s="8" t="n"/>
      <c r="G106" s="8" t="n"/>
      <c r="H106" s="8" t="n"/>
      <c r="J106" s="7" t="n"/>
      <c r="K106" s="8" t="n"/>
      <c r="L106" s="7" t="n"/>
      <c r="M106" s="8" t="n"/>
      <c r="N106" s="7" t="n"/>
      <c r="O106" s="8" t="n"/>
      <c r="P106" s="6" t="n"/>
      <c r="Q106" s="8" t="n"/>
      <c r="S106" s="8">
        <f>IF(B106="","",E106*F106)</f>
        <v/>
      </c>
      <c r="T106" s="8">
        <f>IF(OR(B106="",N(G106)=0),"",ABS(F106-G106)*E106)</f>
        <v/>
      </c>
      <c r="U106" s="8">
        <f>IF(OR(B106="",P106=""),"",IF(D106="Venda",-1,1)*((N(J106)*N(K106)+N(L106)*N(M106)+N(N106)*N(O106))-(N(J106)+N(L106)+N(N106))*F106)-N(Q106))</f>
        <v/>
      </c>
      <c r="V106" s="9">
        <f>IF(OR(B106="",P106=""),"",U106/S106)</f>
        <v/>
      </c>
      <c r="W106">
        <f>IF(OR(B106="",P106=""),"",NETWORKDAYS(C106,P106)-1)</f>
        <v/>
      </c>
      <c r="X106">
        <f>IF(B106="","",IF(P106="","Aberto","Fechado"))</f>
        <v/>
      </c>
    </row>
    <row r="107">
      <c r="C107" s="6" t="n"/>
      <c r="E107" s="7" t="n"/>
      <c r="F107" s="8" t="n"/>
      <c r="G107" s="8" t="n"/>
      <c r="H107" s="8" t="n"/>
      <c r="J107" s="7" t="n"/>
      <c r="K107" s="8" t="n"/>
      <c r="L107" s="7" t="n"/>
      <c r="M107" s="8" t="n"/>
      <c r="N107" s="7" t="n"/>
      <c r="O107" s="8" t="n"/>
      <c r="P107" s="6" t="n"/>
      <c r="Q107" s="8" t="n"/>
      <c r="S107" s="8">
        <f>IF(B107="","",E107*F107)</f>
        <v/>
      </c>
      <c r="T107" s="8">
        <f>IF(OR(B107="",N(G107)=0),"",ABS(F107-G107)*E107)</f>
        <v/>
      </c>
      <c r="U107" s="8">
        <f>IF(OR(B107="",P107=""),"",IF(D107="Venda",-1,1)*((N(J107)*N(K107)+N(L107)*N(M107)+N(N107)*N(O107))-(N(J107)+N(L107)+N(N107))*F107)-N(Q107))</f>
        <v/>
      </c>
      <c r="V107" s="9">
        <f>IF(OR(B107="",P107=""),"",U107/S107)</f>
        <v/>
      </c>
      <c r="W107">
        <f>IF(OR(B107="",P107=""),"",NETWORKDAYS(C107,P107)-1)</f>
        <v/>
      </c>
      <c r="X107">
        <f>IF(B107="","",IF(P107="","Aberto","Fechado"))</f>
        <v/>
      </c>
    </row>
    <row r="108">
      <c r="C108" s="6" t="n"/>
      <c r="E108" s="7" t="n"/>
      <c r="F108" s="8" t="n"/>
      <c r="G108" s="8" t="n"/>
      <c r="H108" s="8" t="n"/>
      <c r="J108" s="7" t="n"/>
      <c r="K108" s="8" t="n"/>
      <c r="L108" s="7" t="n"/>
      <c r="M108" s="8" t="n"/>
      <c r="N108" s="7" t="n"/>
      <c r="O108" s="8" t="n"/>
      <c r="P108" s="6" t="n"/>
      <c r="Q108" s="8" t="n"/>
      <c r="S108" s="8">
        <f>IF(B108="","",E108*F108)</f>
        <v/>
      </c>
      <c r="T108" s="8">
        <f>IF(OR(B108="",N(G108)=0),"",ABS(F108-G108)*E108)</f>
        <v/>
      </c>
      <c r="U108" s="8">
        <f>IF(OR(B108="",P108=""),"",IF(D108="Venda",-1,1)*((N(J108)*N(K108)+N(L108)*N(M108)+N(N108)*N(O108))-(N(J108)+N(L108)+N(N108))*F108)-N(Q108))</f>
        <v/>
      </c>
      <c r="V108" s="9">
        <f>IF(OR(B108="",P108=""),"",U108/S108)</f>
        <v/>
      </c>
      <c r="W108">
        <f>IF(OR(B108="",P108=""),"",NETWORKDAYS(C108,P108)-1)</f>
        <v/>
      </c>
      <c r="X108">
        <f>IF(B108="","",IF(P108="","Aberto","Fechado"))</f>
        <v/>
      </c>
    </row>
    <row r="109">
      <c r="C109" s="6" t="n"/>
      <c r="E109" s="7" t="n"/>
      <c r="F109" s="8" t="n"/>
      <c r="G109" s="8" t="n"/>
      <c r="H109" s="8" t="n"/>
      <c r="J109" s="7" t="n"/>
      <c r="K109" s="8" t="n"/>
      <c r="L109" s="7" t="n"/>
      <c r="M109" s="8" t="n"/>
      <c r="N109" s="7" t="n"/>
      <c r="O109" s="8" t="n"/>
      <c r="P109" s="6" t="n"/>
      <c r="Q109" s="8" t="n"/>
      <c r="S109" s="8">
        <f>IF(B109="","",E109*F109)</f>
        <v/>
      </c>
      <c r="T109" s="8">
        <f>IF(OR(B109="",N(G109)=0),"",ABS(F109-G109)*E109)</f>
        <v/>
      </c>
      <c r="U109" s="8">
        <f>IF(OR(B109="",P109=""),"",IF(D109="Venda",-1,1)*((N(J109)*N(K109)+N(L109)*N(M109)+N(N109)*N(O109))-(N(J109)+N(L109)+N(N109))*F109)-N(Q109))</f>
        <v/>
      </c>
      <c r="V109" s="9">
        <f>IF(OR(B109="",P109=""),"",U109/S109)</f>
        <v/>
      </c>
      <c r="W109">
        <f>IF(OR(B109="",P109=""),"",NETWORKDAYS(C109,P109)-1)</f>
        <v/>
      </c>
      <c r="X109">
        <f>IF(B109="","",IF(P109="","Aberto","Fechado"))</f>
        <v/>
      </c>
    </row>
    <row r="110">
      <c r="C110" s="6" t="n"/>
      <c r="E110" s="7" t="n"/>
      <c r="F110" s="8" t="n"/>
      <c r="G110" s="8" t="n"/>
      <c r="H110" s="8" t="n"/>
      <c r="J110" s="7" t="n"/>
      <c r="K110" s="8" t="n"/>
      <c r="L110" s="7" t="n"/>
      <c r="M110" s="8" t="n"/>
      <c r="N110" s="7" t="n"/>
      <c r="O110" s="8" t="n"/>
      <c r="P110" s="6" t="n"/>
      <c r="Q110" s="8" t="n"/>
      <c r="S110" s="8">
        <f>IF(B110="","",E110*F110)</f>
        <v/>
      </c>
      <c r="T110" s="8">
        <f>IF(OR(B110="",N(G110)=0),"",ABS(F110-G110)*E110)</f>
        <v/>
      </c>
      <c r="U110" s="8">
        <f>IF(OR(B110="",P110=""),"",IF(D110="Venda",-1,1)*((N(J110)*N(K110)+N(L110)*N(M110)+N(N110)*N(O110))-(N(J110)+N(L110)+N(N110))*F110)-N(Q110))</f>
        <v/>
      </c>
      <c r="V110" s="9">
        <f>IF(OR(B110="",P110=""),"",U110/S110)</f>
        <v/>
      </c>
      <c r="W110">
        <f>IF(OR(B110="",P110=""),"",NETWORKDAYS(C110,P110)-1)</f>
        <v/>
      </c>
      <c r="X110">
        <f>IF(B110="","",IF(P110="","Aberto","Fechado"))</f>
        <v/>
      </c>
    </row>
    <row r="111">
      <c r="C111" s="6" t="n"/>
      <c r="E111" s="7" t="n"/>
      <c r="F111" s="8" t="n"/>
      <c r="G111" s="8" t="n"/>
      <c r="H111" s="8" t="n"/>
      <c r="J111" s="7" t="n"/>
      <c r="K111" s="8" t="n"/>
      <c r="L111" s="7" t="n"/>
      <c r="M111" s="8" t="n"/>
      <c r="N111" s="7" t="n"/>
      <c r="O111" s="8" t="n"/>
      <c r="P111" s="6" t="n"/>
      <c r="Q111" s="8" t="n"/>
      <c r="S111" s="8">
        <f>IF(B111="","",E111*F111)</f>
        <v/>
      </c>
      <c r="T111" s="8">
        <f>IF(OR(B111="",N(G111)=0),"",ABS(F111-G111)*E111)</f>
        <v/>
      </c>
      <c r="U111" s="8">
        <f>IF(OR(B111="",P111=""),"",IF(D111="Venda",-1,1)*((N(J111)*N(K111)+N(L111)*N(M111)+N(N111)*N(O111))-(N(J111)+N(L111)+N(N111))*F111)-N(Q111))</f>
        <v/>
      </c>
      <c r="V111" s="9">
        <f>IF(OR(B111="",P111=""),"",U111/S111)</f>
        <v/>
      </c>
      <c r="W111">
        <f>IF(OR(B111="",P111=""),"",NETWORKDAYS(C111,P111)-1)</f>
        <v/>
      </c>
      <c r="X111">
        <f>IF(B111="","",IF(P111="","Aberto","Fechado"))</f>
        <v/>
      </c>
    </row>
    <row r="112">
      <c r="C112" s="6" t="n"/>
      <c r="E112" s="7" t="n"/>
      <c r="F112" s="8" t="n"/>
      <c r="G112" s="8" t="n"/>
      <c r="H112" s="8" t="n"/>
      <c r="J112" s="7" t="n"/>
      <c r="K112" s="8" t="n"/>
      <c r="L112" s="7" t="n"/>
      <c r="M112" s="8" t="n"/>
      <c r="N112" s="7" t="n"/>
      <c r="O112" s="8" t="n"/>
      <c r="P112" s="6" t="n"/>
      <c r="Q112" s="8" t="n"/>
      <c r="S112" s="8">
        <f>IF(B112="","",E112*F112)</f>
        <v/>
      </c>
      <c r="T112" s="8">
        <f>IF(OR(B112="",N(G112)=0),"",ABS(F112-G112)*E112)</f>
        <v/>
      </c>
      <c r="U112" s="8">
        <f>IF(OR(B112="",P112=""),"",IF(D112="Venda",-1,1)*((N(J112)*N(K112)+N(L112)*N(M112)+N(N112)*N(O112))-(N(J112)+N(L112)+N(N112))*F112)-N(Q112))</f>
        <v/>
      </c>
      <c r="V112" s="9">
        <f>IF(OR(B112="",P112=""),"",U112/S112)</f>
        <v/>
      </c>
      <c r="W112">
        <f>IF(OR(B112="",P112=""),"",NETWORKDAYS(C112,P112)-1)</f>
        <v/>
      </c>
      <c r="X112">
        <f>IF(B112="","",IF(P112="","Aberto","Fechado"))</f>
        <v/>
      </c>
    </row>
    <row r="113">
      <c r="C113" s="6" t="n"/>
      <c r="E113" s="7" t="n"/>
      <c r="F113" s="8" t="n"/>
      <c r="G113" s="8" t="n"/>
      <c r="H113" s="8" t="n"/>
      <c r="J113" s="7" t="n"/>
      <c r="K113" s="8" t="n"/>
      <c r="L113" s="7" t="n"/>
      <c r="M113" s="8" t="n"/>
      <c r="N113" s="7" t="n"/>
      <c r="O113" s="8" t="n"/>
      <c r="P113" s="6" t="n"/>
      <c r="Q113" s="8" t="n"/>
      <c r="S113" s="8">
        <f>IF(B113="","",E113*F113)</f>
        <v/>
      </c>
      <c r="T113" s="8">
        <f>IF(OR(B113="",N(G113)=0),"",ABS(F113-G113)*E113)</f>
        <v/>
      </c>
      <c r="U113" s="8">
        <f>IF(OR(B113="",P113=""),"",IF(D113="Venda",-1,1)*((N(J113)*N(K113)+N(L113)*N(M113)+N(N113)*N(O113))-(N(J113)+N(L113)+N(N113))*F113)-N(Q113))</f>
        <v/>
      </c>
      <c r="V113" s="9">
        <f>IF(OR(B113="",P113=""),"",U113/S113)</f>
        <v/>
      </c>
      <c r="W113">
        <f>IF(OR(B113="",P113=""),"",NETWORKDAYS(C113,P113)-1)</f>
        <v/>
      </c>
      <c r="X113">
        <f>IF(B113="","",IF(P113="","Aberto","Fechado"))</f>
        <v/>
      </c>
    </row>
    <row r="114">
      <c r="C114" s="6" t="n"/>
      <c r="E114" s="7" t="n"/>
      <c r="F114" s="8" t="n"/>
      <c r="G114" s="8" t="n"/>
      <c r="H114" s="8" t="n"/>
      <c r="J114" s="7" t="n"/>
      <c r="K114" s="8" t="n"/>
      <c r="L114" s="7" t="n"/>
      <c r="M114" s="8" t="n"/>
      <c r="N114" s="7" t="n"/>
      <c r="O114" s="8" t="n"/>
      <c r="P114" s="6" t="n"/>
      <c r="Q114" s="8" t="n"/>
      <c r="S114" s="8">
        <f>IF(B114="","",E114*F114)</f>
        <v/>
      </c>
      <c r="T114" s="8">
        <f>IF(OR(B114="",N(G114)=0),"",ABS(F114-G114)*E114)</f>
        <v/>
      </c>
      <c r="U114" s="8">
        <f>IF(OR(B114="",P114=""),"",IF(D114="Venda",-1,1)*((N(J114)*N(K114)+N(L114)*N(M114)+N(N114)*N(O114))-(N(J114)+N(L114)+N(N114))*F114)-N(Q114))</f>
        <v/>
      </c>
      <c r="V114" s="9">
        <f>IF(OR(B114="",P114=""),"",U114/S114)</f>
        <v/>
      </c>
      <c r="W114">
        <f>IF(OR(B114="",P114=""),"",NETWORKDAYS(C114,P114)-1)</f>
        <v/>
      </c>
      <c r="X114">
        <f>IF(B114="","",IF(P114="","Aberto","Fechado"))</f>
        <v/>
      </c>
    </row>
    <row r="115">
      <c r="C115" s="6" t="n"/>
      <c r="E115" s="7" t="n"/>
      <c r="F115" s="8" t="n"/>
      <c r="G115" s="8" t="n"/>
      <c r="H115" s="8" t="n"/>
      <c r="J115" s="7" t="n"/>
      <c r="K115" s="8" t="n"/>
      <c r="L115" s="7" t="n"/>
      <c r="M115" s="8" t="n"/>
      <c r="N115" s="7" t="n"/>
      <c r="O115" s="8" t="n"/>
      <c r="P115" s="6" t="n"/>
      <c r="Q115" s="8" t="n"/>
      <c r="S115" s="8">
        <f>IF(B115="","",E115*F115)</f>
        <v/>
      </c>
      <c r="T115" s="8">
        <f>IF(OR(B115="",N(G115)=0),"",ABS(F115-G115)*E115)</f>
        <v/>
      </c>
      <c r="U115" s="8">
        <f>IF(OR(B115="",P115=""),"",IF(D115="Venda",-1,1)*((N(J115)*N(K115)+N(L115)*N(M115)+N(N115)*N(O115))-(N(J115)+N(L115)+N(N115))*F115)-N(Q115))</f>
        <v/>
      </c>
      <c r="V115" s="9">
        <f>IF(OR(B115="",P115=""),"",U115/S115)</f>
        <v/>
      </c>
      <c r="W115">
        <f>IF(OR(B115="",P115=""),"",NETWORKDAYS(C115,P115)-1)</f>
        <v/>
      </c>
      <c r="X115">
        <f>IF(B115="","",IF(P115="","Aberto","Fechado"))</f>
        <v/>
      </c>
    </row>
    <row r="116">
      <c r="C116" s="6" t="n"/>
      <c r="E116" s="7" t="n"/>
      <c r="F116" s="8" t="n"/>
      <c r="G116" s="8" t="n"/>
      <c r="H116" s="8" t="n"/>
      <c r="J116" s="7" t="n"/>
      <c r="K116" s="8" t="n"/>
      <c r="L116" s="7" t="n"/>
      <c r="M116" s="8" t="n"/>
      <c r="N116" s="7" t="n"/>
      <c r="O116" s="8" t="n"/>
      <c r="P116" s="6" t="n"/>
      <c r="Q116" s="8" t="n"/>
      <c r="S116" s="8">
        <f>IF(B116="","",E116*F116)</f>
        <v/>
      </c>
      <c r="T116" s="8">
        <f>IF(OR(B116="",N(G116)=0),"",ABS(F116-G116)*E116)</f>
        <v/>
      </c>
      <c r="U116" s="8">
        <f>IF(OR(B116="",P116=""),"",IF(D116="Venda",-1,1)*((N(J116)*N(K116)+N(L116)*N(M116)+N(N116)*N(O116))-(N(J116)+N(L116)+N(N116))*F116)-N(Q116))</f>
        <v/>
      </c>
      <c r="V116" s="9">
        <f>IF(OR(B116="",P116=""),"",U116/S116)</f>
        <v/>
      </c>
      <c r="W116">
        <f>IF(OR(B116="",P116=""),"",NETWORKDAYS(C116,P116)-1)</f>
        <v/>
      </c>
      <c r="X116">
        <f>IF(B116="","",IF(P116="","Aberto","Fechado"))</f>
        <v/>
      </c>
    </row>
    <row r="117">
      <c r="C117" s="6" t="n"/>
      <c r="E117" s="7" t="n"/>
      <c r="F117" s="8" t="n"/>
      <c r="G117" s="8" t="n"/>
      <c r="H117" s="8" t="n"/>
      <c r="J117" s="7" t="n"/>
      <c r="K117" s="8" t="n"/>
      <c r="L117" s="7" t="n"/>
      <c r="M117" s="8" t="n"/>
      <c r="N117" s="7" t="n"/>
      <c r="O117" s="8" t="n"/>
      <c r="P117" s="6" t="n"/>
      <c r="Q117" s="8" t="n"/>
      <c r="S117" s="8">
        <f>IF(B117="","",E117*F117)</f>
        <v/>
      </c>
      <c r="T117" s="8">
        <f>IF(OR(B117="",N(G117)=0),"",ABS(F117-G117)*E117)</f>
        <v/>
      </c>
      <c r="U117" s="8">
        <f>IF(OR(B117="",P117=""),"",IF(D117="Venda",-1,1)*((N(J117)*N(K117)+N(L117)*N(M117)+N(N117)*N(O117))-(N(J117)+N(L117)+N(N117))*F117)-N(Q117))</f>
        <v/>
      </c>
      <c r="V117" s="9">
        <f>IF(OR(B117="",P117=""),"",U117/S117)</f>
        <v/>
      </c>
      <c r="W117">
        <f>IF(OR(B117="",P117=""),"",NETWORKDAYS(C117,P117)-1)</f>
        <v/>
      </c>
      <c r="X117">
        <f>IF(B117="","",IF(P117="","Aberto","Fechado"))</f>
        <v/>
      </c>
    </row>
    <row r="118">
      <c r="C118" s="6" t="n"/>
      <c r="E118" s="7" t="n"/>
      <c r="F118" s="8" t="n"/>
      <c r="G118" s="8" t="n"/>
      <c r="H118" s="8" t="n"/>
      <c r="J118" s="7" t="n"/>
      <c r="K118" s="8" t="n"/>
      <c r="L118" s="7" t="n"/>
      <c r="M118" s="8" t="n"/>
      <c r="N118" s="7" t="n"/>
      <c r="O118" s="8" t="n"/>
      <c r="P118" s="6" t="n"/>
      <c r="Q118" s="8" t="n"/>
      <c r="S118" s="8">
        <f>IF(B118="","",E118*F118)</f>
        <v/>
      </c>
      <c r="T118" s="8">
        <f>IF(OR(B118="",N(G118)=0),"",ABS(F118-G118)*E118)</f>
        <v/>
      </c>
      <c r="U118" s="8">
        <f>IF(OR(B118="",P118=""),"",IF(D118="Venda",-1,1)*((N(J118)*N(K118)+N(L118)*N(M118)+N(N118)*N(O118))-(N(J118)+N(L118)+N(N118))*F118)-N(Q118))</f>
        <v/>
      </c>
      <c r="V118" s="9">
        <f>IF(OR(B118="",P118=""),"",U118/S118)</f>
        <v/>
      </c>
      <c r="W118">
        <f>IF(OR(B118="",P118=""),"",NETWORKDAYS(C118,P118)-1)</f>
        <v/>
      </c>
      <c r="X118">
        <f>IF(B118="","",IF(P118="","Aberto","Fechado"))</f>
        <v/>
      </c>
    </row>
    <row r="119">
      <c r="C119" s="6" t="n"/>
      <c r="E119" s="7" t="n"/>
      <c r="F119" s="8" t="n"/>
      <c r="G119" s="8" t="n"/>
      <c r="H119" s="8" t="n"/>
      <c r="J119" s="7" t="n"/>
      <c r="K119" s="8" t="n"/>
      <c r="L119" s="7" t="n"/>
      <c r="M119" s="8" t="n"/>
      <c r="N119" s="7" t="n"/>
      <c r="O119" s="8" t="n"/>
      <c r="P119" s="6" t="n"/>
      <c r="Q119" s="8" t="n"/>
      <c r="S119" s="8">
        <f>IF(B119="","",E119*F119)</f>
        <v/>
      </c>
      <c r="T119" s="8">
        <f>IF(OR(B119="",N(G119)=0),"",ABS(F119-G119)*E119)</f>
        <v/>
      </c>
      <c r="U119" s="8">
        <f>IF(OR(B119="",P119=""),"",IF(D119="Venda",-1,1)*((N(J119)*N(K119)+N(L119)*N(M119)+N(N119)*N(O119))-(N(J119)+N(L119)+N(N119))*F119)-N(Q119))</f>
        <v/>
      </c>
      <c r="V119" s="9">
        <f>IF(OR(B119="",P119=""),"",U119/S119)</f>
        <v/>
      </c>
      <c r="W119">
        <f>IF(OR(B119="",P119=""),"",NETWORKDAYS(C119,P119)-1)</f>
        <v/>
      </c>
      <c r="X119">
        <f>IF(B119="","",IF(P119="","Aberto","Fechado"))</f>
        <v/>
      </c>
    </row>
    <row r="120">
      <c r="C120" s="6" t="n"/>
      <c r="E120" s="7" t="n"/>
      <c r="F120" s="8" t="n"/>
      <c r="G120" s="8" t="n"/>
      <c r="H120" s="8" t="n"/>
      <c r="J120" s="7" t="n"/>
      <c r="K120" s="8" t="n"/>
      <c r="L120" s="7" t="n"/>
      <c r="M120" s="8" t="n"/>
      <c r="N120" s="7" t="n"/>
      <c r="O120" s="8" t="n"/>
      <c r="P120" s="6" t="n"/>
      <c r="Q120" s="8" t="n"/>
      <c r="S120" s="8">
        <f>IF(B120="","",E120*F120)</f>
        <v/>
      </c>
      <c r="T120" s="8">
        <f>IF(OR(B120="",N(G120)=0),"",ABS(F120-G120)*E120)</f>
        <v/>
      </c>
      <c r="U120" s="8">
        <f>IF(OR(B120="",P120=""),"",IF(D120="Venda",-1,1)*((N(J120)*N(K120)+N(L120)*N(M120)+N(N120)*N(O120))-(N(J120)+N(L120)+N(N120))*F120)-N(Q120))</f>
        <v/>
      </c>
      <c r="V120" s="9">
        <f>IF(OR(B120="",P120=""),"",U120/S120)</f>
        <v/>
      </c>
      <c r="W120">
        <f>IF(OR(B120="",P120=""),"",NETWORKDAYS(C120,P120)-1)</f>
        <v/>
      </c>
      <c r="X120">
        <f>IF(B120="","",IF(P120="","Aberto","Fechado"))</f>
        <v/>
      </c>
    </row>
    <row r="121">
      <c r="C121" s="6" t="n"/>
      <c r="E121" s="7" t="n"/>
      <c r="F121" s="8" t="n"/>
      <c r="G121" s="8" t="n"/>
      <c r="H121" s="8" t="n"/>
      <c r="J121" s="7" t="n"/>
      <c r="K121" s="8" t="n"/>
      <c r="L121" s="7" t="n"/>
      <c r="M121" s="8" t="n"/>
      <c r="N121" s="7" t="n"/>
      <c r="O121" s="8" t="n"/>
      <c r="P121" s="6" t="n"/>
      <c r="Q121" s="8" t="n"/>
      <c r="S121" s="8">
        <f>IF(B121="","",E121*F121)</f>
        <v/>
      </c>
      <c r="T121" s="8">
        <f>IF(OR(B121="",N(G121)=0),"",ABS(F121-G121)*E121)</f>
        <v/>
      </c>
      <c r="U121" s="8">
        <f>IF(OR(B121="",P121=""),"",IF(D121="Venda",-1,1)*((N(J121)*N(K121)+N(L121)*N(M121)+N(N121)*N(O121))-(N(J121)+N(L121)+N(N121))*F121)-N(Q121))</f>
        <v/>
      </c>
      <c r="V121" s="9">
        <f>IF(OR(B121="",P121=""),"",U121/S121)</f>
        <v/>
      </c>
      <c r="W121">
        <f>IF(OR(B121="",P121=""),"",NETWORKDAYS(C121,P121)-1)</f>
        <v/>
      </c>
      <c r="X121">
        <f>IF(B121="","",IF(P121="","Aberto","Fechado"))</f>
        <v/>
      </c>
    </row>
    <row r="122">
      <c r="C122" s="6" t="n"/>
      <c r="E122" s="7" t="n"/>
      <c r="F122" s="8" t="n"/>
      <c r="G122" s="8" t="n"/>
      <c r="H122" s="8" t="n"/>
      <c r="J122" s="7" t="n"/>
      <c r="K122" s="8" t="n"/>
      <c r="L122" s="7" t="n"/>
      <c r="M122" s="8" t="n"/>
      <c r="N122" s="7" t="n"/>
      <c r="O122" s="8" t="n"/>
      <c r="P122" s="6" t="n"/>
      <c r="Q122" s="8" t="n"/>
      <c r="S122" s="8">
        <f>IF(B122="","",E122*F122)</f>
        <v/>
      </c>
      <c r="T122" s="8">
        <f>IF(OR(B122="",N(G122)=0),"",ABS(F122-G122)*E122)</f>
        <v/>
      </c>
      <c r="U122" s="8">
        <f>IF(OR(B122="",P122=""),"",IF(D122="Venda",-1,1)*((N(J122)*N(K122)+N(L122)*N(M122)+N(N122)*N(O122))-(N(J122)+N(L122)+N(N122))*F122)-N(Q122))</f>
        <v/>
      </c>
      <c r="V122" s="9">
        <f>IF(OR(B122="",P122=""),"",U122/S122)</f>
        <v/>
      </c>
      <c r="W122">
        <f>IF(OR(B122="",P122=""),"",NETWORKDAYS(C122,P122)-1)</f>
        <v/>
      </c>
      <c r="X122">
        <f>IF(B122="","",IF(P122="","Aberto","Fechado"))</f>
        <v/>
      </c>
    </row>
    <row r="123">
      <c r="C123" s="6" t="n"/>
      <c r="E123" s="7" t="n"/>
      <c r="F123" s="8" t="n"/>
      <c r="G123" s="8" t="n"/>
      <c r="H123" s="8" t="n"/>
      <c r="J123" s="7" t="n"/>
      <c r="K123" s="8" t="n"/>
      <c r="L123" s="7" t="n"/>
      <c r="M123" s="8" t="n"/>
      <c r="N123" s="7" t="n"/>
      <c r="O123" s="8" t="n"/>
      <c r="P123" s="6" t="n"/>
      <c r="Q123" s="8" t="n"/>
      <c r="S123" s="8">
        <f>IF(B123="","",E123*F123)</f>
        <v/>
      </c>
      <c r="T123" s="8">
        <f>IF(OR(B123="",N(G123)=0),"",ABS(F123-G123)*E123)</f>
        <v/>
      </c>
      <c r="U123" s="8">
        <f>IF(OR(B123="",P123=""),"",IF(D123="Venda",-1,1)*((N(J123)*N(K123)+N(L123)*N(M123)+N(N123)*N(O123))-(N(J123)+N(L123)+N(N123))*F123)-N(Q123))</f>
        <v/>
      </c>
      <c r="V123" s="9">
        <f>IF(OR(B123="",P123=""),"",U123/S123)</f>
        <v/>
      </c>
      <c r="W123">
        <f>IF(OR(B123="",P123=""),"",NETWORKDAYS(C123,P123)-1)</f>
        <v/>
      </c>
      <c r="X123">
        <f>IF(B123="","",IF(P123="","Aberto","Fechado"))</f>
        <v/>
      </c>
    </row>
    <row r="124">
      <c r="C124" s="6" t="n"/>
      <c r="E124" s="7" t="n"/>
      <c r="F124" s="8" t="n"/>
      <c r="G124" s="8" t="n"/>
      <c r="H124" s="8" t="n"/>
      <c r="J124" s="7" t="n"/>
      <c r="K124" s="8" t="n"/>
      <c r="L124" s="7" t="n"/>
      <c r="M124" s="8" t="n"/>
      <c r="N124" s="7" t="n"/>
      <c r="O124" s="8" t="n"/>
      <c r="P124" s="6" t="n"/>
      <c r="Q124" s="8" t="n"/>
      <c r="S124" s="8">
        <f>IF(B124="","",E124*F124)</f>
        <v/>
      </c>
      <c r="T124" s="8">
        <f>IF(OR(B124="",N(G124)=0),"",ABS(F124-G124)*E124)</f>
        <v/>
      </c>
      <c r="U124" s="8">
        <f>IF(OR(B124="",P124=""),"",IF(D124="Venda",-1,1)*((N(J124)*N(K124)+N(L124)*N(M124)+N(N124)*N(O124))-(N(J124)+N(L124)+N(N124))*F124)-N(Q124))</f>
        <v/>
      </c>
      <c r="V124" s="9">
        <f>IF(OR(B124="",P124=""),"",U124/S124)</f>
        <v/>
      </c>
      <c r="W124">
        <f>IF(OR(B124="",P124=""),"",NETWORKDAYS(C124,P124)-1)</f>
        <v/>
      </c>
      <c r="X124">
        <f>IF(B124="","",IF(P124="","Aberto","Fechado"))</f>
        <v/>
      </c>
    </row>
    <row r="125">
      <c r="C125" s="6" t="n"/>
      <c r="E125" s="7" t="n"/>
      <c r="F125" s="8" t="n"/>
      <c r="G125" s="8" t="n"/>
      <c r="H125" s="8" t="n"/>
      <c r="J125" s="7" t="n"/>
      <c r="K125" s="8" t="n"/>
      <c r="L125" s="7" t="n"/>
      <c r="M125" s="8" t="n"/>
      <c r="N125" s="7" t="n"/>
      <c r="O125" s="8" t="n"/>
      <c r="P125" s="6" t="n"/>
      <c r="Q125" s="8" t="n"/>
      <c r="S125" s="8">
        <f>IF(B125="","",E125*F125)</f>
        <v/>
      </c>
      <c r="T125" s="8">
        <f>IF(OR(B125="",N(G125)=0),"",ABS(F125-G125)*E125)</f>
        <v/>
      </c>
      <c r="U125" s="8">
        <f>IF(OR(B125="",P125=""),"",IF(D125="Venda",-1,1)*((N(J125)*N(K125)+N(L125)*N(M125)+N(N125)*N(O125))-(N(J125)+N(L125)+N(N125))*F125)-N(Q125))</f>
        <v/>
      </c>
      <c r="V125" s="9">
        <f>IF(OR(B125="",P125=""),"",U125/S125)</f>
        <v/>
      </c>
      <c r="W125">
        <f>IF(OR(B125="",P125=""),"",NETWORKDAYS(C125,P125)-1)</f>
        <v/>
      </c>
      <c r="X125">
        <f>IF(B125="","",IF(P125="","Aberto","Fechado"))</f>
        <v/>
      </c>
    </row>
    <row r="126">
      <c r="C126" s="6" t="n"/>
      <c r="E126" s="7" t="n"/>
      <c r="F126" s="8" t="n"/>
      <c r="G126" s="8" t="n"/>
      <c r="H126" s="8" t="n"/>
      <c r="J126" s="7" t="n"/>
      <c r="K126" s="8" t="n"/>
      <c r="L126" s="7" t="n"/>
      <c r="M126" s="8" t="n"/>
      <c r="N126" s="7" t="n"/>
      <c r="O126" s="8" t="n"/>
      <c r="P126" s="6" t="n"/>
      <c r="Q126" s="8" t="n"/>
      <c r="S126" s="8">
        <f>IF(B126="","",E126*F126)</f>
        <v/>
      </c>
      <c r="T126" s="8">
        <f>IF(OR(B126="",N(G126)=0),"",ABS(F126-G126)*E126)</f>
        <v/>
      </c>
      <c r="U126" s="8">
        <f>IF(OR(B126="",P126=""),"",IF(D126="Venda",-1,1)*((N(J126)*N(K126)+N(L126)*N(M126)+N(N126)*N(O126))-(N(J126)+N(L126)+N(N126))*F126)-N(Q126))</f>
        <v/>
      </c>
      <c r="V126" s="9">
        <f>IF(OR(B126="",P126=""),"",U126/S126)</f>
        <v/>
      </c>
      <c r="W126">
        <f>IF(OR(B126="",P126=""),"",NETWORKDAYS(C126,P126)-1)</f>
        <v/>
      </c>
      <c r="X126">
        <f>IF(B126="","",IF(P126="","Aberto","Fechado"))</f>
        <v/>
      </c>
    </row>
    <row r="127">
      <c r="C127" s="6" t="n"/>
      <c r="E127" s="7" t="n"/>
      <c r="F127" s="8" t="n"/>
      <c r="G127" s="8" t="n"/>
      <c r="H127" s="8" t="n"/>
      <c r="J127" s="7" t="n"/>
      <c r="K127" s="8" t="n"/>
      <c r="L127" s="7" t="n"/>
      <c r="M127" s="8" t="n"/>
      <c r="N127" s="7" t="n"/>
      <c r="O127" s="8" t="n"/>
      <c r="P127" s="6" t="n"/>
      <c r="Q127" s="8" t="n"/>
      <c r="S127" s="8">
        <f>IF(B127="","",E127*F127)</f>
        <v/>
      </c>
      <c r="T127" s="8">
        <f>IF(OR(B127="",N(G127)=0),"",ABS(F127-G127)*E127)</f>
        <v/>
      </c>
      <c r="U127" s="8">
        <f>IF(OR(B127="",P127=""),"",IF(D127="Venda",-1,1)*((N(J127)*N(K127)+N(L127)*N(M127)+N(N127)*N(O127))-(N(J127)+N(L127)+N(N127))*F127)-N(Q127))</f>
        <v/>
      </c>
      <c r="V127" s="9">
        <f>IF(OR(B127="",P127=""),"",U127/S127)</f>
        <v/>
      </c>
      <c r="W127">
        <f>IF(OR(B127="",P127=""),"",NETWORKDAYS(C127,P127)-1)</f>
        <v/>
      </c>
      <c r="X127">
        <f>IF(B127="","",IF(P127="","Aberto","Fechado"))</f>
        <v/>
      </c>
    </row>
    <row r="128">
      <c r="C128" s="6" t="n"/>
      <c r="E128" s="7" t="n"/>
      <c r="F128" s="8" t="n"/>
      <c r="G128" s="8" t="n"/>
      <c r="H128" s="8" t="n"/>
      <c r="J128" s="7" t="n"/>
      <c r="K128" s="8" t="n"/>
      <c r="L128" s="7" t="n"/>
      <c r="M128" s="8" t="n"/>
      <c r="N128" s="7" t="n"/>
      <c r="O128" s="8" t="n"/>
      <c r="P128" s="6" t="n"/>
      <c r="Q128" s="8" t="n"/>
      <c r="S128" s="8">
        <f>IF(B128="","",E128*F128)</f>
        <v/>
      </c>
      <c r="T128" s="8">
        <f>IF(OR(B128="",N(G128)=0),"",ABS(F128-G128)*E128)</f>
        <v/>
      </c>
      <c r="U128" s="8">
        <f>IF(OR(B128="",P128=""),"",IF(D128="Venda",-1,1)*((N(J128)*N(K128)+N(L128)*N(M128)+N(N128)*N(O128))-(N(J128)+N(L128)+N(N128))*F128)-N(Q128))</f>
        <v/>
      </c>
      <c r="V128" s="9">
        <f>IF(OR(B128="",P128=""),"",U128/S128)</f>
        <v/>
      </c>
      <c r="W128">
        <f>IF(OR(B128="",P128=""),"",NETWORKDAYS(C128,P128)-1)</f>
        <v/>
      </c>
      <c r="X128">
        <f>IF(B128="","",IF(P128="","Aberto","Fechado"))</f>
        <v/>
      </c>
    </row>
    <row r="129">
      <c r="C129" s="6" t="n"/>
      <c r="E129" s="7" t="n"/>
      <c r="F129" s="8" t="n"/>
      <c r="G129" s="8" t="n"/>
      <c r="H129" s="8" t="n"/>
      <c r="J129" s="7" t="n"/>
      <c r="K129" s="8" t="n"/>
      <c r="L129" s="7" t="n"/>
      <c r="M129" s="8" t="n"/>
      <c r="N129" s="7" t="n"/>
      <c r="O129" s="8" t="n"/>
      <c r="P129" s="6" t="n"/>
      <c r="Q129" s="8" t="n"/>
      <c r="S129" s="8">
        <f>IF(B129="","",E129*F129)</f>
        <v/>
      </c>
      <c r="T129" s="8">
        <f>IF(OR(B129="",N(G129)=0),"",ABS(F129-G129)*E129)</f>
        <v/>
      </c>
      <c r="U129" s="8">
        <f>IF(OR(B129="",P129=""),"",IF(D129="Venda",-1,1)*((N(J129)*N(K129)+N(L129)*N(M129)+N(N129)*N(O129))-(N(J129)+N(L129)+N(N129))*F129)-N(Q129))</f>
        <v/>
      </c>
      <c r="V129" s="9">
        <f>IF(OR(B129="",P129=""),"",U129/S129)</f>
        <v/>
      </c>
      <c r="W129">
        <f>IF(OR(B129="",P129=""),"",NETWORKDAYS(C129,P129)-1)</f>
        <v/>
      </c>
      <c r="X129">
        <f>IF(B129="","",IF(P129="","Aberto","Fechado"))</f>
        <v/>
      </c>
    </row>
    <row r="130">
      <c r="C130" s="6" t="n"/>
      <c r="E130" s="7" t="n"/>
      <c r="F130" s="8" t="n"/>
      <c r="G130" s="8" t="n"/>
      <c r="H130" s="8" t="n"/>
      <c r="J130" s="7" t="n"/>
      <c r="K130" s="8" t="n"/>
      <c r="L130" s="7" t="n"/>
      <c r="M130" s="8" t="n"/>
      <c r="N130" s="7" t="n"/>
      <c r="O130" s="8" t="n"/>
      <c r="P130" s="6" t="n"/>
      <c r="Q130" s="8" t="n"/>
      <c r="S130" s="8">
        <f>IF(B130="","",E130*F130)</f>
        <v/>
      </c>
      <c r="T130" s="8">
        <f>IF(OR(B130="",N(G130)=0),"",ABS(F130-G130)*E130)</f>
        <v/>
      </c>
      <c r="U130" s="8">
        <f>IF(OR(B130="",P130=""),"",IF(D130="Venda",-1,1)*((N(J130)*N(K130)+N(L130)*N(M130)+N(N130)*N(O130))-(N(J130)+N(L130)+N(N130))*F130)-N(Q130))</f>
        <v/>
      </c>
      <c r="V130" s="9">
        <f>IF(OR(B130="",P130=""),"",U130/S130)</f>
        <v/>
      </c>
      <c r="W130">
        <f>IF(OR(B130="",P130=""),"",NETWORKDAYS(C130,P130)-1)</f>
        <v/>
      </c>
      <c r="X130">
        <f>IF(B130="","",IF(P130="","Aberto","Fechado"))</f>
        <v/>
      </c>
    </row>
    <row r="131">
      <c r="C131" s="6" t="n"/>
      <c r="E131" s="7" t="n"/>
      <c r="F131" s="8" t="n"/>
      <c r="G131" s="8" t="n"/>
      <c r="H131" s="8" t="n"/>
      <c r="J131" s="7" t="n"/>
      <c r="K131" s="8" t="n"/>
      <c r="L131" s="7" t="n"/>
      <c r="M131" s="8" t="n"/>
      <c r="N131" s="7" t="n"/>
      <c r="O131" s="8" t="n"/>
      <c r="P131" s="6" t="n"/>
      <c r="Q131" s="8" t="n"/>
      <c r="S131" s="8">
        <f>IF(B131="","",E131*F131)</f>
        <v/>
      </c>
      <c r="T131" s="8">
        <f>IF(OR(B131="",N(G131)=0),"",ABS(F131-G131)*E131)</f>
        <v/>
      </c>
      <c r="U131" s="8">
        <f>IF(OR(B131="",P131=""),"",IF(D131="Venda",-1,1)*((N(J131)*N(K131)+N(L131)*N(M131)+N(N131)*N(O131))-(N(J131)+N(L131)+N(N131))*F131)-N(Q131))</f>
        <v/>
      </c>
      <c r="V131" s="9">
        <f>IF(OR(B131="",P131=""),"",U131/S131)</f>
        <v/>
      </c>
      <c r="W131">
        <f>IF(OR(B131="",P131=""),"",NETWORKDAYS(C131,P131)-1)</f>
        <v/>
      </c>
      <c r="X131">
        <f>IF(B131="","",IF(P131="","Aberto","Fechado"))</f>
        <v/>
      </c>
    </row>
    <row r="132">
      <c r="C132" s="6" t="n"/>
      <c r="E132" s="7" t="n"/>
      <c r="F132" s="8" t="n"/>
      <c r="G132" s="8" t="n"/>
      <c r="H132" s="8" t="n"/>
      <c r="J132" s="7" t="n"/>
      <c r="K132" s="8" t="n"/>
      <c r="L132" s="7" t="n"/>
      <c r="M132" s="8" t="n"/>
      <c r="N132" s="7" t="n"/>
      <c r="O132" s="8" t="n"/>
      <c r="P132" s="6" t="n"/>
      <c r="Q132" s="8" t="n"/>
      <c r="S132" s="8">
        <f>IF(B132="","",E132*F132)</f>
        <v/>
      </c>
      <c r="T132" s="8">
        <f>IF(OR(B132="",N(G132)=0),"",ABS(F132-G132)*E132)</f>
        <v/>
      </c>
      <c r="U132" s="8">
        <f>IF(OR(B132="",P132=""),"",IF(D132="Venda",-1,1)*((N(J132)*N(K132)+N(L132)*N(M132)+N(N132)*N(O132))-(N(J132)+N(L132)+N(N132))*F132)-N(Q132))</f>
        <v/>
      </c>
      <c r="V132" s="9">
        <f>IF(OR(B132="",P132=""),"",U132/S132)</f>
        <v/>
      </c>
      <c r="W132">
        <f>IF(OR(B132="",P132=""),"",NETWORKDAYS(C132,P132)-1)</f>
        <v/>
      </c>
      <c r="X132">
        <f>IF(B132="","",IF(P132="","Aberto","Fechado"))</f>
        <v/>
      </c>
    </row>
    <row r="133">
      <c r="C133" s="6" t="n"/>
      <c r="E133" s="7" t="n"/>
      <c r="F133" s="8" t="n"/>
      <c r="G133" s="8" t="n"/>
      <c r="H133" s="8" t="n"/>
      <c r="J133" s="7" t="n"/>
      <c r="K133" s="8" t="n"/>
      <c r="L133" s="7" t="n"/>
      <c r="M133" s="8" t="n"/>
      <c r="N133" s="7" t="n"/>
      <c r="O133" s="8" t="n"/>
      <c r="P133" s="6" t="n"/>
      <c r="Q133" s="8" t="n"/>
      <c r="S133" s="8">
        <f>IF(B133="","",E133*F133)</f>
        <v/>
      </c>
      <c r="T133" s="8">
        <f>IF(OR(B133="",N(G133)=0),"",ABS(F133-G133)*E133)</f>
        <v/>
      </c>
      <c r="U133" s="8">
        <f>IF(OR(B133="",P133=""),"",IF(D133="Venda",-1,1)*((N(J133)*N(K133)+N(L133)*N(M133)+N(N133)*N(O133))-(N(J133)+N(L133)+N(N133))*F133)-N(Q133))</f>
        <v/>
      </c>
      <c r="V133" s="9">
        <f>IF(OR(B133="",P133=""),"",U133/S133)</f>
        <v/>
      </c>
      <c r="W133">
        <f>IF(OR(B133="",P133=""),"",NETWORKDAYS(C133,P133)-1)</f>
        <v/>
      </c>
      <c r="X133">
        <f>IF(B133="","",IF(P133="","Aberto","Fechado"))</f>
        <v/>
      </c>
    </row>
    <row r="134">
      <c r="C134" s="6" t="n"/>
      <c r="E134" s="7" t="n"/>
      <c r="F134" s="8" t="n"/>
      <c r="G134" s="8" t="n"/>
      <c r="H134" s="8" t="n"/>
      <c r="J134" s="7" t="n"/>
      <c r="K134" s="8" t="n"/>
      <c r="L134" s="7" t="n"/>
      <c r="M134" s="8" t="n"/>
      <c r="N134" s="7" t="n"/>
      <c r="O134" s="8" t="n"/>
      <c r="P134" s="6" t="n"/>
      <c r="Q134" s="8" t="n"/>
      <c r="S134" s="8">
        <f>IF(B134="","",E134*F134)</f>
        <v/>
      </c>
      <c r="T134" s="8">
        <f>IF(OR(B134="",N(G134)=0),"",ABS(F134-G134)*E134)</f>
        <v/>
      </c>
      <c r="U134" s="8">
        <f>IF(OR(B134="",P134=""),"",IF(D134="Venda",-1,1)*((N(J134)*N(K134)+N(L134)*N(M134)+N(N134)*N(O134))-(N(J134)+N(L134)+N(N134))*F134)-N(Q134))</f>
        <v/>
      </c>
      <c r="V134" s="9">
        <f>IF(OR(B134="",P134=""),"",U134/S134)</f>
        <v/>
      </c>
      <c r="W134">
        <f>IF(OR(B134="",P134=""),"",NETWORKDAYS(C134,P134)-1)</f>
        <v/>
      </c>
      <c r="X134">
        <f>IF(B134="","",IF(P134="","Aberto","Fechado"))</f>
        <v/>
      </c>
    </row>
    <row r="135">
      <c r="C135" s="6" t="n"/>
      <c r="E135" s="7" t="n"/>
      <c r="F135" s="8" t="n"/>
      <c r="G135" s="8" t="n"/>
      <c r="H135" s="8" t="n"/>
      <c r="J135" s="7" t="n"/>
      <c r="K135" s="8" t="n"/>
      <c r="L135" s="7" t="n"/>
      <c r="M135" s="8" t="n"/>
      <c r="N135" s="7" t="n"/>
      <c r="O135" s="8" t="n"/>
      <c r="P135" s="6" t="n"/>
      <c r="Q135" s="8" t="n"/>
      <c r="S135" s="8">
        <f>IF(B135="","",E135*F135)</f>
        <v/>
      </c>
      <c r="T135" s="8">
        <f>IF(OR(B135="",N(G135)=0),"",ABS(F135-G135)*E135)</f>
        <v/>
      </c>
      <c r="U135" s="8">
        <f>IF(OR(B135="",P135=""),"",IF(D135="Venda",-1,1)*((N(J135)*N(K135)+N(L135)*N(M135)+N(N135)*N(O135))-(N(J135)+N(L135)+N(N135))*F135)-N(Q135))</f>
        <v/>
      </c>
      <c r="V135" s="9">
        <f>IF(OR(B135="",P135=""),"",U135/S135)</f>
        <v/>
      </c>
      <c r="W135">
        <f>IF(OR(B135="",P135=""),"",NETWORKDAYS(C135,P135)-1)</f>
        <v/>
      </c>
      <c r="X135">
        <f>IF(B135="","",IF(P135="","Aberto","Fechado"))</f>
        <v/>
      </c>
    </row>
    <row r="136">
      <c r="C136" s="6" t="n"/>
      <c r="E136" s="7" t="n"/>
      <c r="F136" s="8" t="n"/>
      <c r="G136" s="8" t="n"/>
      <c r="H136" s="8" t="n"/>
      <c r="J136" s="7" t="n"/>
      <c r="K136" s="8" t="n"/>
      <c r="L136" s="7" t="n"/>
      <c r="M136" s="8" t="n"/>
      <c r="N136" s="7" t="n"/>
      <c r="O136" s="8" t="n"/>
      <c r="P136" s="6" t="n"/>
      <c r="Q136" s="8" t="n"/>
      <c r="S136" s="8">
        <f>IF(B136="","",E136*F136)</f>
        <v/>
      </c>
      <c r="T136" s="8">
        <f>IF(OR(B136="",N(G136)=0),"",ABS(F136-G136)*E136)</f>
        <v/>
      </c>
      <c r="U136" s="8">
        <f>IF(OR(B136="",P136=""),"",IF(D136="Venda",-1,1)*((N(J136)*N(K136)+N(L136)*N(M136)+N(N136)*N(O136))-(N(J136)+N(L136)+N(N136))*F136)-N(Q136))</f>
        <v/>
      </c>
      <c r="V136" s="9">
        <f>IF(OR(B136="",P136=""),"",U136/S136)</f>
        <v/>
      </c>
      <c r="W136">
        <f>IF(OR(B136="",P136=""),"",NETWORKDAYS(C136,P136)-1)</f>
        <v/>
      </c>
      <c r="X136">
        <f>IF(B136="","",IF(P136="","Aberto","Fechado"))</f>
        <v/>
      </c>
    </row>
    <row r="137">
      <c r="C137" s="6" t="n"/>
      <c r="E137" s="7" t="n"/>
      <c r="F137" s="8" t="n"/>
      <c r="G137" s="8" t="n"/>
      <c r="H137" s="8" t="n"/>
      <c r="J137" s="7" t="n"/>
      <c r="K137" s="8" t="n"/>
      <c r="L137" s="7" t="n"/>
      <c r="M137" s="8" t="n"/>
      <c r="N137" s="7" t="n"/>
      <c r="O137" s="8" t="n"/>
      <c r="P137" s="6" t="n"/>
      <c r="Q137" s="8" t="n"/>
      <c r="S137" s="8">
        <f>IF(B137="","",E137*F137)</f>
        <v/>
      </c>
      <c r="T137" s="8">
        <f>IF(OR(B137="",N(G137)=0),"",ABS(F137-G137)*E137)</f>
        <v/>
      </c>
      <c r="U137" s="8">
        <f>IF(OR(B137="",P137=""),"",IF(D137="Venda",-1,1)*((N(J137)*N(K137)+N(L137)*N(M137)+N(N137)*N(O137))-(N(J137)+N(L137)+N(N137))*F137)-N(Q137))</f>
        <v/>
      </c>
      <c r="V137" s="9">
        <f>IF(OR(B137="",P137=""),"",U137/S137)</f>
        <v/>
      </c>
      <c r="W137">
        <f>IF(OR(B137="",P137=""),"",NETWORKDAYS(C137,P137)-1)</f>
        <v/>
      </c>
      <c r="X137">
        <f>IF(B137="","",IF(P137="","Aberto","Fechado"))</f>
        <v/>
      </c>
    </row>
    <row r="138">
      <c r="C138" s="6" t="n"/>
      <c r="E138" s="7" t="n"/>
      <c r="F138" s="8" t="n"/>
      <c r="G138" s="8" t="n"/>
      <c r="H138" s="8" t="n"/>
      <c r="J138" s="7" t="n"/>
      <c r="K138" s="8" t="n"/>
      <c r="L138" s="7" t="n"/>
      <c r="M138" s="8" t="n"/>
      <c r="N138" s="7" t="n"/>
      <c r="O138" s="8" t="n"/>
      <c r="P138" s="6" t="n"/>
      <c r="Q138" s="8" t="n"/>
      <c r="S138" s="8">
        <f>IF(B138="","",E138*F138)</f>
        <v/>
      </c>
      <c r="T138" s="8">
        <f>IF(OR(B138="",N(G138)=0),"",ABS(F138-G138)*E138)</f>
        <v/>
      </c>
      <c r="U138" s="8">
        <f>IF(OR(B138="",P138=""),"",IF(D138="Venda",-1,1)*((N(J138)*N(K138)+N(L138)*N(M138)+N(N138)*N(O138))-(N(J138)+N(L138)+N(N138))*F138)-N(Q138))</f>
        <v/>
      </c>
      <c r="V138" s="9">
        <f>IF(OR(B138="",P138=""),"",U138/S138)</f>
        <v/>
      </c>
      <c r="W138">
        <f>IF(OR(B138="",P138=""),"",NETWORKDAYS(C138,P138)-1)</f>
        <v/>
      </c>
      <c r="X138">
        <f>IF(B138="","",IF(P138="","Aberto","Fechado"))</f>
        <v/>
      </c>
    </row>
    <row r="139">
      <c r="C139" s="6" t="n"/>
      <c r="E139" s="7" t="n"/>
      <c r="F139" s="8" t="n"/>
      <c r="G139" s="8" t="n"/>
      <c r="H139" s="8" t="n"/>
      <c r="J139" s="7" t="n"/>
      <c r="K139" s="8" t="n"/>
      <c r="L139" s="7" t="n"/>
      <c r="M139" s="8" t="n"/>
      <c r="N139" s="7" t="n"/>
      <c r="O139" s="8" t="n"/>
      <c r="P139" s="6" t="n"/>
      <c r="Q139" s="8" t="n"/>
      <c r="S139" s="8">
        <f>IF(B139="","",E139*F139)</f>
        <v/>
      </c>
      <c r="T139" s="8">
        <f>IF(OR(B139="",N(G139)=0),"",ABS(F139-G139)*E139)</f>
        <v/>
      </c>
      <c r="U139" s="8">
        <f>IF(OR(B139="",P139=""),"",IF(D139="Venda",-1,1)*((N(J139)*N(K139)+N(L139)*N(M139)+N(N139)*N(O139))-(N(J139)+N(L139)+N(N139))*F139)-N(Q139))</f>
        <v/>
      </c>
      <c r="V139" s="9">
        <f>IF(OR(B139="",P139=""),"",U139/S139)</f>
        <v/>
      </c>
      <c r="W139">
        <f>IF(OR(B139="",P139=""),"",NETWORKDAYS(C139,P139)-1)</f>
        <v/>
      </c>
      <c r="X139">
        <f>IF(B139="","",IF(P139="","Aberto","Fechado"))</f>
        <v/>
      </c>
    </row>
    <row r="140">
      <c r="C140" s="6" t="n"/>
      <c r="E140" s="7" t="n"/>
      <c r="F140" s="8" t="n"/>
      <c r="G140" s="8" t="n"/>
      <c r="H140" s="8" t="n"/>
      <c r="J140" s="7" t="n"/>
      <c r="K140" s="8" t="n"/>
      <c r="L140" s="7" t="n"/>
      <c r="M140" s="8" t="n"/>
      <c r="N140" s="7" t="n"/>
      <c r="O140" s="8" t="n"/>
      <c r="P140" s="6" t="n"/>
      <c r="Q140" s="8" t="n"/>
      <c r="S140" s="8">
        <f>IF(B140="","",E140*F140)</f>
        <v/>
      </c>
      <c r="T140" s="8">
        <f>IF(OR(B140="",N(G140)=0),"",ABS(F140-G140)*E140)</f>
        <v/>
      </c>
      <c r="U140" s="8">
        <f>IF(OR(B140="",P140=""),"",IF(D140="Venda",-1,1)*((N(J140)*N(K140)+N(L140)*N(M140)+N(N140)*N(O140))-(N(J140)+N(L140)+N(N140))*F140)-N(Q140))</f>
        <v/>
      </c>
      <c r="V140" s="9">
        <f>IF(OR(B140="",P140=""),"",U140/S140)</f>
        <v/>
      </c>
      <c r="W140">
        <f>IF(OR(B140="",P140=""),"",NETWORKDAYS(C140,P140)-1)</f>
        <v/>
      </c>
      <c r="X140">
        <f>IF(B140="","",IF(P140="","Aberto","Fechado"))</f>
        <v/>
      </c>
    </row>
    <row r="141">
      <c r="C141" s="6" t="n"/>
      <c r="E141" s="7" t="n"/>
      <c r="F141" s="8" t="n"/>
      <c r="G141" s="8" t="n"/>
      <c r="H141" s="8" t="n"/>
      <c r="J141" s="7" t="n"/>
      <c r="K141" s="8" t="n"/>
      <c r="L141" s="7" t="n"/>
      <c r="M141" s="8" t="n"/>
      <c r="N141" s="7" t="n"/>
      <c r="O141" s="8" t="n"/>
      <c r="P141" s="6" t="n"/>
      <c r="Q141" s="8" t="n"/>
      <c r="S141" s="8">
        <f>IF(B141="","",E141*F141)</f>
        <v/>
      </c>
      <c r="T141" s="8">
        <f>IF(OR(B141="",N(G141)=0),"",ABS(F141-G141)*E141)</f>
        <v/>
      </c>
      <c r="U141" s="8">
        <f>IF(OR(B141="",P141=""),"",IF(D141="Venda",-1,1)*((N(J141)*N(K141)+N(L141)*N(M141)+N(N141)*N(O141))-(N(J141)+N(L141)+N(N141))*F141)-N(Q141))</f>
        <v/>
      </c>
      <c r="V141" s="9">
        <f>IF(OR(B141="",P141=""),"",U141/S141)</f>
        <v/>
      </c>
      <c r="W141">
        <f>IF(OR(B141="",P141=""),"",NETWORKDAYS(C141,P141)-1)</f>
        <v/>
      </c>
      <c r="X141">
        <f>IF(B141="","",IF(P141="","Aberto","Fechado"))</f>
        <v/>
      </c>
    </row>
    <row r="142">
      <c r="C142" s="6" t="n"/>
      <c r="E142" s="7" t="n"/>
      <c r="F142" s="8" t="n"/>
      <c r="G142" s="8" t="n"/>
      <c r="H142" s="8" t="n"/>
      <c r="J142" s="7" t="n"/>
      <c r="K142" s="8" t="n"/>
      <c r="L142" s="7" t="n"/>
      <c r="M142" s="8" t="n"/>
      <c r="N142" s="7" t="n"/>
      <c r="O142" s="8" t="n"/>
      <c r="P142" s="6" t="n"/>
      <c r="Q142" s="8" t="n"/>
      <c r="S142" s="8">
        <f>IF(B142="","",E142*F142)</f>
        <v/>
      </c>
      <c r="T142" s="8">
        <f>IF(OR(B142="",N(G142)=0),"",ABS(F142-G142)*E142)</f>
        <v/>
      </c>
      <c r="U142" s="8">
        <f>IF(OR(B142="",P142=""),"",IF(D142="Venda",-1,1)*((N(J142)*N(K142)+N(L142)*N(M142)+N(N142)*N(O142))-(N(J142)+N(L142)+N(N142))*F142)-N(Q142))</f>
        <v/>
      </c>
      <c r="V142" s="9">
        <f>IF(OR(B142="",P142=""),"",U142/S142)</f>
        <v/>
      </c>
      <c r="W142">
        <f>IF(OR(B142="",P142=""),"",NETWORKDAYS(C142,P142)-1)</f>
        <v/>
      </c>
      <c r="X142">
        <f>IF(B142="","",IF(P142="","Aberto","Fechado"))</f>
        <v/>
      </c>
    </row>
    <row r="143">
      <c r="C143" s="6" t="n"/>
      <c r="E143" s="7" t="n"/>
      <c r="F143" s="8" t="n"/>
      <c r="G143" s="8" t="n"/>
      <c r="H143" s="8" t="n"/>
      <c r="J143" s="7" t="n"/>
      <c r="K143" s="8" t="n"/>
      <c r="L143" s="7" t="n"/>
      <c r="M143" s="8" t="n"/>
      <c r="N143" s="7" t="n"/>
      <c r="O143" s="8" t="n"/>
      <c r="P143" s="6" t="n"/>
      <c r="Q143" s="8" t="n"/>
      <c r="S143" s="8">
        <f>IF(B143="","",E143*F143)</f>
        <v/>
      </c>
      <c r="T143" s="8">
        <f>IF(OR(B143="",N(G143)=0),"",ABS(F143-G143)*E143)</f>
        <v/>
      </c>
      <c r="U143" s="8">
        <f>IF(OR(B143="",P143=""),"",IF(D143="Venda",-1,1)*((N(J143)*N(K143)+N(L143)*N(M143)+N(N143)*N(O143))-(N(J143)+N(L143)+N(N143))*F143)-N(Q143))</f>
        <v/>
      </c>
      <c r="V143" s="9">
        <f>IF(OR(B143="",P143=""),"",U143/S143)</f>
        <v/>
      </c>
      <c r="W143">
        <f>IF(OR(B143="",P143=""),"",NETWORKDAYS(C143,P143)-1)</f>
        <v/>
      </c>
      <c r="X143">
        <f>IF(B143="","",IF(P143="","Aberto","Fechado"))</f>
        <v/>
      </c>
    </row>
    <row r="144">
      <c r="C144" s="6" t="n"/>
      <c r="E144" s="7" t="n"/>
      <c r="F144" s="8" t="n"/>
      <c r="G144" s="8" t="n"/>
      <c r="H144" s="8" t="n"/>
      <c r="J144" s="7" t="n"/>
      <c r="K144" s="8" t="n"/>
      <c r="L144" s="7" t="n"/>
      <c r="M144" s="8" t="n"/>
      <c r="N144" s="7" t="n"/>
      <c r="O144" s="8" t="n"/>
      <c r="P144" s="6" t="n"/>
      <c r="Q144" s="8" t="n"/>
      <c r="S144" s="8">
        <f>IF(B144="","",E144*F144)</f>
        <v/>
      </c>
      <c r="T144" s="8">
        <f>IF(OR(B144="",N(G144)=0),"",ABS(F144-G144)*E144)</f>
        <v/>
      </c>
      <c r="U144" s="8">
        <f>IF(OR(B144="",P144=""),"",IF(D144="Venda",-1,1)*((N(J144)*N(K144)+N(L144)*N(M144)+N(N144)*N(O144))-(N(J144)+N(L144)+N(N144))*F144)-N(Q144))</f>
        <v/>
      </c>
      <c r="V144" s="9">
        <f>IF(OR(B144="",P144=""),"",U144/S144)</f>
        <v/>
      </c>
      <c r="W144">
        <f>IF(OR(B144="",P144=""),"",NETWORKDAYS(C144,P144)-1)</f>
        <v/>
      </c>
      <c r="X144">
        <f>IF(B144="","",IF(P144="","Aberto","Fechado"))</f>
        <v/>
      </c>
    </row>
    <row r="145">
      <c r="C145" s="6" t="n"/>
      <c r="E145" s="7" t="n"/>
      <c r="F145" s="8" t="n"/>
      <c r="G145" s="8" t="n"/>
      <c r="H145" s="8" t="n"/>
      <c r="J145" s="7" t="n"/>
      <c r="K145" s="8" t="n"/>
      <c r="L145" s="7" t="n"/>
      <c r="M145" s="8" t="n"/>
      <c r="N145" s="7" t="n"/>
      <c r="O145" s="8" t="n"/>
      <c r="P145" s="6" t="n"/>
      <c r="Q145" s="8" t="n"/>
      <c r="S145" s="8">
        <f>IF(B145="","",E145*F145)</f>
        <v/>
      </c>
      <c r="T145" s="8">
        <f>IF(OR(B145="",N(G145)=0),"",ABS(F145-G145)*E145)</f>
        <v/>
      </c>
      <c r="U145" s="8">
        <f>IF(OR(B145="",P145=""),"",IF(D145="Venda",-1,1)*((N(J145)*N(K145)+N(L145)*N(M145)+N(N145)*N(O145))-(N(J145)+N(L145)+N(N145))*F145)-N(Q145))</f>
        <v/>
      </c>
      <c r="V145" s="9">
        <f>IF(OR(B145="",P145=""),"",U145/S145)</f>
        <v/>
      </c>
      <c r="W145">
        <f>IF(OR(B145="",P145=""),"",NETWORKDAYS(C145,P145)-1)</f>
        <v/>
      </c>
      <c r="X145">
        <f>IF(B145="","",IF(P145="","Aberto","Fechado"))</f>
        <v/>
      </c>
    </row>
    <row r="146">
      <c r="C146" s="6" t="n"/>
      <c r="E146" s="7" t="n"/>
      <c r="F146" s="8" t="n"/>
      <c r="G146" s="8" t="n"/>
      <c r="H146" s="8" t="n"/>
      <c r="J146" s="7" t="n"/>
      <c r="K146" s="8" t="n"/>
      <c r="L146" s="7" t="n"/>
      <c r="M146" s="8" t="n"/>
      <c r="N146" s="7" t="n"/>
      <c r="O146" s="8" t="n"/>
      <c r="P146" s="6" t="n"/>
      <c r="Q146" s="8" t="n"/>
      <c r="S146" s="8">
        <f>IF(B146="","",E146*F146)</f>
        <v/>
      </c>
      <c r="T146" s="8">
        <f>IF(OR(B146="",N(G146)=0),"",ABS(F146-G146)*E146)</f>
        <v/>
      </c>
      <c r="U146" s="8">
        <f>IF(OR(B146="",P146=""),"",IF(D146="Venda",-1,1)*((N(J146)*N(K146)+N(L146)*N(M146)+N(N146)*N(O146))-(N(J146)+N(L146)+N(N146))*F146)-N(Q146))</f>
        <v/>
      </c>
      <c r="V146" s="9">
        <f>IF(OR(B146="",P146=""),"",U146/S146)</f>
        <v/>
      </c>
      <c r="W146">
        <f>IF(OR(B146="",P146=""),"",NETWORKDAYS(C146,P146)-1)</f>
        <v/>
      </c>
      <c r="X146">
        <f>IF(B146="","",IF(P146="","Aberto","Fechado"))</f>
        <v/>
      </c>
    </row>
    <row r="147">
      <c r="C147" s="6" t="n"/>
      <c r="E147" s="7" t="n"/>
      <c r="F147" s="8" t="n"/>
      <c r="G147" s="8" t="n"/>
      <c r="H147" s="8" t="n"/>
      <c r="J147" s="7" t="n"/>
      <c r="K147" s="8" t="n"/>
      <c r="L147" s="7" t="n"/>
      <c r="M147" s="8" t="n"/>
      <c r="N147" s="7" t="n"/>
      <c r="O147" s="8" t="n"/>
      <c r="P147" s="6" t="n"/>
      <c r="Q147" s="8" t="n"/>
      <c r="S147" s="8">
        <f>IF(B147="","",E147*F147)</f>
        <v/>
      </c>
      <c r="T147" s="8">
        <f>IF(OR(B147="",N(G147)=0),"",ABS(F147-G147)*E147)</f>
        <v/>
      </c>
      <c r="U147" s="8">
        <f>IF(OR(B147="",P147=""),"",IF(D147="Venda",-1,1)*((N(J147)*N(K147)+N(L147)*N(M147)+N(N147)*N(O147))-(N(J147)+N(L147)+N(N147))*F147)-N(Q147))</f>
        <v/>
      </c>
      <c r="V147" s="9">
        <f>IF(OR(B147="",P147=""),"",U147/S147)</f>
        <v/>
      </c>
      <c r="W147">
        <f>IF(OR(B147="",P147=""),"",NETWORKDAYS(C147,P147)-1)</f>
        <v/>
      </c>
      <c r="X147">
        <f>IF(B147="","",IF(P147="","Aberto","Fechado"))</f>
        <v/>
      </c>
    </row>
    <row r="148">
      <c r="C148" s="6" t="n"/>
      <c r="E148" s="7" t="n"/>
      <c r="F148" s="8" t="n"/>
      <c r="G148" s="8" t="n"/>
      <c r="H148" s="8" t="n"/>
      <c r="J148" s="7" t="n"/>
      <c r="K148" s="8" t="n"/>
      <c r="L148" s="7" t="n"/>
      <c r="M148" s="8" t="n"/>
      <c r="N148" s="7" t="n"/>
      <c r="O148" s="8" t="n"/>
      <c r="P148" s="6" t="n"/>
      <c r="Q148" s="8" t="n"/>
      <c r="S148" s="8">
        <f>IF(B148="","",E148*F148)</f>
        <v/>
      </c>
      <c r="T148" s="8">
        <f>IF(OR(B148="",N(G148)=0),"",ABS(F148-G148)*E148)</f>
        <v/>
      </c>
      <c r="U148" s="8">
        <f>IF(OR(B148="",P148=""),"",IF(D148="Venda",-1,1)*((N(J148)*N(K148)+N(L148)*N(M148)+N(N148)*N(O148))-(N(J148)+N(L148)+N(N148))*F148)-N(Q148))</f>
        <v/>
      </c>
      <c r="V148" s="9">
        <f>IF(OR(B148="",P148=""),"",U148/S148)</f>
        <v/>
      </c>
      <c r="W148">
        <f>IF(OR(B148="",P148=""),"",NETWORKDAYS(C148,P148)-1)</f>
        <v/>
      </c>
      <c r="X148">
        <f>IF(B148="","",IF(P148="","Aberto","Fechado"))</f>
        <v/>
      </c>
    </row>
    <row r="149">
      <c r="C149" s="6" t="n"/>
      <c r="E149" s="7" t="n"/>
      <c r="F149" s="8" t="n"/>
      <c r="G149" s="8" t="n"/>
      <c r="H149" s="8" t="n"/>
      <c r="J149" s="7" t="n"/>
      <c r="K149" s="8" t="n"/>
      <c r="L149" s="7" t="n"/>
      <c r="M149" s="8" t="n"/>
      <c r="N149" s="7" t="n"/>
      <c r="O149" s="8" t="n"/>
      <c r="P149" s="6" t="n"/>
      <c r="Q149" s="8" t="n"/>
      <c r="S149" s="8">
        <f>IF(B149="","",E149*F149)</f>
        <v/>
      </c>
      <c r="T149" s="8">
        <f>IF(OR(B149="",N(G149)=0),"",ABS(F149-G149)*E149)</f>
        <v/>
      </c>
      <c r="U149" s="8">
        <f>IF(OR(B149="",P149=""),"",IF(D149="Venda",-1,1)*((N(J149)*N(K149)+N(L149)*N(M149)+N(N149)*N(O149))-(N(J149)+N(L149)+N(N149))*F149)-N(Q149))</f>
        <v/>
      </c>
      <c r="V149" s="9">
        <f>IF(OR(B149="",P149=""),"",U149/S149)</f>
        <v/>
      </c>
      <c r="W149">
        <f>IF(OR(B149="",P149=""),"",NETWORKDAYS(C149,P149)-1)</f>
        <v/>
      </c>
      <c r="X149">
        <f>IF(B149="","",IF(P149="","Aberto","Fechado"))</f>
        <v/>
      </c>
    </row>
    <row r="150">
      <c r="C150" s="6" t="n"/>
      <c r="E150" s="7" t="n"/>
      <c r="F150" s="8" t="n"/>
      <c r="G150" s="8" t="n"/>
      <c r="H150" s="8" t="n"/>
      <c r="J150" s="7" t="n"/>
      <c r="K150" s="8" t="n"/>
      <c r="L150" s="7" t="n"/>
      <c r="M150" s="8" t="n"/>
      <c r="N150" s="7" t="n"/>
      <c r="O150" s="8" t="n"/>
      <c r="P150" s="6" t="n"/>
      <c r="Q150" s="8" t="n"/>
      <c r="S150" s="8">
        <f>IF(B150="","",E150*F150)</f>
        <v/>
      </c>
      <c r="T150" s="8">
        <f>IF(OR(B150="",N(G150)=0),"",ABS(F150-G150)*E150)</f>
        <v/>
      </c>
      <c r="U150" s="8">
        <f>IF(OR(B150="",P150=""),"",IF(D150="Venda",-1,1)*((N(J150)*N(K150)+N(L150)*N(M150)+N(N150)*N(O150))-(N(J150)+N(L150)+N(N150))*F150)-N(Q150))</f>
        <v/>
      </c>
      <c r="V150" s="9">
        <f>IF(OR(B150="",P150=""),"",U150/S150)</f>
        <v/>
      </c>
      <c r="W150">
        <f>IF(OR(B150="",P150=""),"",NETWORKDAYS(C150,P150)-1)</f>
        <v/>
      </c>
      <c r="X150">
        <f>IF(B150="","",IF(P150="","Aberto","Fechado"))</f>
        <v/>
      </c>
    </row>
    <row r="151">
      <c r="C151" s="6" t="n"/>
      <c r="E151" s="7" t="n"/>
      <c r="F151" s="8" t="n"/>
      <c r="G151" s="8" t="n"/>
      <c r="H151" s="8" t="n"/>
      <c r="J151" s="7" t="n"/>
      <c r="K151" s="8" t="n"/>
      <c r="L151" s="7" t="n"/>
      <c r="M151" s="8" t="n"/>
      <c r="N151" s="7" t="n"/>
      <c r="O151" s="8" t="n"/>
      <c r="P151" s="6" t="n"/>
      <c r="Q151" s="8" t="n"/>
      <c r="S151" s="8">
        <f>IF(B151="","",E151*F151)</f>
        <v/>
      </c>
      <c r="T151" s="8">
        <f>IF(OR(B151="",N(G151)=0),"",ABS(F151-G151)*E151)</f>
        <v/>
      </c>
      <c r="U151" s="8">
        <f>IF(OR(B151="",P151=""),"",IF(D151="Venda",-1,1)*((N(J151)*N(K151)+N(L151)*N(M151)+N(N151)*N(O151))-(N(J151)+N(L151)+N(N151))*F151)-N(Q151))</f>
        <v/>
      </c>
      <c r="V151" s="9">
        <f>IF(OR(B151="",P151=""),"",U151/S151)</f>
        <v/>
      </c>
      <c r="W151">
        <f>IF(OR(B151="",P151=""),"",NETWORKDAYS(C151,P151)-1)</f>
        <v/>
      </c>
      <c r="X151">
        <f>IF(B151="","",IF(P151="","Aberto","Fechado"))</f>
        <v/>
      </c>
    </row>
    <row r="152">
      <c r="C152" s="6" t="n"/>
      <c r="E152" s="7" t="n"/>
      <c r="F152" s="8" t="n"/>
      <c r="G152" s="8" t="n"/>
      <c r="H152" s="8" t="n"/>
      <c r="J152" s="7" t="n"/>
      <c r="K152" s="8" t="n"/>
      <c r="L152" s="7" t="n"/>
      <c r="M152" s="8" t="n"/>
      <c r="N152" s="7" t="n"/>
      <c r="O152" s="8" t="n"/>
      <c r="P152" s="6" t="n"/>
      <c r="Q152" s="8" t="n"/>
      <c r="S152" s="8">
        <f>IF(B152="","",E152*F152)</f>
        <v/>
      </c>
      <c r="T152" s="8">
        <f>IF(OR(B152="",N(G152)=0),"",ABS(F152-G152)*E152)</f>
        <v/>
      </c>
      <c r="U152" s="8">
        <f>IF(OR(B152="",P152=""),"",IF(D152="Venda",-1,1)*((N(J152)*N(K152)+N(L152)*N(M152)+N(N152)*N(O152))-(N(J152)+N(L152)+N(N152))*F152)-N(Q152))</f>
        <v/>
      </c>
      <c r="V152" s="9">
        <f>IF(OR(B152="",P152=""),"",U152/S152)</f>
        <v/>
      </c>
      <c r="W152">
        <f>IF(OR(B152="",P152=""),"",NETWORKDAYS(C152,P152)-1)</f>
        <v/>
      </c>
      <c r="X152">
        <f>IF(B152="","",IF(P152="","Aberto","Fechado"))</f>
        <v/>
      </c>
    </row>
    <row r="153">
      <c r="C153" s="6" t="n"/>
      <c r="E153" s="7" t="n"/>
      <c r="F153" s="8" t="n"/>
      <c r="G153" s="8" t="n"/>
      <c r="H153" s="8" t="n"/>
      <c r="J153" s="7" t="n"/>
      <c r="K153" s="8" t="n"/>
      <c r="L153" s="7" t="n"/>
      <c r="M153" s="8" t="n"/>
      <c r="N153" s="7" t="n"/>
      <c r="O153" s="8" t="n"/>
      <c r="P153" s="6" t="n"/>
      <c r="Q153" s="8" t="n"/>
      <c r="S153" s="8">
        <f>IF(B153="","",E153*F153)</f>
        <v/>
      </c>
      <c r="T153" s="8">
        <f>IF(OR(B153="",N(G153)=0),"",ABS(F153-G153)*E153)</f>
        <v/>
      </c>
      <c r="U153" s="8">
        <f>IF(OR(B153="",P153=""),"",IF(D153="Venda",-1,1)*((N(J153)*N(K153)+N(L153)*N(M153)+N(N153)*N(O153))-(N(J153)+N(L153)+N(N153))*F153)-N(Q153))</f>
        <v/>
      </c>
      <c r="V153" s="9">
        <f>IF(OR(B153="",P153=""),"",U153/S153)</f>
        <v/>
      </c>
      <c r="W153">
        <f>IF(OR(B153="",P153=""),"",NETWORKDAYS(C153,P153)-1)</f>
        <v/>
      </c>
      <c r="X153">
        <f>IF(B153="","",IF(P153="","Aberto","Fechado"))</f>
        <v/>
      </c>
    </row>
    <row r="154">
      <c r="C154" s="6" t="n"/>
      <c r="E154" s="7" t="n"/>
      <c r="F154" s="8" t="n"/>
      <c r="G154" s="8" t="n"/>
      <c r="H154" s="8" t="n"/>
      <c r="J154" s="7" t="n"/>
      <c r="K154" s="8" t="n"/>
      <c r="L154" s="7" t="n"/>
      <c r="M154" s="8" t="n"/>
      <c r="N154" s="7" t="n"/>
      <c r="O154" s="8" t="n"/>
      <c r="P154" s="6" t="n"/>
      <c r="Q154" s="8" t="n"/>
      <c r="S154" s="8">
        <f>IF(B154="","",E154*F154)</f>
        <v/>
      </c>
      <c r="T154" s="8">
        <f>IF(OR(B154="",N(G154)=0),"",ABS(F154-G154)*E154)</f>
        <v/>
      </c>
      <c r="U154" s="8">
        <f>IF(OR(B154="",P154=""),"",IF(D154="Venda",-1,1)*((N(J154)*N(K154)+N(L154)*N(M154)+N(N154)*N(O154))-(N(J154)+N(L154)+N(N154))*F154)-N(Q154))</f>
        <v/>
      </c>
      <c r="V154" s="9">
        <f>IF(OR(B154="",P154=""),"",U154/S154)</f>
        <v/>
      </c>
      <c r="W154">
        <f>IF(OR(B154="",P154=""),"",NETWORKDAYS(C154,P154)-1)</f>
        <v/>
      </c>
      <c r="X154">
        <f>IF(B154="","",IF(P154="","Aberto","Fechado"))</f>
        <v/>
      </c>
    </row>
    <row r="155">
      <c r="C155" s="6" t="n"/>
      <c r="E155" s="7" t="n"/>
      <c r="F155" s="8" t="n"/>
      <c r="G155" s="8" t="n"/>
      <c r="H155" s="8" t="n"/>
      <c r="J155" s="7" t="n"/>
      <c r="K155" s="8" t="n"/>
      <c r="L155" s="7" t="n"/>
      <c r="M155" s="8" t="n"/>
      <c r="N155" s="7" t="n"/>
      <c r="O155" s="8" t="n"/>
      <c r="P155" s="6" t="n"/>
      <c r="Q155" s="8" t="n"/>
      <c r="S155" s="8">
        <f>IF(B155="","",E155*F155)</f>
        <v/>
      </c>
      <c r="T155" s="8">
        <f>IF(OR(B155="",N(G155)=0),"",ABS(F155-G155)*E155)</f>
        <v/>
      </c>
      <c r="U155" s="8">
        <f>IF(OR(B155="",P155=""),"",IF(D155="Venda",-1,1)*((N(J155)*N(K155)+N(L155)*N(M155)+N(N155)*N(O155))-(N(J155)+N(L155)+N(N155))*F155)-N(Q155))</f>
        <v/>
      </c>
      <c r="V155" s="9">
        <f>IF(OR(B155="",P155=""),"",U155/S155)</f>
        <v/>
      </c>
      <c r="W155">
        <f>IF(OR(B155="",P155=""),"",NETWORKDAYS(C155,P155)-1)</f>
        <v/>
      </c>
      <c r="X155">
        <f>IF(B155="","",IF(P155="","Aberto","Fechado"))</f>
        <v/>
      </c>
    </row>
    <row r="156">
      <c r="C156" s="6" t="n"/>
      <c r="E156" s="7" t="n"/>
      <c r="F156" s="8" t="n"/>
      <c r="G156" s="8" t="n"/>
      <c r="H156" s="8" t="n"/>
      <c r="J156" s="7" t="n"/>
      <c r="K156" s="8" t="n"/>
      <c r="L156" s="7" t="n"/>
      <c r="M156" s="8" t="n"/>
      <c r="N156" s="7" t="n"/>
      <c r="O156" s="8" t="n"/>
      <c r="P156" s="6" t="n"/>
      <c r="Q156" s="8" t="n"/>
      <c r="S156" s="8">
        <f>IF(B156="","",E156*F156)</f>
        <v/>
      </c>
      <c r="T156" s="8">
        <f>IF(OR(B156="",N(G156)=0),"",ABS(F156-G156)*E156)</f>
        <v/>
      </c>
      <c r="U156" s="8">
        <f>IF(OR(B156="",P156=""),"",IF(D156="Venda",-1,1)*((N(J156)*N(K156)+N(L156)*N(M156)+N(N156)*N(O156))-(N(J156)+N(L156)+N(N156))*F156)-N(Q156))</f>
        <v/>
      </c>
      <c r="V156" s="9">
        <f>IF(OR(B156="",P156=""),"",U156/S156)</f>
        <v/>
      </c>
      <c r="W156">
        <f>IF(OR(B156="",P156=""),"",NETWORKDAYS(C156,P156)-1)</f>
        <v/>
      </c>
      <c r="X156">
        <f>IF(B156="","",IF(P156="","Aberto","Fechado"))</f>
        <v/>
      </c>
    </row>
    <row r="157">
      <c r="C157" s="6" t="n"/>
      <c r="E157" s="7" t="n"/>
      <c r="F157" s="8" t="n"/>
      <c r="G157" s="8" t="n"/>
      <c r="H157" s="8" t="n"/>
      <c r="J157" s="7" t="n"/>
      <c r="K157" s="8" t="n"/>
      <c r="L157" s="7" t="n"/>
      <c r="M157" s="8" t="n"/>
      <c r="N157" s="7" t="n"/>
      <c r="O157" s="8" t="n"/>
      <c r="P157" s="6" t="n"/>
      <c r="Q157" s="8" t="n"/>
      <c r="S157" s="8">
        <f>IF(B157="","",E157*F157)</f>
        <v/>
      </c>
      <c r="T157" s="8">
        <f>IF(OR(B157="",N(G157)=0),"",ABS(F157-G157)*E157)</f>
        <v/>
      </c>
      <c r="U157" s="8">
        <f>IF(OR(B157="",P157=""),"",IF(D157="Venda",-1,1)*((N(J157)*N(K157)+N(L157)*N(M157)+N(N157)*N(O157))-(N(J157)+N(L157)+N(N157))*F157)-N(Q157))</f>
        <v/>
      </c>
      <c r="V157" s="9">
        <f>IF(OR(B157="",P157=""),"",U157/S157)</f>
        <v/>
      </c>
      <c r="W157">
        <f>IF(OR(B157="",P157=""),"",NETWORKDAYS(C157,P157)-1)</f>
        <v/>
      </c>
      <c r="X157">
        <f>IF(B157="","",IF(P157="","Aberto","Fechado"))</f>
        <v/>
      </c>
    </row>
    <row r="158">
      <c r="C158" s="6" t="n"/>
      <c r="E158" s="7" t="n"/>
      <c r="F158" s="8" t="n"/>
      <c r="G158" s="8" t="n"/>
      <c r="H158" s="8" t="n"/>
      <c r="J158" s="7" t="n"/>
      <c r="K158" s="8" t="n"/>
      <c r="L158" s="7" t="n"/>
      <c r="M158" s="8" t="n"/>
      <c r="N158" s="7" t="n"/>
      <c r="O158" s="8" t="n"/>
      <c r="P158" s="6" t="n"/>
      <c r="Q158" s="8" t="n"/>
      <c r="S158" s="8">
        <f>IF(B158="","",E158*F158)</f>
        <v/>
      </c>
      <c r="T158" s="8">
        <f>IF(OR(B158="",N(G158)=0),"",ABS(F158-G158)*E158)</f>
        <v/>
      </c>
      <c r="U158" s="8">
        <f>IF(OR(B158="",P158=""),"",IF(D158="Venda",-1,1)*((N(J158)*N(K158)+N(L158)*N(M158)+N(N158)*N(O158))-(N(J158)+N(L158)+N(N158))*F158)-N(Q158))</f>
        <v/>
      </c>
      <c r="V158" s="9">
        <f>IF(OR(B158="",P158=""),"",U158/S158)</f>
        <v/>
      </c>
      <c r="W158">
        <f>IF(OR(B158="",P158=""),"",NETWORKDAYS(C158,P158)-1)</f>
        <v/>
      </c>
      <c r="X158">
        <f>IF(B158="","",IF(P158="","Aberto","Fechado"))</f>
        <v/>
      </c>
    </row>
    <row r="159">
      <c r="C159" s="6" t="n"/>
      <c r="E159" s="7" t="n"/>
      <c r="F159" s="8" t="n"/>
      <c r="G159" s="8" t="n"/>
      <c r="H159" s="8" t="n"/>
      <c r="J159" s="7" t="n"/>
      <c r="K159" s="8" t="n"/>
      <c r="L159" s="7" t="n"/>
      <c r="M159" s="8" t="n"/>
      <c r="N159" s="7" t="n"/>
      <c r="O159" s="8" t="n"/>
      <c r="P159" s="6" t="n"/>
      <c r="Q159" s="8" t="n"/>
      <c r="S159" s="8">
        <f>IF(B159="","",E159*F159)</f>
        <v/>
      </c>
      <c r="T159" s="8">
        <f>IF(OR(B159="",N(G159)=0),"",ABS(F159-G159)*E159)</f>
        <v/>
      </c>
      <c r="U159" s="8">
        <f>IF(OR(B159="",P159=""),"",IF(D159="Venda",-1,1)*((N(J159)*N(K159)+N(L159)*N(M159)+N(N159)*N(O159))-(N(J159)+N(L159)+N(N159))*F159)-N(Q159))</f>
        <v/>
      </c>
      <c r="V159" s="9">
        <f>IF(OR(B159="",P159=""),"",U159/S159)</f>
        <v/>
      </c>
      <c r="W159">
        <f>IF(OR(B159="",P159=""),"",NETWORKDAYS(C159,P159)-1)</f>
        <v/>
      </c>
      <c r="X159">
        <f>IF(B159="","",IF(P159="","Aberto","Fechado"))</f>
        <v/>
      </c>
    </row>
    <row r="160">
      <c r="C160" s="6" t="n"/>
      <c r="E160" s="7" t="n"/>
      <c r="F160" s="8" t="n"/>
      <c r="G160" s="8" t="n"/>
      <c r="H160" s="8" t="n"/>
      <c r="J160" s="7" t="n"/>
      <c r="K160" s="8" t="n"/>
      <c r="L160" s="7" t="n"/>
      <c r="M160" s="8" t="n"/>
      <c r="N160" s="7" t="n"/>
      <c r="O160" s="8" t="n"/>
      <c r="P160" s="6" t="n"/>
      <c r="Q160" s="8" t="n"/>
      <c r="S160" s="8">
        <f>IF(B160="","",E160*F160)</f>
        <v/>
      </c>
      <c r="T160" s="8">
        <f>IF(OR(B160="",N(G160)=0),"",ABS(F160-G160)*E160)</f>
        <v/>
      </c>
      <c r="U160" s="8">
        <f>IF(OR(B160="",P160=""),"",IF(D160="Venda",-1,1)*((N(J160)*N(K160)+N(L160)*N(M160)+N(N160)*N(O160))-(N(J160)+N(L160)+N(N160))*F160)-N(Q160))</f>
        <v/>
      </c>
      <c r="V160" s="9">
        <f>IF(OR(B160="",P160=""),"",U160/S160)</f>
        <v/>
      </c>
      <c r="W160">
        <f>IF(OR(B160="",P160=""),"",NETWORKDAYS(C160,P160)-1)</f>
        <v/>
      </c>
      <c r="X160">
        <f>IF(B160="","",IF(P160="","Aberto","Fechado"))</f>
        <v/>
      </c>
    </row>
    <row r="161">
      <c r="C161" s="6" t="n"/>
      <c r="E161" s="7" t="n"/>
      <c r="F161" s="8" t="n"/>
      <c r="G161" s="8" t="n"/>
      <c r="H161" s="8" t="n"/>
      <c r="J161" s="7" t="n"/>
      <c r="K161" s="8" t="n"/>
      <c r="L161" s="7" t="n"/>
      <c r="M161" s="8" t="n"/>
      <c r="N161" s="7" t="n"/>
      <c r="O161" s="8" t="n"/>
      <c r="P161" s="6" t="n"/>
      <c r="Q161" s="8" t="n"/>
      <c r="S161" s="8">
        <f>IF(B161="","",E161*F161)</f>
        <v/>
      </c>
      <c r="T161" s="8">
        <f>IF(OR(B161="",N(G161)=0),"",ABS(F161-G161)*E161)</f>
        <v/>
      </c>
      <c r="U161" s="8">
        <f>IF(OR(B161="",P161=""),"",IF(D161="Venda",-1,1)*((N(J161)*N(K161)+N(L161)*N(M161)+N(N161)*N(O161))-(N(J161)+N(L161)+N(N161))*F161)-N(Q161))</f>
        <v/>
      </c>
      <c r="V161" s="9">
        <f>IF(OR(B161="",P161=""),"",U161/S161)</f>
        <v/>
      </c>
      <c r="W161">
        <f>IF(OR(B161="",P161=""),"",NETWORKDAYS(C161,P161)-1)</f>
        <v/>
      </c>
      <c r="X161">
        <f>IF(B161="","",IF(P161="","Aberto","Fechado"))</f>
        <v/>
      </c>
    </row>
    <row r="162">
      <c r="C162" s="6" t="n"/>
      <c r="E162" s="7" t="n"/>
      <c r="F162" s="8" t="n"/>
      <c r="G162" s="8" t="n"/>
      <c r="H162" s="8" t="n"/>
      <c r="J162" s="7" t="n"/>
      <c r="K162" s="8" t="n"/>
      <c r="L162" s="7" t="n"/>
      <c r="M162" s="8" t="n"/>
      <c r="N162" s="7" t="n"/>
      <c r="O162" s="8" t="n"/>
      <c r="P162" s="6" t="n"/>
      <c r="Q162" s="8" t="n"/>
      <c r="S162" s="8">
        <f>IF(B162="","",E162*F162)</f>
        <v/>
      </c>
      <c r="T162" s="8">
        <f>IF(OR(B162="",N(G162)=0),"",ABS(F162-G162)*E162)</f>
        <v/>
      </c>
      <c r="U162" s="8">
        <f>IF(OR(B162="",P162=""),"",IF(D162="Venda",-1,1)*((N(J162)*N(K162)+N(L162)*N(M162)+N(N162)*N(O162))-(N(J162)+N(L162)+N(N162))*F162)-N(Q162))</f>
        <v/>
      </c>
      <c r="V162" s="9">
        <f>IF(OR(B162="",P162=""),"",U162/S162)</f>
        <v/>
      </c>
      <c r="W162">
        <f>IF(OR(B162="",P162=""),"",NETWORKDAYS(C162,P162)-1)</f>
        <v/>
      </c>
      <c r="X162">
        <f>IF(B162="","",IF(P162="","Aberto","Fechado"))</f>
        <v/>
      </c>
    </row>
    <row r="163">
      <c r="C163" s="6" t="n"/>
      <c r="E163" s="7" t="n"/>
      <c r="F163" s="8" t="n"/>
      <c r="G163" s="8" t="n"/>
      <c r="H163" s="8" t="n"/>
      <c r="J163" s="7" t="n"/>
      <c r="K163" s="8" t="n"/>
      <c r="L163" s="7" t="n"/>
      <c r="M163" s="8" t="n"/>
      <c r="N163" s="7" t="n"/>
      <c r="O163" s="8" t="n"/>
      <c r="P163" s="6" t="n"/>
      <c r="Q163" s="8" t="n"/>
      <c r="S163" s="8">
        <f>IF(B163="","",E163*F163)</f>
        <v/>
      </c>
      <c r="T163" s="8">
        <f>IF(OR(B163="",N(G163)=0),"",ABS(F163-G163)*E163)</f>
        <v/>
      </c>
      <c r="U163" s="8">
        <f>IF(OR(B163="",P163=""),"",IF(D163="Venda",-1,1)*((N(J163)*N(K163)+N(L163)*N(M163)+N(N163)*N(O163))-(N(J163)+N(L163)+N(N163))*F163)-N(Q163))</f>
        <v/>
      </c>
      <c r="V163" s="9">
        <f>IF(OR(B163="",P163=""),"",U163/S163)</f>
        <v/>
      </c>
      <c r="W163">
        <f>IF(OR(B163="",P163=""),"",NETWORKDAYS(C163,P163)-1)</f>
        <v/>
      </c>
      <c r="X163">
        <f>IF(B163="","",IF(P163="","Aberto","Fechado"))</f>
        <v/>
      </c>
    </row>
    <row r="164">
      <c r="C164" s="6" t="n"/>
      <c r="E164" s="7" t="n"/>
      <c r="F164" s="8" t="n"/>
      <c r="G164" s="8" t="n"/>
      <c r="H164" s="8" t="n"/>
      <c r="J164" s="7" t="n"/>
      <c r="K164" s="8" t="n"/>
      <c r="L164" s="7" t="n"/>
      <c r="M164" s="8" t="n"/>
      <c r="N164" s="7" t="n"/>
      <c r="O164" s="8" t="n"/>
      <c r="P164" s="6" t="n"/>
      <c r="Q164" s="8" t="n"/>
      <c r="S164" s="8">
        <f>IF(B164="","",E164*F164)</f>
        <v/>
      </c>
      <c r="T164" s="8">
        <f>IF(OR(B164="",N(G164)=0),"",ABS(F164-G164)*E164)</f>
        <v/>
      </c>
      <c r="U164" s="8">
        <f>IF(OR(B164="",P164=""),"",IF(D164="Venda",-1,1)*((N(J164)*N(K164)+N(L164)*N(M164)+N(N164)*N(O164))-(N(J164)+N(L164)+N(N164))*F164)-N(Q164))</f>
        <v/>
      </c>
      <c r="V164" s="9">
        <f>IF(OR(B164="",P164=""),"",U164/S164)</f>
        <v/>
      </c>
      <c r="W164">
        <f>IF(OR(B164="",P164=""),"",NETWORKDAYS(C164,P164)-1)</f>
        <v/>
      </c>
      <c r="X164">
        <f>IF(B164="","",IF(P164="","Aberto","Fechado"))</f>
        <v/>
      </c>
    </row>
    <row r="165">
      <c r="C165" s="6" t="n"/>
      <c r="E165" s="7" t="n"/>
      <c r="F165" s="8" t="n"/>
      <c r="G165" s="8" t="n"/>
      <c r="H165" s="8" t="n"/>
      <c r="J165" s="7" t="n"/>
      <c r="K165" s="8" t="n"/>
      <c r="L165" s="7" t="n"/>
      <c r="M165" s="8" t="n"/>
      <c r="N165" s="7" t="n"/>
      <c r="O165" s="8" t="n"/>
      <c r="P165" s="6" t="n"/>
      <c r="Q165" s="8" t="n"/>
      <c r="S165" s="8">
        <f>IF(B165="","",E165*F165)</f>
        <v/>
      </c>
      <c r="T165" s="8">
        <f>IF(OR(B165="",N(G165)=0),"",ABS(F165-G165)*E165)</f>
        <v/>
      </c>
      <c r="U165" s="8">
        <f>IF(OR(B165="",P165=""),"",IF(D165="Venda",-1,1)*((N(J165)*N(K165)+N(L165)*N(M165)+N(N165)*N(O165))-(N(J165)+N(L165)+N(N165))*F165)-N(Q165))</f>
        <v/>
      </c>
      <c r="V165" s="9">
        <f>IF(OR(B165="",P165=""),"",U165/S165)</f>
        <v/>
      </c>
      <c r="W165">
        <f>IF(OR(B165="",P165=""),"",NETWORKDAYS(C165,P165)-1)</f>
        <v/>
      </c>
      <c r="X165">
        <f>IF(B165="","",IF(P165="","Aberto","Fechado"))</f>
        <v/>
      </c>
    </row>
    <row r="166">
      <c r="C166" s="6" t="n"/>
      <c r="E166" s="7" t="n"/>
      <c r="F166" s="8" t="n"/>
      <c r="G166" s="8" t="n"/>
      <c r="H166" s="8" t="n"/>
      <c r="J166" s="7" t="n"/>
      <c r="K166" s="8" t="n"/>
      <c r="L166" s="7" t="n"/>
      <c r="M166" s="8" t="n"/>
      <c r="N166" s="7" t="n"/>
      <c r="O166" s="8" t="n"/>
      <c r="P166" s="6" t="n"/>
      <c r="Q166" s="8" t="n"/>
      <c r="S166" s="8">
        <f>IF(B166="","",E166*F166)</f>
        <v/>
      </c>
      <c r="T166" s="8">
        <f>IF(OR(B166="",N(G166)=0),"",ABS(F166-G166)*E166)</f>
        <v/>
      </c>
      <c r="U166" s="8">
        <f>IF(OR(B166="",P166=""),"",IF(D166="Venda",-1,1)*((N(J166)*N(K166)+N(L166)*N(M166)+N(N166)*N(O166))-(N(J166)+N(L166)+N(N166))*F166)-N(Q166))</f>
        <v/>
      </c>
      <c r="V166" s="9">
        <f>IF(OR(B166="",P166=""),"",U166/S166)</f>
        <v/>
      </c>
      <c r="W166">
        <f>IF(OR(B166="",P166=""),"",NETWORKDAYS(C166,P166)-1)</f>
        <v/>
      </c>
      <c r="X166">
        <f>IF(B166="","",IF(P166="","Aberto","Fechado"))</f>
        <v/>
      </c>
    </row>
    <row r="167">
      <c r="C167" s="6" t="n"/>
      <c r="E167" s="7" t="n"/>
      <c r="F167" s="8" t="n"/>
      <c r="G167" s="8" t="n"/>
      <c r="H167" s="8" t="n"/>
      <c r="J167" s="7" t="n"/>
      <c r="K167" s="8" t="n"/>
      <c r="L167" s="7" t="n"/>
      <c r="M167" s="8" t="n"/>
      <c r="N167" s="7" t="n"/>
      <c r="O167" s="8" t="n"/>
      <c r="P167" s="6" t="n"/>
      <c r="Q167" s="8" t="n"/>
      <c r="S167" s="8">
        <f>IF(B167="","",E167*F167)</f>
        <v/>
      </c>
      <c r="T167" s="8">
        <f>IF(OR(B167="",N(G167)=0),"",ABS(F167-G167)*E167)</f>
        <v/>
      </c>
      <c r="U167" s="8">
        <f>IF(OR(B167="",P167=""),"",IF(D167="Venda",-1,1)*((N(J167)*N(K167)+N(L167)*N(M167)+N(N167)*N(O167))-(N(J167)+N(L167)+N(N167))*F167)-N(Q167))</f>
        <v/>
      </c>
      <c r="V167" s="9">
        <f>IF(OR(B167="",P167=""),"",U167/S167)</f>
        <v/>
      </c>
      <c r="W167">
        <f>IF(OR(B167="",P167=""),"",NETWORKDAYS(C167,P167)-1)</f>
        <v/>
      </c>
      <c r="X167">
        <f>IF(B167="","",IF(P167="","Aberto","Fechado"))</f>
        <v/>
      </c>
    </row>
    <row r="168">
      <c r="C168" s="6" t="n"/>
      <c r="E168" s="7" t="n"/>
      <c r="F168" s="8" t="n"/>
      <c r="G168" s="8" t="n"/>
      <c r="H168" s="8" t="n"/>
      <c r="J168" s="7" t="n"/>
      <c r="K168" s="8" t="n"/>
      <c r="L168" s="7" t="n"/>
      <c r="M168" s="8" t="n"/>
      <c r="N168" s="7" t="n"/>
      <c r="O168" s="8" t="n"/>
      <c r="P168" s="6" t="n"/>
      <c r="Q168" s="8" t="n"/>
      <c r="S168" s="8">
        <f>IF(B168="","",E168*F168)</f>
        <v/>
      </c>
      <c r="T168" s="8">
        <f>IF(OR(B168="",N(G168)=0),"",ABS(F168-G168)*E168)</f>
        <v/>
      </c>
      <c r="U168" s="8">
        <f>IF(OR(B168="",P168=""),"",IF(D168="Venda",-1,1)*((N(J168)*N(K168)+N(L168)*N(M168)+N(N168)*N(O168))-(N(J168)+N(L168)+N(N168))*F168)-N(Q168))</f>
        <v/>
      </c>
      <c r="V168" s="9">
        <f>IF(OR(B168="",P168=""),"",U168/S168)</f>
        <v/>
      </c>
      <c r="W168">
        <f>IF(OR(B168="",P168=""),"",NETWORKDAYS(C168,P168)-1)</f>
        <v/>
      </c>
      <c r="X168">
        <f>IF(B168="","",IF(P168="","Aberto","Fechado"))</f>
        <v/>
      </c>
    </row>
    <row r="169">
      <c r="C169" s="6" t="n"/>
      <c r="E169" s="7" t="n"/>
      <c r="F169" s="8" t="n"/>
      <c r="G169" s="8" t="n"/>
      <c r="H169" s="8" t="n"/>
      <c r="J169" s="7" t="n"/>
      <c r="K169" s="8" t="n"/>
      <c r="L169" s="7" t="n"/>
      <c r="M169" s="8" t="n"/>
      <c r="N169" s="7" t="n"/>
      <c r="O169" s="8" t="n"/>
      <c r="P169" s="6" t="n"/>
      <c r="Q169" s="8" t="n"/>
      <c r="S169" s="8">
        <f>IF(B169="","",E169*F169)</f>
        <v/>
      </c>
      <c r="T169" s="8">
        <f>IF(OR(B169="",N(G169)=0),"",ABS(F169-G169)*E169)</f>
        <v/>
      </c>
      <c r="U169" s="8">
        <f>IF(OR(B169="",P169=""),"",IF(D169="Venda",-1,1)*((N(J169)*N(K169)+N(L169)*N(M169)+N(N169)*N(O169))-(N(J169)+N(L169)+N(N169))*F169)-N(Q169))</f>
        <v/>
      </c>
      <c r="V169" s="9">
        <f>IF(OR(B169="",P169=""),"",U169/S169)</f>
        <v/>
      </c>
      <c r="W169">
        <f>IF(OR(B169="",P169=""),"",NETWORKDAYS(C169,P169)-1)</f>
        <v/>
      </c>
      <c r="X169">
        <f>IF(B169="","",IF(P169="","Aberto","Fechado"))</f>
        <v/>
      </c>
    </row>
    <row r="170">
      <c r="C170" s="6" t="n"/>
      <c r="E170" s="7" t="n"/>
      <c r="F170" s="8" t="n"/>
      <c r="G170" s="8" t="n"/>
      <c r="H170" s="8" t="n"/>
      <c r="J170" s="7" t="n"/>
      <c r="K170" s="8" t="n"/>
      <c r="L170" s="7" t="n"/>
      <c r="M170" s="8" t="n"/>
      <c r="N170" s="7" t="n"/>
      <c r="O170" s="8" t="n"/>
      <c r="P170" s="6" t="n"/>
      <c r="Q170" s="8" t="n"/>
      <c r="S170" s="8">
        <f>IF(B170="","",E170*F170)</f>
        <v/>
      </c>
      <c r="T170" s="8">
        <f>IF(OR(B170="",N(G170)=0),"",ABS(F170-G170)*E170)</f>
        <v/>
      </c>
      <c r="U170" s="8">
        <f>IF(OR(B170="",P170=""),"",IF(D170="Venda",-1,1)*((N(J170)*N(K170)+N(L170)*N(M170)+N(N170)*N(O170))-(N(J170)+N(L170)+N(N170))*F170)-N(Q170))</f>
        <v/>
      </c>
      <c r="V170" s="9">
        <f>IF(OR(B170="",P170=""),"",U170/S170)</f>
        <v/>
      </c>
      <c r="W170">
        <f>IF(OR(B170="",P170=""),"",NETWORKDAYS(C170,P170)-1)</f>
        <v/>
      </c>
      <c r="X170">
        <f>IF(B170="","",IF(P170="","Aberto","Fechado"))</f>
        <v/>
      </c>
    </row>
    <row r="171">
      <c r="C171" s="6" t="n"/>
      <c r="E171" s="7" t="n"/>
      <c r="F171" s="8" t="n"/>
      <c r="G171" s="8" t="n"/>
      <c r="H171" s="8" t="n"/>
      <c r="J171" s="7" t="n"/>
      <c r="K171" s="8" t="n"/>
      <c r="L171" s="7" t="n"/>
      <c r="M171" s="8" t="n"/>
      <c r="N171" s="7" t="n"/>
      <c r="O171" s="8" t="n"/>
      <c r="P171" s="6" t="n"/>
      <c r="Q171" s="8" t="n"/>
      <c r="S171" s="8">
        <f>IF(B171="","",E171*F171)</f>
        <v/>
      </c>
      <c r="T171" s="8">
        <f>IF(OR(B171="",N(G171)=0),"",ABS(F171-G171)*E171)</f>
        <v/>
      </c>
      <c r="U171" s="8">
        <f>IF(OR(B171="",P171=""),"",IF(D171="Venda",-1,1)*((N(J171)*N(K171)+N(L171)*N(M171)+N(N171)*N(O171))-(N(J171)+N(L171)+N(N171))*F171)-N(Q171))</f>
        <v/>
      </c>
      <c r="V171" s="9">
        <f>IF(OR(B171="",P171=""),"",U171/S171)</f>
        <v/>
      </c>
      <c r="W171">
        <f>IF(OR(B171="",P171=""),"",NETWORKDAYS(C171,P171)-1)</f>
        <v/>
      </c>
      <c r="X171">
        <f>IF(B171="","",IF(P171="","Aberto","Fechado"))</f>
        <v/>
      </c>
    </row>
    <row r="172">
      <c r="C172" s="6" t="n"/>
      <c r="E172" s="7" t="n"/>
      <c r="F172" s="8" t="n"/>
      <c r="G172" s="8" t="n"/>
      <c r="H172" s="8" t="n"/>
      <c r="J172" s="7" t="n"/>
      <c r="K172" s="8" t="n"/>
      <c r="L172" s="7" t="n"/>
      <c r="M172" s="8" t="n"/>
      <c r="N172" s="7" t="n"/>
      <c r="O172" s="8" t="n"/>
      <c r="P172" s="6" t="n"/>
      <c r="Q172" s="8" t="n"/>
      <c r="S172" s="8">
        <f>IF(B172="","",E172*F172)</f>
        <v/>
      </c>
      <c r="T172" s="8">
        <f>IF(OR(B172="",N(G172)=0),"",ABS(F172-G172)*E172)</f>
        <v/>
      </c>
      <c r="U172" s="8">
        <f>IF(OR(B172="",P172=""),"",IF(D172="Venda",-1,1)*((N(J172)*N(K172)+N(L172)*N(M172)+N(N172)*N(O172))-(N(J172)+N(L172)+N(N172))*F172)-N(Q172))</f>
        <v/>
      </c>
      <c r="V172" s="9">
        <f>IF(OR(B172="",P172=""),"",U172/S172)</f>
        <v/>
      </c>
      <c r="W172">
        <f>IF(OR(B172="",P172=""),"",NETWORKDAYS(C172,P172)-1)</f>
        <v/>
      </c>
      <c r="X172">
        <f>IF(B172="","",IF(P172="","Aberto","Fechado"))</f>
        <v/>
      </c>
    </row>
    <row r="173">
      <c r="C173" s="6" t="n"/>
      <c r="E173" s="7" t="n"/>
      <c r="F173" s="8" t="n"/>
      <c r="G173" s="8" t="n"/>
      <c r="H173" s="8" t="n"/>
      <c r="J173" s="7" t="n"/>
      <c r="K173" s="8" t="n"/>
      <c r="L173" s="7" t="n"/>
      <c r="M173" s="8" t="n"/>
      <c r="N173" s="7" t="n"/>
      <c r="O173" s="8" t="n"/>
      <c r="P173" s="6" t="n"/>
      <c r="Q173" s="8" t="n"/>
      <c r="S173" s="8">
        <f>IF(B173="","",E173*F173)</f>
        <v/>
      </c>
      <c r="T173" s="8">
        <f>IF(OR(B173="",N(G173)=0),"",ABS(F173-G173)*E173)</f>
        <v/>
      </c>
      <c r="U173" s="8">
        <f>IF(OR(B173="",P173=""),"",IF(D173="Venda",-1,1)*((N(J173)*N(K173)+N(L173)*N(M173)+N(N173)*N(O173))-(N(J173)+N(L173)+N(N173))*F173)-N(Q173))</f>
        <v/>
      </c>
      <c r="V173" s="9">
        <f>IF(OR(B173="",P173=""),"",U173/S173)</f>
        <v/>
      </c>
      <c r="W173">
        <f>IF(OR(B173="",P173=""),"",NETWORKDAYS(C173,P173)-1)</f>
        <v/>
      </c>
      <c r="X173">
        <f>IF(B173="","",IF(P173="","Aberto","Fechado"))</f>
        <v/>
      </c>
    </row>
    <row r="174">
      <c r="C174" s="6" t="n"/>
      <c r="E174" s="7" t="n"/>
      <c r="F174" s="8" t="n"/>
      <c r="G174" s="8" t="n"/>
      <c r="H174" s="8" t="n"/>
      <c r="J174" s="7" t="n"/>
      <c r="K174" s="8" t="n"/>
      <c r="L174" s="7" t="n"/>
      <c r="M174" s="8" t="n"/>
      <c r="N174" s="7" t="n"/>
      <c r="O174" s="8" t="n"/>
      <c r="P174" s="6" t="n"/>
      <c r="Q174" s="8" t="n"/>
      <c r="S174" s="8">
        <f>IF(B174="","",E174*F174)</f>
        <v/>
      </c>
      <c r="T174" s="8">
        <f>IF(OR(B174="",N(G174)=0),"",ABS(F174-G174)*E174)</f>
        <v/>
      </c>
      <c r="U174" s="8">
        <f>IF(OR(B174="",P174=""),"",IF(D174="Venda",-1,1)*((N(J174)*N(K174)+N(L174)*N(M174)+N(N174)*N(O174))-(N(J174)+N(L174)+N(N174))*F174)-N(Q174))</f>
        <v/>
      </c>
      <c r="V174" s="9">
        <f>IF(OR(B174="",P174=""),"",U174/S174)</f>
        <v/>
      </c>
      <c r="W174">
        <f>IF(OR(B174="",P174=""),"",NETWORKDAYS(C174,P174)-1)</f>
        <v/>
      </c>
      <c r="X174">
        <f>IF(B174="","",IF(P174="","Aberto","Fechado"))</f>
        <v/>
      </c>
    </row>
    <row r="175">
      <c r="C175" s="6" t="n"/>
      <c r="E175" s="7" t="n"/>
      <c r="F175" s="8" t="n"/>
      <c r="G175" s="8" t="n"/>
      <c r="H175" s="8" t="n"/>
      <c r="J175" s="7" t="n"/>
      <c r="K175" s="8" t="n"/>
      <c r="L175" s="7" t="n"/>
      <c r="M175" s="8" t="n"/>
      <c r="N175" s="7" t="n"/>
      <c r="O175" s="8" t="n"/>
      <c r="P175" s="6" t="n"/>
      <c r="Q175" s="8" t="n"/>
      <c r="S175" s="8">
        <f>IF(B175="","",E175*F175)</f>
        <v/>
      </c>
      <c r="T175" s="8">
        <f>IF(OR(B175="",N(G175)=0),"",ABS(F175-G175)*E175)</f>
        <v/>
      </c>
      <c r="U175" s="8">
        <f>IF(OR(B175="",P175=""),"",IF(D175="Venda",-1,1)*((N(J175)*N(K175)+N(L175)*N(M175)+N(N175)*N(O175))-(N(J175)+N(L175)+N(N175))*F175)-N(Q175))</f>
        <v/>
      </c>
      <c r="V175" s="9">
        <f>IF(OR(B175="",P175=""),"",U175/S175)</f>
        <v/>
      </c>
      <c r="W175">
        <f>IF(OR(B175="",P175=""),"",NETWORKDAYS(C175,P175)-1)</f>
        <v/>
      </c>
      <c r="X175">
        <f>IF(B175="","",IF(P175="","Aberto","Fechado"))</f>
        <v/>
      </c>
    </row>
    <row r="176">
      <c r="C176" s="6" t="n"/>
      <c r="E176" s="7" t="n"/>
      <c r="F176" s="8" t="n"/>
      <c r="G176" s="8" t="n"/>
      <c r="H176" s="8" t="n"/>
      <c r="J176" s="7" t="n"/>
      <c r="K176" s="8" t="n"/>
      <c r="L176" s="7" t="n"/>
      <c r="M176" s="8" t="n"/>
      <c r="N176" s="7" t="n"/>
      <c r="O176" s="8" t="n"/>
      <c r="P176" s="6" t="n"/>
      <c r="Q176" s="8" t="n"/>
      <c r="S176" s="8">
        <f>IF(B176="","",E176*F176)</f>
        <v/>
      </c>
      <c r="T176" s="8">
        <f>IF(OR(B176="",N(G176)=0),"",ABS(F176-G176)*E176)</f>
        <v/>
      </c>
      <c r="U176" s="8">
        <f>IF(OR(B176="",P176=""),"",IF(D176="Venda",-1,1)*((N(J176)*N(K176)+N(L176)*N(M176)+N(N176)*N(O176))-(N(J176)+N(L176)+N(N176))*F176)-N(Q176))</f>
        <v/>
      </c>
      <c r="V176" s="9">
        <f>IF(OR(B176="",P176=""),"",U176/S176)</f>
        <v/>
      </c>
      <c r="W176">
        <f>IF(OR(B176="",P176=""),"",NETWORKDAYS(C176,P176)-1)</f>
        <v/>
      </c>
      <c r="X176">
        <f>IF(B176="","",IF(P176="","Aberto","Fechado"))</f>
        <v/>
      </c>
    </row>
    <row r="177">
      <c r="C177" s="6" t="n"/>
      <c r="E177" s="7" t="n"/>
      <c r="F177" s="8" t="n"/>
      <c r="G177" s="8" t="n"/>
      <c r="H177" s="8" t="n"/>
      <c r="J177" s="7" t="n"/>
      <c r="K177" s="8" t="n"/>
      <c r="L177" s="7" t="n"/>
      <c r="M177" s="8" t="n"/>
      <c r="N177" s="7" t="n"/>
      <c r="O177" s="8" t="n"/>
      <c r="P177" s="6" t="n"/>
      <c r="Q177" s="8" t="n"/>
      <c r="S177" s="8">
        <f>IF(B177="","",E177*F177)</f>
        <v/>
      </c>
      <c r="T177" s="8">
        <f>IF(OR(B177="",N(G177)=0),"",ABS(F177-G177)*E177)</f>
        <v/>
      </c>
      <c r="U177" s="8">
        <f>IF(OR(B177="",P177=""),"",IF(D177="Venda",-1,1)*((N(J177)*N(K177)+N(L177)*N(M177)+N(N177)*N(O177))-(N(J177)+N(L177)+N(N177))*F177)-N(Q177))</f>
        <v/>
      </c>
      <c r="V177" s="9">
        <f>IF(OR(B177="",P177=""),"",U177/S177)</f>
        <v/>
      </c>
      <c r="W177">
        <f>IF(OR(B177="",P177=""),"",NETWORKDAYS(C177,P177)-1)</f>
        <v/>
      </c>
      <c r="X177">
        <f>IF(B177="","",IF(P177="","Aberto","Fechado"))</f>
        <v/>
      </c>
    </row>
    <row r="178">
      <c r="C178" s="6" t="n"/>
      <c r="E178" s="7" t="n"/>
      <c r="F178" s="8" t="n"/>
      <c r="G178" s="8" t="n"/>
      <c r="H178" s="8" t="n"/>
      <c r="J178" s="7" t="n"/>
      <c r="K178" s="8" t="n"/>
      <c r="L178" s="7" t="n"/>
      <c r="M178" s="8" t="n"/>
      <c r="N178" s="7" t="n"/>
      <c r="O178" s="8" t="n"/>
      <c r="P178" s="6" t="n"/>
      <c r="Q178" s="8" t="n"/>
      <c r="S178" s="8">
        <f>IF(B178="","",E178*F178)</f>
        <v/>
      </c>
      <c r="T178" s="8">
        <f>IF(OR(B178="",N(G178)=0),"",ABS(F178-G178)*E178)</f>
        <v/>
      </c>
      <c r="U178" s="8">
        <f>IF(OR(B178="",P178=""),"",IF(D178="Venda",-1,1)*((N(J178)*N(K178)+N(L178)*N(M178)+N(N178)*N(O178))-(N(J178)+N(L178)+N(N178))*F178)-N(Q178))</f>
        <v/>
      </c>
      <c r="V178" s="9">
        <f>IF(OR(B178="",P178=""),"",U178/S178)</f>
        <v/>
      </c>
      <c r="W178">
        <f>IF(OR(B178="",P178=""),"",NETWORKDAYS(C178,P178)-1)</f>
        <v/>
      </c>
      <c r="X178">
        <f>IF(B178="","",IF(P178="","Aberto","Fechado"))</f>
        <v/>
      </c>
    </row>
    <row r="179">
      <c r="C179" s="6" t="n"/>
      <c r="E179" s="7" t="n"/>
      <c r="F179" s="8" t="n"/>
      <c r="G179" s="8" t="n"/>
      <c r="H179" s="8" t="n"/>
      <c r="J179" s="7" t="n"/>
      <c r="K179" s="8" t="n"/>
      <c r="L179" s="7" t="n"/>
      <c r="M179" s="8" t="n"/>
      <c r="N179" s="7" t="n"/>
      <c r="O179" s="8" t="n"/>
      <c r="P179" s="6" t="n"/>
      <c r="Q179" s="8" t="n"/>
      <c r="S179" s="8">
        <f>IF(B179="","",E179*F179)</f>
        <v/>
      </c>
      <c r="T179" s="8">
        <f>IF(OR(B179="",N(G179)=0),"",ABS(F179-G179)*E179)</f>
        <v/>
      </c>
      <c r="U179" s="8">
        <f>IF(OR(B179="",P179=""),"",IF(D179="Venda",-1,1)*((N(J179)*N(K179)+N(L179)*N(M179)+N(N179)*N(O179))-(N(J179)+N(L179)+N(N179))*F179)-N(Q179))</f>
        <v/>
      </c>
      <c r="V179" s="9">
        <f>IF(OR(B179="",P179=""),"",U179/S179)</f>
        <v/>
      </c>
      <c r="W179">
        <f>IF(OR(B179="",P179=""),"",NETWORKDAYS(C179,P179)-1)</f>
        <v/>
      </c>
      <c r="X179">
        <f>IF(B179="","",IF(P179="","Aberto","Fechado"))</f>
        <v/>
      </c>
    </row>
    <row r="180">
      <c r="C180" s="6" t="n"/>
      <c r="E180" s="7" t="n"/>
      <c r="F180" s="8" t="n"/>
      <c r="G180" s="8" t="n"/>
      <c r="H180" s="8" t="n"/>
      <c r="J180" s="7" t="n"/>
      <c r="K180" s="8" t="n"/>
      <c r="L180" s="7" t="n"/>
      <c r="M180" s="8" t="n"/>
      <c r="N180" s="7" t="n"/>
      <c r="O180" s="8" t="n"/>
      <c r="P180" s="6" t="n"/>
      <c r="Q180" s="8" t="n"/>
      <c r="S180" s="8">
        <f>IF(B180="","",E180*F180)</f>
        <v/>
      </c>
      <c r="T180" s="8">
        <f>IF(OR(B180="",N(G180)=0),"",ABS(F180-G180)*E180)</f>
        <v/>
      </c>
      <c r="U180" s="8">
        <f>IF(OR(B180="",P180=""),"",IF(D180="Venda",-1,1)*((N(J180)*N(K180)+N(L180)*N(M180)+N(N180)*N(O180))-(N(J180)+N(L180)+N(N180))*F180)-N(Q180))</f>
        <v/>
      </c>
      <c r="V180" s="9">
        <f>IF(OR(B180="",P180=""),"",U180/S180)</f>
        <v/>
      </c>
      <c r="W180">
        <f>IF(OR(B180="",P180=""),"",NETWORKDAYS(C180,P180)-1)</f>
        <v/>
      </c>
      <c r="X180">
        <f>IF(B180="","",IF(P180="","Aberto","Fechado"))</f>
        <v/>
      </c>
    </row>
    <row r="181">
      <c r="C181" s="6" t="n"/>
      <c r="E181" s="7" t="n"/>
      <c r="F181" s="8" t="n"/>
      <c r="G181" s="8" t="n"/>
      <c r="H181" s="8" t="n"/>
      <c r="J181" s="7" t="n"/>
      <c r="K181" s="8" t="n"/>
      <c r="L181" s="7" t="n"/>
      <c r="M181" s="8" t="n"/>
      <c r="N181" s="7" t="n"/>
      <c r="O181" s="8" t="n"/>
      <c r="P181" s="6" t="n"/>
      <c r="Q181" s="8" t="n"/>
      <c r="S181" s="8">
        <f>IF(B181="","",E181*F181)</f>
        <v/>
      </c>
      <c r="T181" s="8">
        <f>IF(OR(B181="",N(G181)=0),"",ABS(F181-G181)*E181)</f>
        <v/>
      </c>
      <c r="U181" s="8">
        <f>IF(OR(B181="",P181=""),"",IF(D181="Venda",-1,1)*((N(J181)*N(K181)+N(L181)*N(M181)+N(N181)*N(O181))-(N(J181)+N(L181)+N(N181))*F181)-N(Q181))</f>
        <v/>
      </c>
      <c r="V181" s="9">
        <f>IF(OR(B181="",P181=""),"",U181/S181)</f>
        <v/>
      </c>
      <c r="W181">
        <f>IF(OR(B181="",P181=""),"",NETWORKDAYS(C181,P181)-1)</f>
        <v/>
      </c>
      <c r="X181">
        <f>IF(B181="","",IF(P181="","Aberto","Fechado"))</f>
        <v/>
      </c>
    </row>
    <row r="182">
      <c r="C182" s="6" t="n"/>
      <c r="E182" s="7" t="n"/>
      <c r="F182" s="8" t="n"/>
      <c r="G182" s="8" t="n"/>
      <c r="H182" s="8" t="n"/>
      <c r="J182" s="7" t="n"/>
      <c r="K182" s="8" t="n"/>
      <c r="L182" s="7" t="n"/>
      <c r="M182" s="8" t="n"/>
      <c r="N182" s="7" t="n"/>
      <c r="O182" s="8" t="n"/>
      <c r="P182" s="6" t="n"/>
      <c r="Q182" s="8" t="n"/>
      <c r="S182" s="8">
        <f>IF(B182="","",E182*F182)</f>
        <v/>
      </c>
      <c r="T182" s="8">
        <f>IF(OR(B182="",N(G182)=0),"",ABS(F182-G182)*E182)</f>
        <v/>
      </c>
      <c r="U182" s="8">
        <f>IF(OR(B182="",P182=""),"",IF(D182="Venda",-1,1)*((N(J182)*N(K182)+N(L182)*N(M182)+N(N182)*N(O182))-(N(J182)+N(L182)+N(N182))*F182)-N(Q182))</f>
        <v/>
      </c>
      <c r="V182" s="9">
        <f>IF(OR(B182="",P182=""),"",U182/S182)</f>
        <v/>
      </c>
      <c r="W182">
        <f>IF(OR(B182="",P182=""),"",NETWORKDAYS(C182,P182)-1)</f>
        <v/>
      </c>
      <c r="X182">
        <f>IF(B182="","",IF(P182="","Aberto","Fechado"))</f>
        <v/>
      </c>
    </row>
    <row r="183">
      <c r="C183" s="6" t="n"/>
      <c r="E183" s="7" t="n"/>
      <c r="F183" s="8" t="n"/>
      <c r="G183" s="8" t="n"/>
      <c r="H183" s="8" t="n"/>
      <c r="J183" s="7" t="n"/>
      <c r="K183" s="8" t="n"/>
      <c r="L183" s="7" t="n"/>
      <c r="M183" s="8" t="n"/>
      <c r="N183" s="7" t="n"/>
      <c r="O183" s="8" t="n"/>
      <c r="P183" s="6" t="n"/>
      <c r="Q183" s="8" t="n"/>
      <c r="S183" s="8">
        <f>IF(B183="","",E183*F183)</f>
        <v/>
      </c>
      <c r="T183" s="8">
        <f>IF(OR(B183="",N(G183)=0),"",ABS(F183-G183)*E183)</f>
        <v/>
      </c>
      <c r="U183" s="8">
        <f>IF(OR(B183="",P183=""),"",IF(D183="Venda",-1,1)*((N(J183)*N(K183)+N(L183)*N(M183)+N(N183)*N(O183))-(N(J183)+N(L183)+N(N183))*F183)-N(Q183))</f>
        <v/>
      </c>
      <c r="V183" s="9">
        <f>IF(OR(B183="",P183=""),"",U183/S183)</f>
        <v/>
      </c>
      <c r="W183">
        <f>IF(OR(B183="",P183=""),"",NETWORKDAYS(C183,P183)-1)</f>
        <v/>
      </c>
      <c r="X183">
        <f>IF(B183="","",IF(P183="","Aberto","Fechado"))</f>
        <v/>
      </c>
    </row>
    <row r="184">
      <c r="C184" s="6" t="n"/>
      <c r="E184" s="7" t="n"/>
      <c r="F184" s="8" t="n"/>
      <c r="G184" s="8" t="n"/>
      <c r="H184" s="8" t="n"/>
      <c r="J184" s="7" t="n"/>
      <c r="K184" s="8" t="n"/>
      <c r="L184" s="7" t="n"/>
      <c r="M184" s="8" t="n"/>
      <c r="N184" s="7" t="n"/>
      <c r="O184" s="8" t="n"/>
      <c r="P184" s="6" t="n"/>
      <c r="Q184" s="8" t="n"/>
      <c r="S184" s="8">
        <f>IF(B184="","",E184*F184)</f>
        <v/>
      </c>
      <c r="T184" s="8">
        <f>IF(OR(B184="",N(G184)=0),"",ABS(F184-G184)*E184)</f>
        <v/>
      </c>
      <c r="U184" s="8">
        <f>IF(OR(B184="",P184=""),"",IF(D184="Venda",-1,1)*((N(J184)*N(K184)+N(L184)*N(M184)+N(N184)*N(O184))-(N(J184)+N(L184)+N(N184))*F184)-N(Q184))</f>
        <v/>
      </c>
      <c r="V184" s="9">
        <f>IF(OR(B184="",P184=""),"",U184/S184)</f>
        <v/>
      </c>
      <c r="W184">
        <f>IF(OR(B184="",P184=""),"",NETWORKDAYS(C184,P184)-1)</f>
        <v/>
      </c>
      <c r="X184">
        <f>IF(B184="","",IF(P184="","Aberto","Fechado"))</f>
        <v/>
      </c>
    </row>
    <row r="185">
      <c r="C185" s="6" t="n"/>
      <c r="E185" s="7" t="n"/>
      <c r="F185" s="8" t="n"/>
      <c r="G185" s="8" t="n"/>
      <c r="H185" s="8" t="n"/>
      <c r="J185" s="7" t="n"/>
      <c r="K185" s="8" t="n"/>
      <c r="L185" s="7" t="n"/>
      <c r="M185" s="8" t="n"/>
      <c r="N185" s="7" t="n"/>
      <c r="O185" s="8" t="n"/>
      <c r="P185" s="6" t="n"/>
      <c r="Q185" s="8" t="n"/>
      <c r="S185" s="8">
        <f>IF(B185="","",E185*F185)</f>
        <v/>
      </c>
      <c r="T185" s="8">
        <f>IF(OR(B185="",N(G185)=0),"",ABS(F185-G185)*E185)</f>
        <v/>
      </c>
      <c r="U185" s="8">
        <f>IF(OR(B185="",P185=""),"",IF(D185="Venda",-1,1)*((N(J185)*N(K185)+N(L185)*N(M185)+N(N185)*N(O185))-(N(J185)+N(L185)+N(N185))*F185)-N(Q185))</f>
        <v/>
      </c>
      <c r="V185" s="9">
        <f>IF(OR(B185="",P185=""),"",U185/S185)</f>
        <v/>
      </c>
      <c r="W185">
        <f>IF(OR(B185="",P185=""),"",NETWORKDAYS(C185,P185)-1)</f>
        <v/>
      </c>
      <c r="X185">
        <f>IF(B185="","",IF(P185="","Aberto","Fechado"))</f>
        <v/>
      </c>
    </row>
    <row r="186">
      <c r="C186" s="6" t="n"/>
      <c r="E186" s="7" t="n"/>
      <c r="F186" s="8" t="n"/>
      <c r="G186" s="8" t="n"/>
      <c r="H186" s="8" t="n"/>
      <c r="J186" s="7" t="n"/>
      <c r="K186" s="8" t="n"/>
      <c r="L186" s="7" t="n"/>
      <c r="M186" s="8" t="n"/>
      <c r="N186" s="7" t="n"/>
      <c r="O186" s="8" t="n"/>
      <c r="P186" s="6" t="n"/>
      <c r="Q186" s="8" t="n"/>
      <c r="S186" s="8">
        <f>IF(B186="","",E186*F186)</f>
        <v/>
      </c>
      <c r="T186" s="8">
        <f>IF(OR(B186="",N(G186)=0),"",ABS(F186-G186)*E186)</f>
        <v/>
      </c>
      <c r="U186" s="8">
        <f>IF(OR(B186="",P186=""),"",IF(D186="Venda",-1,1)*((N(J186)*N(K186)+N(L186)*N(M186)+N(N186)*N(O186))-(N(J186)+N(L186)+N(N186))*F186)-N(Q186))</f>
        <v/>
      </c>
      <c r="V186" s="9">
        <f>IF(OR(B186="",P186=""),"",U186/S186)</f>
        <v/>
      </c>
      <c r="W186">
        <f>IF(OR(B186="",P186=""),"",NETWORKDAYS(C186,P186)-1)</f>
        <v/>
      </c>
      <c r="X186">
        <f>IF(B186="","",IF(P186="","Aberto","Fechado"))</f>
        <v/>
      </c>
    </row>
    <row r="187">
      <c r="C187" s="6" t="n"/>
      <c r="E187" s="7" t="n"/>
      <c r="F187" s="8" t="n"/>
      <c r="G187" s="8" t="n"/>
      <c r="H187" s="8" t="n"/>
      <c r="J187" s="7" t="n"/>
      <c r="K187" s="8" t="n"/>
      <c r="L187" s="7" t="n"/>
      <c r="M187" s="8" t="n"/>
      <c r="N187" s="7" t="n"/>
      <c r="O187" s="8" t="n"/>
      <c r="P187" s="6" t="n"/>
      <c r="Q187" s="8" t="n"/>
      <c r="S187" s="8">
        <f>IF(B187="","",E187*F187)</f>
        <v/>
      </c>
      <c r="T187" s="8">
        <f>IF(OR(B187="",N(G187)=0),"",ABS(F187-G187)*E187)</f>
        <v/>
      </c>
      <c r="U187" s="8">
        <f>IF(OR(B187="",P187=""),"",IF(D187="Venda",-1,1)*((N(J187)*N(K187)+N(L187)*N(M187)+N(N187)*N(O187))-(N(J187)+N(L187)+N(N187))*F187)-N(Q187))</f>
        <v/>
      </c>
      <c r="V187" s="9">
        <f>IF(OR(B187="",P187=""),"",U187/S187)</f>
        <v/>
      </c>
      <c r="W187">
        <f>IF(OR(B187="",P187=""),"",NETWORKDAYS(C187,P187)-1)</f>
        <v/>
      </c>
      <c r="X187">
        <f>IF(B187="","",IF(P187="","Aberto","Fechado"))</f>
        <v/>
      </c>
    </row>
    <row r="188">
      <c r="C188" s="6" t="n"/>
      <c r="E188" s="7" t="n"/>
      <c r="F188" s="8" t="n"/>
      <c r="G188" s="8" t="n"/>
      <c r="H188" s="8" t="n"/>
      <c r="J188" s="7" t="n"/>
      <c r="K188" s="8" t="n"/>
      <c r="L188" s="7" t="n"/>
      <c r="M188" s="8" t="n"/>
      <c r="N188" s="7" t="n"/>
      <c r="O188" s="8" t="n"/>
      <c r="P188" s="6" t="n"/>
      <c r="Q188" s="8" t="n"/>
      <c r="S188" s="8">
        <f>IF(B188="","",E188*F188)</f>
        <v/>
      </c>
      <c r="T188" s="8">
        <f>IF(OR(B188="",N(G188)=0),"",ABS(F188-G188)*E188)</f>
        <v/>
      </c>
      <c r="U188" s="8">
        <f>IF(OR(B188="",P188=""),"",IF(D188="Venda",-1,1)*((N(J188)*N(K188)+N(L188)*N(M188)+N(N188)*N(O188))-(N(J188)+N(L188)+N(N188))*F188)-N(Q188))</f>
        <v/>
      </c>
      <c r="V188" s="9">
        <f>IF(OR(B188="",P188=""),"",U188/S188)</f>
        <v/>
      </c>
      <c r="W188">
        <f>IF(OR(B188="",P188=""),"",NETWORKDAYS(C188,P188)-1)</f>
        <v/>
      </c>
      <c r="X188">
        <f>IF(B188="","",IF(P188="","Aberto","Fechado"))</f>
        <v/>
      </c>
    </row>
    <row r="189">
      <c r="C189" s="6" t="n"/>
      <c r="E189" s="7" t="n"/>
      <c r="F189" s="8" t="n"/>
      <c r="G189" s="8" t="n"/>
      <c r="H189" s="8" t="n"/>
      <c r="J189" s="7" t="n"/>
      <c r="K189" s="8" t="n"/>
      <c r="L189" s="7" t="n"/>
      <c r="M189" s="8" t="n"/>
      <c r="N189" s="7" t="n"/>
      <c r="O189" s="8" t="n"/>
      <c r="P189" s="6" t="n"/>
      <c r="Q189" s="8" t="n"/>
      <c r="S189" s="8">
        <f>IF(B189="","",E189*F189)</f>
        <v/>
      </c>
      <c r="T189" s="8">
        <f>IF(OR(B189="",N(G189)=0),"",ABS(F189-G189)*E189)</f>
        <v/>
      </c>
      <c r="U189" s="8">
        <f>IF(OR(B189="",P189=""),"",IF(D189="Venda",-1,1)*((N(J189)*N(K189)+N(L189)*N(M189)+N(N189)*N(O189))-(N(J189)+N(L189)+N(N189))*F189)-N(Q189))</f>
        <v/>
      </c>
      <c r="V189" s="9">
        <f>IF(OR(B189="",P189=""),"",U189/S189)</f>
        <v/>
      </c>
      <c r="W189">
        <f>IF(OR(B189="",P189=""),"",NETWORKDAYS(C189,P189)-1)</f>
        <v/>
      </c>
      <c r="X189">
        <f>IF(B189="","",IF(P189="","Aberto","Fechado"))</f>
        <v/>
      </c>
    </row>
    <row r="190">
      <c r="C190" s="6" t="n"/>
      <c r="E190" s="7" t="n"/>
      <c r="F190" s="8" t="n"/>
      <c r="G190" s="8" t="n"/>
      <c r="H190" s="8" t="n"/>
      <c r="J190" s="7" t="n"/>
      <c r="K190" s="8" t="n"/>
      <c r="L190" s="7" t="n"/>
      <c r="M190" s="8" t="n"/>
      <c r="N190" s="7" t="n"/>
      <c r="O190" s="8" t="n"/>
      <c r="P190" s="6" t="n"/>
      <c r="Q190" s="8" t="n"/>
      <c r="S190" s="8">
        <f>IF(B190="","",E190*F190)</f>
        <v/>
      </c>
      <c r="T190" s="8">
        <f>IF(OR(B190="",N(G190)=0),"",ABS(F190-G190)*E190)</f>
        <v/>
      </c>
      <c r="U190" s="8">
        <f>IF(OR(B190="",P190=""),"",IF(D190="Venda",-1,1)*((N(J190)*N(K190)+N(L190)*N(M190)+N(N190)*N(O190))-(N(J190)+N(L190)+N(N190))*F190)-N(Q190))</f>
        <v/>
      </c>
      <c r="V190" s="9">
        <f>IF(OR(B190="",P190=""),"",U190/S190)</f>
        <v/>
      </c>
      <c r="W190">
        <f>IF(OR(B190="",P190=""),"",NETWORKDAYS(C190,P190)-1)</f>
        <v/>
      </c>
      <c r="X190">
        <f>IF(B190="","",IF(P190="","Aberto","Fechado"))</f>
        <v/>
      </c>
    </row>
    <row r="191">
      <c r="C191" s="6" t="n"/>
      <c r="E191" s="7" t="n"/>
      <c r="F191" s="8" t="n"/>
      <c r="G191" s="8" t="n"/>
      <c r="H191" s="8" t="n"/>
      <c r="J191" s="7" t="n"/>
      <c r="K191" s="8" t="n"/>
      <c r="L191" s="7" t="n"/>
      <c r="M191" s="8" t="n"/>
      <c r="N191" s="7" t="n"/>
      <c r="O191" s="8" t="n"/>
      <c r="P191" s="6" t="n"/>
      <c r="Q191" s="8" t="n"/>
      <c r="S191" s="8">
        <f>IF(B191="","",E191*F191)</f>
        <v/>
      </c>
      <c r="T191" s="8">
        <f>IF(OR(B191="",N(G191)=0),"",ABS(F191-G191)*E191)</f>
        <v/>
      </c>
      <c r="U191" s="8">
        <f>IF(OR(B191="",P191=""),"",IF(D191="Venda",-1,1)*((N(J191)*N(K191)+N(L191)*N(M191)+N(N191)*N(O191))-(N(J191)+N(L191)+N(N191))*F191)-N(Q191))</f>
        <v/>
      </c>
      <c r="V191" s="9">
        <f>IF(OR(B191="",P191=""),"",U191/S191)</f>
        <v/>
      </c>
      <c r="W191">
        <f>IF(OR(B191="",P191=""),"",NETWORKDAYS(C191,P191)-1)</f>
        <v/>
      </c>
      <c r="X191">
        <f>IF(B191="","",IF(P191="","Aberto","Fechado"))</f>
        <v/>
      </c>
    </row>
    <row r="192">
      <c r="C192" s="6" t="n"/>
      <c r="E192" s="7" t="n"/>
      <c r="F192" s="8" t="n"/>
      <c r="G192" s="8" t="n"/>
      <c r="H192" s="8" t="n"/>
      <c r="J192" s="7" t="n"/>
      <c r="K192" s="8" t="n"/>
      <c r="L192" s="7" t="n"/>
      <c r="M192" s="8" t="n"/>
      <c r="N192" s="7" t="n"/>
      <c r="O192" s="8" t="n"/>
      <c r="P192" s="6" t="n"/>
      <c r="Q192" s="8" t="n"/>
      <c r="S192" s="8">
        <f>IF(B192="","",E192*F192)</f>
        <v/>
      </c>
      <c r="T192" s="8">
        <f>IF(OR(B192="",N(G192)=0),"",ABS(F192-G192)*E192)</f>
        <v/>
      </c>
      <c r="U192" s="8">
        <f>IF(OR(B192="",P192=""),"",IF(D192="Venda",-1,1)*((N(J192)*N(K192)+N(L192)*N(M192)+N(N192)*N(O192))-(N(J192)+N(L192)+N(N192))*F192)-N(Q192))</f>
        <v/>
      </c>
      <c r="V192" s="9">
        <f>IF(OR(B192="",P192=""),"",U192/S192)</f>
        <v/>
      </c>
      <c r="W192">
        <f>IF(OR(B192="",P192=""),"",NETWORKDAYS(C192,P192)-1)</f>
        <v/>
      </c>
      <c r="X192">
        <f>IF(B192="","",IF(P192="","Aberto","Fechado"))</f>
        <v/>
      </c>
    </row>
    <row r="193">
      <c r="C193" s="6" t="n"/>
      <c r="E193" s="7" t="n"/>
      <c r="F193" s="8" t="n"/>
      <c r="G193" s="8" t="n"/>
      <c r="H193" s="8" t="n"/>
      <c r="J193" s="7" t="n"/>
      <c r="K193" s="8" t="n"/>
      <c r="L193" s="7" t="n"/>
      <c r="M193" s="8" t="n"/>
      <c r="N193" s="7" t="n"/>
      <c r="O193" s="8" t="n"/>
      <c r="P193" s="6" t="n"/>
      <c r="Q193" s="8" t="n"/>
      <c r="S193" s="8">
        <f>IF(B193="","",E193*F193)</f>
        <v/>
      </c>
      <c r="T193" s="8">
        <f>IF(OR(B193="",N(G193)=0),"",ABS(F193-G193)*E193)</f>
        <v/>
      </c>
      <c r="U193" s="8">
        <f>IF(OR(B193="",P193=""),"",IF(D193="Venda",-1,1)*((N(J193)*N(K193)+N(L193)*N(M193)+N(N193)*N(O193))-(N(J193)+N(L193)+N(N193))*F193)-N(Q193))</f>
        <v/>
      </c>
      <c r="V193" s="9">
        <f>IF(OR(B193="",P193=""),"",U193/S193)</f>
        <v/>
      </c>
      <c r="W193">
        <f>IF(OR(B193="",P193=""),"",NETWORKDAYS(C193,P193)-1)</f>
        <v/>
      </c>
      <c r="X193">
        <f>IF(B193="","",IF(P193="","Aberto","Fechado"))</f>
        <v/>
      </c>
    </row>
    <row r="194">
      <c r="C194" s="6" t="n"/>
      <c r="E194" s="7" t="n"/>
      <c r="F194" s="8" t="n"/>
      <c r="G194" s="8" t="n"/>
      <c r="H194" s="8" t="n"/>
      <c r="J194" s="7" t="n"/>
      <c r="K194" s="8" t="n"/>
      <c r="L194" s="7" t="n"/>
      <c r="M194" s="8" t="n"/>
      <c r="N194" s="7" t="n"/>
      <c r="O194" s="8" t="n"/>
      <c r="P194" s="6" t="n"/>
      <c r="Q194" s="8" t="n"/>
      <c r="S194" s="8">
        <f>IF(B194="","",E194*F194)</f>
        <v/>
      </c>
      <c r="T194" s="8">
        <f>IF(OR(B194="",N(G194)=0),"",ABS(F194-G194)*E194)</f>
        <v/>
      </c>
      <c r="U194" s="8">
        <f>IF(OR(B194="",P194=""),"",IF(D194="Venda",-1,1)*((N(J194)*N(K194)+N(L194)*N(M194)+N(N194)*N(O194))-(N(J194)+N(L194)+N(N194))*F194)-N(Q194))</f>
        <v/>
      </c>
      <c r="V194" s="9">
        <f>IF(OR(B194="",P194=""),"",U194/S194)</f>
        <v/>
      </c>
      <c r="W194">
        <f>IF(OR(B194="",P194=""),"",NETWORKDAYS(C194,P194)-1)</f>
        <v/>
      </c>
      <c r="X194">
        <f>IF(B194="","",IF(P194="","Aberto","Fechado"))</f>
        <v/>
      </c>
    </row>
    <row r="195">
      <c r="C195" s="6" t="n"/>
      <c r="E195" s="7" t="n"/>
      <c r="F195" s="8" t="n"/>
      <c r="G195" s="8" t="n"/>
      <c r="H195" s="8" t="n"/>
      <c r="J195" s="7" t="n"/>
      <c r="K195" s="8" t="n"/>
      <c r="L195" s="7" t="n"/>
      <c r="M195" s="8" t="n"/>
      <c r="N195" s="7" t="n"/>
      <c r="O195" s="8" t="n"/>
      <c r="P195" s="6" t="n"/>
      <c r="Q195" s="8" t="n"/>
      <c r="S195" s="8">
        <f>IF(B195="","",E195*F195)</f>
        <v/>
      </c>
      <c r="T195" s="8">
        <f>IF(OR(B195="",N(G195)=0),"",ABS(F195-G195)*E195)</f>
        <v/>
      </c>
      <c r="U195" s="8">
        <f>IF(OR(B195="",P195=""),"",IF(D195="Venda",-1,1)*((N(J195)*N(K195)+N(L195)*N(M195)+N(N195)*N(O195))-(N(J195)+N(L195)+N(N195))*F195)-N(Q195))</f>
        <v/>
      </c>
      <c r="V195" s="9">
        <f>IF(OR(B195="",P195=""),"",U195/S195)</f>
        <v/>
      </c>
      <c r="W195">
        <f>IF(OR(B195="",P195=""),"",NETWORKDAYS(C195,P195)-1)</f>
        <v/>
      </c>
      <c r="X195">
        <f>IF(B195="","",IF(P195="","Aberto","Fechado"))</f>
        <v/>
      </c>
    </row>
    <row r="196">
      <c r="C196" s="6" t="n"/>
      <c r="E196" s="7" t="n"/>
      <c r="F196" s="8" t="n"/>
      <c r="G196" s="8" t="n"/>
      <c r="H196" s="8" t="n"/>
      <c r="J196" s="7" t="n"/>
      <c r="K196" s="8" t="n"/>
      <c r="L196" s="7" t="n"/>
      <c r="M196" s="8" t="n"/>
      <c r="N196" s="7" t="n"/>
      <c r="O196" s="8" t="n"/>
      <c r="P196" s="6" t="n"/>
      <c r="Q196" s="8" t="n"/>
      <c r="S196" s="8">
        <f>IF(B196="","",E196*F196)</f>
        <v/>
      </c>
      <c r="T196" s="8">
        <f>IF(OR(B196="",N(G196)=0),"",ABS(F196-G196)*E196)</f>
        <v/>
      </c>
      <c r="U196" s="8">
        <f>IF(OR(B196="",P196=""),"",IF(D196="Venda",-1,1)*((N(J196)*N(K196)+N(L196)*N(M196)+N(N196)*N(O196))-(N(J196)+N(L196)+N(N196))*F196)-N(Q196))</f>
        <v/>
      </c>
      <c r="V196" s="9">
        <f>IF(OR(B196="",P196=""),"",U196/S196)</f>
        <v/>
      </c>
      <c r="W196">
        <f>IF(OR(B196="",P196=""),"",NETWORKDAYS(C196,P196)-1)</f>
        <v/>
      </c>
      <c r="X196">
        <f>IF(B196="","",IF(P196="","Aberto","Fechado"))</f>
        <v/>
      </c>
    </row>
    <row r="197">
      <c r="C197" s="6" t="n"/>
      <c r="E197" s="7" t="n"/>
      <c r="F197" s="8" t="n"/>
      <c r="G197" s="8" t="n"/>
      <c r="H197" s="8" t="n"/>
      <c r="J197" s="7" t="n"/>
      <c r="K197" s="8" t="n"/>
      <c r="L197" s="7" t="n"/>
      <c r="M197" s="8" t="n"/>
      <c r="N197" s="7" t="n"/>
      <c r="O197" s="8" t="n"/>
      <c r="P197" s="6" t="n"/>
      <c r="Q197" s="8" t="n"/>
      <c r="S197" s="8">
        <f>IF(B197="","",E197*F197)</f>
        <v/>
      </c>
      <c r="T197" s="8">
        <f>IF(OR(B197="",N(G197)=0),"",ABS(F197-G197)*E197)</f>
        <v/>
      </c>
      <c r="U197" s="8">
        <f>IF(OR(B197="",P197=""),"",IF(D197="Venda",-1,1)*((N(J197)*N(K197)+N(L197)*N(M197)+N(N197)*N(O197))-(N(J197)+N(L197)+N(N197))*F197)-N(Q197))</f>
        <v/>
      </c>
      <c r="V197" s="9">
        <f>IF(OR(B197="",P197=""),"",U197/S197)</f>
        <v/>
      </c>
      <c r="W197">
        <f>IF(OR(B197="",P197=""),"",NETWORKDAYS(C197,P197)-1)</f>
        <v/>
      </c>
      <c r="X197">
        <f>IF(B197="","",IF(P197="","Aberto","Fechado"))</f>
        <v/>
      </c>
    </row>
    <row r="198">
      <c r="C198" s="6" t="n"/>
      <c r="E198" s="7" t="n"/>
      <c r="F198" s="8" t="n"/>
      <c r="G198" s="8" t="n"/>
      <c r="H198" s="8" t="n"/>
      <c r="J198" s="7" t="n"/>
      <c r="K198" s="8" t="n"/>
      <c r="L198" s="7" t="n"/>
      <c r="M198" s="8" t="n"/>
      <c r="N198" s="7" t="n"/>
      <c r="O198" s="8" t="n"/>
      <c r="P198" s="6" t="n"/>
      <c r="Q198" s="8" t="n"/>
      <c r="S198" s="8">
        <f>IF(B198="","",E198*F198)</f>
        <v/>
      </c>
      <c r="T198" s="8">
        <f>IF(OR(B198="",N(G198)=0),"",ABS(F198-G198)*E198)</f>
        <v/>
      </c>
      <c r="U198" s="8">
        <f>IF(OR(B198="",P198=""),"",IF(D198="Venda",-1,1)*((N(J198)*N(K198)+N(L198)*N(M198)+N(N198)*N(O198))-(N(J198)+N(L198)+N(N198))*F198)-N(Q198))</f>
        <v/>
      </c>
      <c r="V198" s="9">
        <f>IF(OR(B198="",P198=""),"",U198/S198)</f>
        <v/>
      </c>
      <c r="W198">
        <f>IF(OR(B198="",P198=""),"",NETWORKDAYS(C198,P198)-1)</f>
        <v/>
      </c>
      <c r="X198">
        <f>IF(B198="","",IF(P198="","Aberto","Fechado"))</f>
        <v/>
      </c>
    </row>
    <row r="199">
      <c r="C199" s="6" t="n"/>
      <c r="E199" s="7" t="n"/>
      <c r="F199" s="8" t="n"/>
      <c r="G199" s="8" t="n"/>
      <c r="H199" s="8" t="n"/>
      <c r="J199" s="7" t="n"/>
      <c r="K199" s="8" t="n"/>
      <c r="L199" s="7" t="n"/>
      <c r="M199" s="8" t="n"/>
      <c r="N199" s="7" t="n"/>
      <c r="O199" s="8" t="n"/>
      <c r="P199" s="6" t="n"/>
      <c r="Q199" s="8" t="n"/>
      <c r="S199" s="8">
        <f>IF(B199="","",E199*F199)</f>
        <v/>
      </c>
      <c r="T199" s="8">
        <f>IF(OR(B199="",N(G199)=0),"",ABS(F199-G199)*E199)</f>
        <v/>
      </c>
      <c r="U199" s="8">
        <f>IF(OR(B199="",P199=""),"",IF(D199="Venda",-1,1)*((N(J199)*N(K199)+N(L199)*N(M199)+N(N199)*N(O199))-(N(J199)+N(L199)+N(N199))*F199)-N(Q199))</f>
        <v/>
      </c>
      <c r="V199" s="9">
        <f>IF(OR(B199="",P199=""),"",U199/S199)</f>
        <v/>
      </c>
      <c r="W199">
        <f>IF(OR(B199="",P199=""),"",NETWORKDAYS(C199,P199)-1)</f>
        <v/>
      </c>
      <c r="X199">
        <f>IF(B199="","",IF(P199="","Aberto","Fechado"))</f>
        <v/>
      </c>
    </row>
    <row r="200">
      <c r="C200" s="6" t="n"/>
      <c r="E200" s="7" t="n"/>
      <c r="F200" s="8" t="n"/>
      <c r="G200" s="8" t="n"/>
      <c r="H200" s="8" t="n"/>
      <c r="J200" s="7" t="n"/>
      <c r="K200" s="8" t="n"/>
      <c r="L200" s="7" t="n"/>
      <c r="M200" s="8" t="n"/>
      <c r="N200" s="7" t="n"/>
      <c r="O200" s="8" t="n"/>
      <c r="P200" s="6" t="n"/>
      <c r="Q200" s="8" t="n"/>
      <c r="S200" s="8">
        <f>IF(B200="","",E200*F200)</f>
        <v/>
      </c>
      <c r="T200" s="8">
        <f>IF(OR(B200="",N(G200)=0),"",ABS(F200-G200)*E200)</f>
        <v/>
      </c>
      <c r="U200" s="8">
        <f>IF(OR(B200="",P200=""),"",IF(D200="Venda",-1,1)*((N(J200)*N(K200)+N(L200)*N(M200)+N(N200)*N(O200))-(N(J200)+N(L200)+N(N200))*F200)-N(Q200))</f>
        <v/>
      </c>
      <c r="V200" s="9">
        <f>IF(OR(B200="",P200=""),"",U200/S200)</f>
        <v/>
      </c>
      <c r="W200">
        <f>IF(OR(B200="",P200=""),"",NETWORKDAYS(C200,P200)-1)</f>
        <v/>
      </c>
      <c r="X200">
        <f>IF(B200="","",IF(P200="","Aberto","Fechado"))</f>
        <v/>
      </c>
    </row>
    <row r="201">
      <c r="C201" s="6" t="n"/>
      <c r="E201" s="7" t="n"/>
      <c r="F201" s="8" t="n"/>
      <c r="G201" s="8" t="n"/>
      <c r="H201" s="8" t="n"/>
      <c r="J201" s="7" t="n"/>
      <c r="K201" s="8" t="n"/>
      <c r="L201" s="7" t="n"/>
      <c r="M201" s="8" t="n"/>
      <c r="N201" s="7" t="n"/>
      <c r="O201" s="8" t="n"/>
      <c r="P201" s="6" t="n"/>
      <c r="Q201" s="8" t="n"/>
      <c r="S201" s="8">
        <f>IF(B201="","",E201*F201)</f>
        <v/>
      </c>
      <c r="T201" s="8">
        <f>IF(OR(B201="",N(G201)=0),"",ABS(F201-G201)*E201)</f>
        <v/>
      </c>
      <c r="U201" s="8">
        <f>IF(OR(B201="",P201=""),"",IF(D201="Venda",-1,1)*((N(J201)*N(K201)+N(L201)*N(M201)+N(N201)*N(O201))-(N(J201)+N(L201)+N(N201))*F201)-N(Q201))</f>
        <v/>
      </c>
      <c r="V201" s="9">
        <f>IF(OR(B201="",P201=""),"",U201/S201)</f>
        <v/>
      </c>
      <c r="W201">
        <f>IF(OR(B201="",P201=""),"",NETWORKDAYS(C201,P201)-1)</f>
        <v/>
      </c>
      <c r="X201">
        <f>IF(B201="","",IF(P201="","Aberto","Fechado"))</f>
        <v/>
      </c>
    </row>
    <row r="202">
      <c r="C202" s="6" t="n"/>
      <c r="E202" s="7" t="n"/>
      <c r="F202" s="8" t="n"/>
      <c r="G202" s="8" t="n"/>
      <c r="H202" s="8" t="n"/>
      <c r="J202" s="7" t="n"/>
      <c r="K202" s="8" t="n"/>
      <c r="L202" s="7" t="n"/>
      <c r="M202" s="8" t="n"/>
      <c r="N202" s="7" t="n"/>
      <c r="O202" s="8" t="n"/>
      <c r="P202" s="6" t="n"/>
      <c r="Q202" s="8" t="n"/>
      <c r="S202" s="8">
        <f>IF(B202="","",E202*F202)</f>
        <v/>
      </c>
      <c r="T202" s="8">
        <f>IF(OR(B202="",N(G202)=0),"",ABS(F202-G202)*E202)</f>
        <v/>
      </c>
      <c r="U202" s="8">
        <f>IF(OR(B202="",P202=""),"",IF(D202="Venda",-1,1)*((N(J202)*N(K202)+N(L202)*N(M202)+N(N202)*N(O202))-(N(J202)+N(L202)+N(N202))*F202)-N(Q202))</f>
        <v/>
      </c>
      <c r="V202" s="9">
        <f>IF(OR(B202="",P202=""),"",U202/S202)</f>
        <v/>
      </c>
      <c r="W202">
        <f>IF(OR(B202="",P202=""),"",NETWORKDAYS(C202,P202)-1)</f>
        <v/>
      </c>
      <c r="X202">
        <f>IF(B202="","",IF(P202="","Aberto","Fechado"))</f>
        <v/>
      </c>
    </row>
    <row r="203">
      <c r="C203" s="6" t="n"/>
      <c r="E203" s="7" t="n"/>
      <c r="F203" s="8" t="n"/>
      <c r="G203" s="8" t="n"/>
      <c r="H203" s="8" t="n"/>
      <c r="J203" s="7" t="n"/>
      <c r="K203" s="8" t="n"/>
      <c r="L203" s="7" t="n"/>
      <c r="M203" s="8" t="n"/>
      <c r="N203" s="7" t="n"/>
      <c r="O203" s="8" t="n"/>
      <c r="P203" s="6" t="n"/>
      <c r="Q203" s="8" t="n"/>
      <c r="S203" s="8">
        <f>IF(B203="","",E203*F203)</f>
        <v/>
      </c>
      <c r="T203" s="8">
        <f>IF(OR(B203="",N(G203)=0),"",ABS(F203-G203)*E203)</f>
        <v/>
      </c>
      <c r="U203" s="8">
        <f>IF(OR(B203="",P203=""),"",IF(D203="Venda",-1,1)*((N(J203)*N(K203)+N(L203)*N(M203)+N(N203)*N(O203))-(N(J203)+N(L203)+N(N203))*F203)-N(Q203))</f>
        <v/>
      </c>
      <c r="V203" s="9">
        <f>IF(OR(B203="",P203=""),"",U203/S203)</f>
        <v/>
      </c>
      <c r="W203">
        <f>IF(OR(B203="",P203=""),"",NETWORKDAYS(C203,P203)-1)</f>
        <v/>
      </c>
      <c r="X203">
        <f>IF(B203="","",IF(P203="","Aberto","Fechado"))</f>
        <v/>
      </c>
    </row>
    <row r="204">
      <c r="C204" s="6" t="n"/>
      <c r="E204" s="7" t="n"/>
      <c r="F204" s="8" t="n"/>
      <c r="G204" s="8" t="n"/>
      <c r="H204" s="8" t="n"/>
      <c r="J204" s="7" t="n"/>
      <c r="K204" s="8" t="n"/>
      <c r="L204" s="7" t="n"/>
      <c r="M204" s="8" t="n"/>
      <c r="N204" s="7" t="n"/>
      <c r="O204" s="8" t="n"/>
      <c r="P204" s="6" t="n"/>
      <c r="Q204" s="8" t="n"/>
      <c r="S204" s="8">
        <f>IF(B204="","",E204*F204)</f>
        <v/>
      </c>
      <c r="T204" s="8">
        <f>IF(OR(B204="",N(G204)=0),"",ABS(F204-G204)*E204)</f>
        <v/>
      </c>
      <c r="U204" s="8">
        <f>IF(OR(B204="",P204=""),"",IF(D204="Venda",-1,1)*((N(J204)*N(K204)+N(L204)*N(M204)+N(N204)*N(O204))-(N(J204)+N(L204)+N(N204))*F204)-N(Q204))</f>
        <v/>
      </c>
      <c r="V204" s="9">
        <f>IF(OR(B204="",P204=""),"",U204/S204)</f>
        <v/>
      </c>
      <c r="W204">
        <f>IF(OR(B204="",P204=""),"",NETWORKDAYS(C204,P204)-1)</f>
        <v/>
      </c>
      <c r="X204">
        <f>IF(B204="","",IF(P204="","Aberto","Fechado"))</f>
        <v/>
      </c>
    </row>
    <row r="205">
      <c r="C205" s="6" t="n"/>
      <c r="E205" s="7" t="n"/>
      <c r="F205" s="8" t="n"/>
      <c r="G205" s="8" t="n"/>
      <c r="H205" s="8" t="n"/>
      <c r="J205" s="7" t="n"/>
      <c r="K205" s="8" t="n"/>
      <c r="L205" s="7" t="n"/>
      <c r="M205" s="8" t="n"/>
      <c r="N205" s="7" t="n"/>
      <c r="O205" s="8" t="n"/>
      <c r="P205" s="6" t="n"/>
      <c r="Q205" s="8" t="n"/>
      <c r="S205" s="8">
        <f>IF(B205="","",E205*F205)</f>
        <v/>
      </c>
      <c r="T205" s="8">
        <f>IF(OR(B205="",N(G205)=0),"",ABS(F205-G205)*E205)</f>
        <v/>
      </c>
      <c r="U205" s="8">
        <f>IF(OR(B205="",P205=""),"",IF(D205="Venda",-1,1)*((N(J205)*N(K205)+N(L205)*N(M205)+N(N205)*N(O205))-(N(J205)+N(L205)+N(N205))*F205)-N(Q205))</f>
        <v/>
      </c>
      <c r="V205" s="9">
        <f>IF(OR(B205="",P205=""),"",U205/S205)</f>
        <v/>
      </c>
      <c r="W205">
        <f>IF(OR(B205="",P205=""),"",NETWORKDAYS(C205,P205)-1)</f>
        <v/>
      </c>
      <c r="X205">
        <f>IF(B205="","",IF(P205="","Aberto","Fechado"))</f>
        <v/>
      </c>
    </row>
    <row r="206">
      <c r="C206" s="6" t="n"/>
      <c r="E206" s="7" t="n"/>
      <c r="F206" s="8" t="n"/>
      <c r="G206" s="8" t="n"/>
      <c r="H206" s="8" t="n"/>
      <c r="J206" s="7" t="n"/>
      <c r="K206" s="8" t="n"/>
      <c r="L206" s="7" t="n"/>
      <c r="M206" s="8" t="n"/>
      <c r="N206" s="7" t="n"/>
      <c r="O206" s="8" t="n"/>
      <c r="P206" s="6" t="n"/>
      <c r="Q206" s="8" t="n"/>
      <c r="S206" s="8">
        <f>IF(B206="","",E206*F206)</f>
        <v/>
      </c>
      <c r="T206" s="8">
        <f>IF(OR(B206="",N(G206)=0),"",ABS(F206-G206)*E206)</f>
        <v/>
      </c>
      <c r="U206" s="8">
        <f>IF(OR(B206="",P206=""),"",IF(D206="Venda",-1,1)*((N(J206)*N(K206)+N(L206)*N(M206)+N(N206)*N(O206))-(N(J206)+N(L206)+N(N206))*F206)-N(Q206))</f>
        <v/>
      </c>
      <c r="V206" s="9">
        <f>IF(OR(B206="",P206=""),"",U206/S206)</f>
        <v/>
      </c>
      <c r="W206">
        <f>IF(OR(B206="",P206=""),"",NETWORKDAYS(C206,P206)-1)</f>
        <v/>
      </c>
      <c r="X206">
        <f>IF(B206="","",IF(P206="","Aberto","Fechado"))</f>
        <v/>
      </c>
    </row>
    <row r="207">
      <c r="C207" s="6" t="n"/>
      <c r="E207" s="7" t="n"/>
      <c r="F207" s="8" t="n"/>
      <c r="G207" s="8" t="n"/>
      <c r="H207" s="8" t="n"/>
      <c r="J207" s="7" t="n"/>
      <c r="K207" s="8" t="n"/>
      <c r="L207" s="7" t="n"/>
      <c r="M207" s="8" t="n"/>
      <c r="N207" s="7" t="n"/>
      <c r="O207" s="8" t="n"/>
      <c r="P207" s="6" t="n"/>
      <c r="Q207" s="8" t="n"/>
      <c r="S207" s="8">
        <f>IF(B207="","",E207*F207)</f>
        <v/>
      </c>
      <c r="T207" s="8">
        <f>IF(OR(B207="",N(G207)=0),"",ABS(F207-G207)*E207)</f>
        <v/>
      </c>
      <c r="U207" s="8">
        <f>IF(OR(B207="",P207=""),"",IF(D207="Venda",-1,1)*((N(J207)*N(K207)+N(L207)*N(M207)+N(N207)*N(O207))-(N(J207)+N(L207)+N(N207))*F207)-N(Q207))</f>
        <v/>
      </c>
      <c r="V207" s="9">
        <f>IF(OR(B207="",P207=""),"",U207/S207)</f>
        <v/>
      </c>
      <c r="W207">
        <f>IF(OR(B207="",P207=""),"",NETWORKDAYS(C207,P207)-1)</f>
        <v/>
      </c>
      <c r="X207">
        <f>IF(B207="","",IF(P207="","Aberto","Fechado"))</f>
        <v/>
      </c>
    </row>
    <row r="208">
      <c r="C208" s="6" t="n"/>
      <c r="E208" s="7" t="n"/>
      <c r="F208" s="8" t="n"/>
      <c r="G208" s="8" t="n"/>
      <c r="H208" s="8" t="n"/>
      <c r="J208" s="7" t="n"/>
      <c r="K208" s="8" t="n"/>
      <c r="L208" s="7" t="n"/>
      <c r="M208" s="8" t="n"/>
      <c r="N208" s="7" t="n"/>
      <c r="O208" s="8" t="n"/>
      <c r="P208" s="6" t="n"/>
      <c r="Q208" s="8" t="n"/>
      <c r="S208" s="8">
        <f>IF(B208="","",E208*F208)</f>
        <v/>
      </c>
      <c r="T208" s="8">
        <f>IF(OR(B208="",N(G208)=0),"",ABS(F208-G208)*E208)</f>
        <v/>
      </c>
      <c r="U208" s="8">
        <f>IF(OR(B208="",P208=""),"",IF(D208="Venda",-1,1)*((N(J208)*N(K208)+N(L208)*N(M208)+N(N208)*N(O208))-(N(J208)+N(L208)+N(N208))*F208)-N(Q208))</f>
        <v/>
      </c>
      <c r="V208" s="9">
        <f>IF(OR(B208="",P208=""),"",U208/S208)</f>
        <v/>
      </c>
      <c r="W208">
        <f>IF(OR(B208="",P208=""),"",NETWORKDAYS(C208,P208)-1)</f>
        <v/>
      </c>
      <c r="X208">
        <f>IF(B208="","",IF(P208="","Aberto","Fechado"))</f>
        <v/>
      </c>
    </row>
    <row r="209">
      <c r="C209" s="6" t="n"/>
      <c r="E209" s="7" t="n"/>
      <c r="F209" s="8" t="n"/>
      <c r="G209" s="8" t="n"/>
      <c r="H209" s="8" t="n"/>
      <c r="J209" s="7" t="n"/>
      <c r="K209" s="8" t="n"/>
      <c r="L209" s="7" t="n"/>
      <c r="M209" s="8" t="n"/>
      <c r="N209" s="7" t="n"/>
      <c r="O209" s="8" t="n"/>
      <c r="P209" s="6" t="n"/>
      <c r="Q209" s="8" t="n"/>
      <c r="S209" s="8">
        <f>IF(B209="","",E209*F209)</f>
        <v/>
      </c>
      <c r="T209" s="8">
        <f>IF(OR(B209="",N(G209)=0),"",ABS(F209-G209)*E209)</f>
        <v/>
      </c>
      <c r="U209" s="8">
        <f>IF(OR(B209="",P209=""),"",IF(D209="Venda",-1,1)*((N(J209)*N(K209)+N(L209)*N(M209)+N(N209)*N(O209))-(N(J209)+N(L209)+N(N209))*F209)-N(Q209))</f>
        <v/>
      </c>
      <c r="V209" s="9">
        <f>IF(OR(B209="",P209=""),"",U209/S209)</f>
        <v/>
      </c>
      <c r="W209">
        <f>IF(OR(B209="",P209=""),"",NETWORKDAYS(C209,P209)-1)</f>
        <v/>
      </c>
      <c r="X209">
        <f>IF(B209="","",IF(P209="","Aberto","Fechado"))</f>
        <v/>
      </c>
    </row>
    <row r="210">
      <c r="C210" s="6" t="n"/>
      <c r="E210" s="7" t="n"/>
      <c r="F210" s="8" t="n"/>
      <c r="G210" s="8" t="n"/>
      <c r="H210" s="8" t="n"/>
      <c r="J210" s="7" t="n"/>
      <c r="K210" s="8" t="n"/>
      <c r="L210" s="7" t="n"/>
      <c r="M210" s="8" t="n"/>
      <c r="N210" s="7" t="n"/>
      <c r="O210" s="8" t="n"/>
      <c r="P210" s="6" t="n"/>
      <c r="Q210" s="8" t="n"/>
      <c r="S210" s="8">
        <f>IF(B210="","",E210*F210)</f>
        <v/>
      </c>
      <c r="T210" s="8">
        <f>IF(OR(B210="",N(G210)=0),"",ABS(F210-G210)*E210)</f>
        <v/>
      </c>
      <c r="U210" s="8">
        <f>IF(OR(B210="",P210=""),"",IF(D210="Venda",-1,1)*((N(J210)*N(K210)+N(L210)*N(M210)+N(N210)*N(O210))-(N(J210)+N(L210)+N(N210))*F210)-N(Q210))</f>
        <v/>
      </c>
      <c r="V210" s="9">
        <f>IF(OR(B210="",P210=""),"",U210/S210)</f>
        <v/>
      </c>
      <c r="W210">
        <f>IF(OR(B210="",P210=""),"",NETWORKDAYS(C210,P210)-1)</f>
        <v/>
      </c>
      <c r="X210">
        <f>IF(B210="","",IF(P210="","Aberto","Fechado"))</f>
        <v/>
      </c>
    </row>
    <row r="211">
      <c r="C211" s="6" t="n"/>
      <c r="E211" s="7" t="n"/>
      <c r="F211" s="8" t="n"/>
      <c r="G211" s="8" t="n"/>
      <c r="H211" s="8" t="n"/>
      <c r="J211" s="7" t="n"/>
      <c r="K211" s="8" t="n"/>
      <c r="L211" s="7" t="n"/>
      <c r="M211" s="8" t="n"/>
      <c r="N211" s="7" t="n"/>
      <c r="O211" s="8" t="n"/>
      <c r="P211" s="6" t="n"/>
      <c r="Q211" s="8" t="n"/>
      <c r="S211" s="8">
        <f>IF(B211="","",E211*F211)</f>
        <v/>
      </c>
      <c r="T211" s="8">
        <f>IF(OR(B211="",N(G211)=0),"",ABS(F211-G211)*E211)</f>
        <v/>
      </c>
      <c r="U211" s="8">
        <f>IF(OR(B211="",P211=""),"",IF(D211="Venda",-1,1)*((N(J211)*N(K211)+N(L211)*N(M211)+N(N211)*N(O211))-(N(J211)+N(L211)+N(N211))*F211)-N(Q211))</f>
        <v/>
      </c>
      <c r="V211" s="9">
        <f>IF(OR(B211="",P211=""),"",U211/S211)</f>
        <v/>
      </c>
      <c r="W211">
        <f>IF(OR(B211="",P211=""),"",NETWORKDAYS(C211,P211)-1)</f>
        <v/>
      </c>
      <c r="X211">
        <f>IF(B211="","",IF(P211="","Aberto","Fechado"))</f>
        <v/>
      </c>
    </row>
    <row r="212">
      <c r="C212" s="6" t="n"/>
      <c r="E212" s="7" t="n"/>
      <c r="F212" s="8" t="n"/>
      <c r="G212" s="8" t="n"/>
      <c r="H212" s="8" t="n"/>
      <c r="J212" s="7" t="n"/>
      <c r="K212" s="8" t="n"/>
      <c r="L212" s="7" t="n"/>
      <c r="M212" s="8" t="n"/>
      <c r="N212" s="7" t="n"/>
      <c r="O212" s="8" t="n"/>
      <c r="P212" s="6" t="n"/>
      <c r="Q212" s="8" t="n"/>
      <c r="S212" s="8">
        <f>IF(B212="","",E212*F212)</f>
        <v/>
      </c>
      <c r="T212" s="8">
        <f>IF(OR(B212="",N(G212)=0),"",ABS(F212-G212)*E212)</f>
        <v/>
      </c>
      <c r="U212" s="8">
        <f>IF(OR(B212="",P212=""),"",IF(D212="Venda",-1,1)*((N(J212)*N(K212)+N(L212)*N(M212)+N(N212)*N(O212))-(N(J212)+N(L212)+N(N212))*F212)-N(Q212))</f>
        <v/>
      </c>
      <c r="V212" s="9">
        <f>IF(OR(B212="",P212=""),"",U212/S212)</f>
        <v/>
      </c>
      <c r="W212">
        <f>IF(OR(B212="",P212=""),"",NETWORKDAYS(C212,P212)-1)</f>
        <v/>
      </c>
      <c r="X212">
        <f>IF(B212="","",IF(P212="","Aberto","Fechado"))</f>
        <v/>
      </c>
    </row>
    <row r="213">
      <c r="C213" s="6" t="n"/>
      <c r="E213" s="7" t="n"/>
      <c r="F213" s="8" t="n"/>
      <c r="G213" s="8" t="n"/>
      <c r="H213" s="8" t="n"/>
      <c r="J213" s="7" t="n"/>
      <c r="K213" s="8" t="n"/>
      <c r="L213" s="7" t="n"/>
      <c r="M213" s="8" t="n"/>
      <c r="N213" s="7" t="n"/>
      <c r="O213" s="8" t="n"/>
      <c r="P213" s="6" t="n"/>
      <c r="Q213" s="8" t="n"/>
      <c r="S213" s="8">
        <f>IF(B213="","",E213*F213)</f>
        <v/>
      </c>
      <c r="T213" s="8">
        <f>IF(OR(B213="",N(G213)=0),"",ABS(F213-G213)*E213)</f>
        <v/>
      </c>
      <c r="U213" s="8">
        <f>IF(OR(B213="",P213=""),"",IF(D213="Venda",-1,1)*((N(J213)*N(K213)+N(L213)*N(M213)+N(N213)*N(O213))-(N(J213)+N(L213)+N(N213))*F213)-N(Q213))</f>
        <v/>
      </c>
      <c r="V213" s="9">
        <f>IF(OR(B213="",P213=""),"",U213/S213)</f>
        <v/>
      </c>
      <c r="W213">
        <f>IF(OR(B213="",P213=""),"",NETWORKDAYS(C213,P213)-1)</f>
        <v/>
      </c>
      <c r="X213">
        <f>IF(B213="","",IF(P213="","Aberto","Fechado"))</f>
        <v/>
      </c>
    </row>
    <row r="214">
      <c r="C214" s="6" t="n"/>
      <c r="E214" s="7" t="n"/>
      <c r="F214" s="8" t="n"/>
      <c r="G214" s="8" t="n"/>
      <c r="H214" s="8" t="n"/>
      <c r="J214" s="7" t="n"/>
      <c r="K214" s="8" t="n"/>
      <c r="L214" s="7" t="n"/>
      <c r="M214" s="8" t="n"/>
      <c r="N214" s="7" t="n"/>
      <c r="O214" s="8" t="n"/>
      <c r="P214" s="6" t="n"/>
      <c r="Q214" s="8" t="n"/>
      <c r="S214" s="8">
        <f>IF(B214="","",E214*F214)</f>
        <v/>
      </c>
      <c r="T214" s="8">
        <f>IF(OR(B214="",N(G214)=0),"",ABS(F214-G214)*E214)</f>
        <v/>
      </c>
      <c r="U214" s="8">
        <f>IF(OR(B214="",P214=""),"",IF(D214="Venda",-1,1)*((N(J214)*N(K214)+N(L214)*N(M214)+N(N214)*N(O214))-(N(J214)+N(L214)+N(N214))*F214)-N(Q214))</f>
        <v/>
      </c>
      <c r="V214" s="9">
        <f>IF(OR(B214="",P214=""),"",U214/S214)</f>
        <v/>
      </c>
      <c r="W214">
        <f>IF(OR(B214="",P214=""),"",NETWORKDAYS(C214,P214)-1)</f>
        <v/>
      </c>
      <c r="X214">
        <f>IF(B214="","",IF(P214="","Aberto","Fechado"))</f>
        <v/>
      </c>
    </row>
    <row r="215">
      <c r="C215" s="6" t="n"/>
      <c r="E215" s="7" t="n"/>
      <c r="F215" s="8" t="n"/>
      <c r="G215" s="8" t="n"/>
      <c r="H215" s="8" t="n"/>
      <c r="J215" s="7" t="n"/>
      <c r="K215" s="8" t="n"/>
      <c r="L215" s="7" t="n"/>
      <c r="M215" s="8" t="n"/>
      <c r="N215" s="7" t="n"/>
      <c r="O215" s="8" t="n"/>
      <c r="P215" s="6" t="n"/>
      <c r="Q215" s="8" t="n"/>
      <c r="S215" s="8">
        <f>IF(B215="","",E215*F215)</f>
        <v/>
      </c>
      <c r="T215" s="8">
        <f>IF(OR(B215="",N(G215)=0),"",ABS(F215-G215)*E215)</f>
        <v/>
      </c>
      <c r="U215" s="8">
        <f>IF(OR(B215="",P215=""),"",IF(D215="Venda",-1,1)*((N(J215)*N(K215)+N(L215)*N(M215)+N(N215)*N(O215))-(N(J215)+N(L215)+N(N215))*F215)-N(Q215))</f>
        <v/>
      </c>
      <c r="V215" s="9">
        <f>IF(OR(B215="",P215=""),"",U215/S215)</f>
        <v/>
      </c>
      <c r="W215">
        <f>IF(OR(B215="",P215=""),"",NETWORKDAYS(C215,P215)-1)</f>
        <v/>
      </c>
      <c r="X215">
        <f>IF(B215="","",IF(P215="","Aberto","Fechado"))</f>
        <v/>
      </c>
    </row>
    <row r="216">
      <c r="C216" s="6" t="n"/>
      <c r="E216" s="7" t="n"/>
      <c r="F216" s="8" t="n"/>
      <c r="G216" s="8" t="n"/>
      <c r="H216" s="8" t="n"/>
      <c r="J216" s="7" t="n"/>
      <c r="K216" s="8" t="n"/>
      <c r="L216" s="7" t="n"/>
      <c r="M216" s="8" t="n"/>
      <c r="N216" s="7" t="n"/>
      <c r="O216" s="8" t="n"/>
      <c r="P216" s="6" t="n"/>
      <c r="Q216" s="8" t="n"/>
      <c r="S216" s="8">
        <f>IF(B216="","",E216*F216)</f>
        <v/>
      </c>
      <c r="T216" s="8">
        <f>IF(OR(B216="",N(G216)=0),"",ABS(F216-G216)*E216)</f>
        <v/>
      </c>
      <c r="U216" s="8">
        <f>IF(OR(B216="",P216=""),"",IF(D216="Venda",-1,1)*((N(J216)*N(K216)+N(L216)*N(M216)+N(N216)*N(O216))-(N(J216)+N(L216)+N(N216))*F216)-N(Q216))</f>
        <v/>
      </c>
      <c r="V216" s="9">
        <f>IF(OR(B216="",P216=""),"",U216/S216)</f>
        <v/>
      </c>
      <c r="W216">
        <f>IF(OR(B216="",P216=""),"",NETWORKDAYS(C216,P216)-1)</f>
        <v/>
      </c>
      <c r="X216">
        <f>IF(B216="","",IF(P216="","Aberto","Fechado"))</f>
        <v/>
      </c>
    </row>
    <row r="217">
      <c r="C217" s="6" t="n"/>
      <c r="E217" s="7" t="n"/>
      <c r="F217" s="8" t="n"/>
      <c r="G217" s="8" t="n"/>
      <c r="H217" s="8" t="n"/>
      <c r="J217" s="7" t="n"/>
      <c r="K217" s="8" t="n"/>
      <c r="L217" s="7" t="n"/>
      <c r="M217" s="8" t="n"/>
      <c r="N217" s="7" t="n"/>
      <c r="O217" s="8" t="n"/>
      <c r="P217" s="6" t="n"/>
      <c r="Q217" s="8" t="n"/>
      <c r="S217" s="8">
        <f>IF(B217="","",E217*F217)</f>
        <v/>
      </c>
      <c r="T217" s="8">
        <f>IF(OR(B217="",N(G217)=0),"",ABS(F217-G217)*E217)</f>
        <v/>
      </c>
      <c r="U217" s="8">
        <f>IF(OR(B217="",P217=""),"",IF(D217="Venda",-1,1)*((N(J217)*N(K217)+N(L217)*N(M217)+N(N217)*N(O217))-(N(J217)+N(L217)+N(N217))*F217)-N(Q217))</f>
        <v/>
      </c>
      <c r="V217" s="9">
        <f>IF(OR(B217="",P217=""),"",U217/S217)</f>
        <v/>
      </c>
      <c r="W217">
        <f>IF(OR(B217="",P217=""),"",NETWORKDAYS(C217,P217)-1)</f>
        <v/>
      </c>
      <c r="X217">
        <f>IF(B217="","",IF(P217="","Aberto","Fechado"))</f>
        <v/>
      </c>
    </row>
    <row r="218">
      <c r="C218" s="6" t="n"/>
      <c r="E218" s="7" t="n"/>
      <c r="F218" s="8" t="n"/>
      <c r="G218" s="8" t="n"/>
      <c r="H218" s="8" t="n"/>
      <c r="J218" s="7" t="n"/>
      <c r="K218" s="8" t="n"/>
      <c r="L218" s="7" t="n"/>
      <c r="M218" s="8" t="n"/>
      <c r="N218" s="7" t="n"/>
      <c r="O218" s="8" t="n"/>
      <c r="P218" s="6" t="n"/>
      <c r="Q218" s="8" t="n"/>
      <c r="S218" s="8">
        <f>IF(B218="","",E218*F218)</f>
        <v/>
      </c>
      <c r="T218" s="8">
        <f>IF(OR(B218="",N(G218)=0),"",ABS(F218-G218)*E218)</f>
        <v/>
      </c>
      <c r="U218" s="8">
        <f>IF(OR(B218="",P218=""),"",IF(D218="Venda",-1,1)*((N(J218)*N(K218)+N(L218)*N(M218)+N(N218)*N(O218))-(N(J218)+N(L218)+N(N218))*F218)-N(Q218))</f>
        <v/>
      </c>
      <c r="V218" s="9">
        <f>IF(OR(B218="",P218=""),"",U218/S218)</f>
        <v/>
      </c>
      <c r="W218">
        <f>IF(OR(B218="",P218=""),"",NETWORKDAYS(C218,P218)-1)</f>
        <v/>
      </c>
      <c r="X218">
        <f>IF(B218="","",IF(P218="","Aberto","Fechado"))</f>
        <v/>
      </c>
    </row>
    <row r="219">
      <c r="C219" s="6" t="n"/>
      <c r="E219" s="7" t="n"/>
      <c r="F219" s="8" t="n"/>
      <c r="G219" s="8" t="n"/>
      <c r="H219" s="8" t="n"/>
      <c r="J219" s="7" t="n"/>
      <c r="K219" s="8" t="n"/>
      <c r="L219" s="7" t="n"/>
      <c r="M219" s="8" t="n"/>
      <c r="N219" s="7" t="n"/>
      <c r="O219" s="8" t="n"/>
      <c r="P219" s="6" t="n"/>
      <c r="Q219" s="8" t="n"/>
      <c r="S219" s="8">
        <f>IF(B219="","",E219*F219)</f>
        <v/>
      </c>
      <c r="T219" s="8">
        <f>IF(OR(B219="",N(G219)=0),"",ABS(F219-G219)*E219)</f>
        <v/>
      </c>
      <c r="U219" s="8">
        <f>IF(OR(B219="",P219=""),"",IF(D219="Venda",-1,1)*((N(J219)*N(K219)+N(L219)*N(M219)+N(N219)*N(O219))-(N(J219)+N(L219)+N(N219))*F219)-N(Q219))</f>
        <v/>
      </c>
      <c r="V219" s="9">
        <f>IF(OR(B219="",P219=""),"",U219/S219)</f>
        <v/>
      </c>
      <c r="W219">
        <f>IF(OR(B219="",P219=""),"",NETWORKDAYS(C219,P219)-1)</f>
        <v/>
      </c>
      <c r="X219">
        <f>IF(B219="","",IF(P219="","Aberto","Fechado"))</f>
        <v/>
      </c>
    </row>
    <row r="220">
      <c r="C220" s="6" t="n"/>
      <c r="E220" s="7" t="n"/>
      <c r="F220" s="8" t="n"/>
      <c r="G220" s="8" t="n"/>
      <c r="H220" s="8" t="n"/>
      <c r="J220" s="7" t="n"/>
      <c r="K220" s="8" t="n"/>
      <c r="L220" s="7" t="n"/>
      <c r="M220" s="8" t="n"/>
      <c r="N220" s="7" t="n"/>
      <c r="O220" s="8" t="n"/>
      <c r="P220" s="6" t="n"/>
      <c r="Q220" s="8" t="n"/>
      <c r="S220" s="8">
        <f>IF(B220="","",E220*F220)</f>
        <v/>
      </c>
      <c r="T220" s="8">
        <f>IF(OR(B220="",N(G220)=0),"",ABS(F220-G220)*E220)</f>
        <v/>
      </c>
      <c r="U220" s="8">
        <f>IF(OR(B220="",P220=""),"",IF(D220="Venda",-1,1)*((N(J220)*N(K220)+N(L220)*N(M220)+N(N220)*N(O220))-(N(J220)+N(L220)+N(N220))*F220)-N(Q220))</f>
        <v/>
      </c>
      <c r="V220" s="9">
        <f>IF(OR(B220="",P220=""),"",U220/S220)</f>
        <v/>
      </c>
      <c r="W220">
        <f>IF(OR(B220="",P220=""),"",NETWORKDAYS(C220,P220)-1)</f>
        <v/>
      </c>
      <c r="X220">
        <f>IF(B220="","",IF(P220="","Aberto","Fechado"))</f>
        <v/>
      </c>
    </row>
    <row r="221">
      <c r="C221" s="6" t="n"/>
      <c r="E221" s="7" t="n"/>
      <c r="F221" s="8" t="n"/>
      <c r="G221" s="8" t="n"/>
      <c r="H221" s="8" t="n"/>
      <c r="J221" s="7" t="n"/>
      <c r="K221" s="8" t="n"/>
      <c r="L221" s="7" t="n"/>
      <c r="M221" s="8" t="n"/>
      <c r="N221" s="7" t="n"/>
      <c r="O221" s="8" t="n"/>
      <c r="P221" s="6" t="n"/>
      <c r="Q221" s="8" t="n"/>
      <c r="S221" s="8">
        <f>IF(B221="","",E221*F221)</f>
        <v/>
      </c>
      <c r="T221" s="8">
        <f>IF(OR(B221="",N(G221)=0),"",ABS(F221-G221)*E221)</f>
        <v/>
      </c>
      <c r="U221" s="8">
        <f>IF(OR(B221="",P221=""),"",IF(D221="Venda",-1,1)*((N(J221)*N(K221)+N(L221)*N(M221)+N(N221)*N(O221))-(N(J221)+N(L221)+N(N221))*F221)-N(Q221))</f>
        <v/>
      </c>
      <c r="V221" s="9">
        <f>IF(OR(B221="",P221=""),"",U221/S221)</f>
        <v/>
      </c>
      <c r="W221">
        <f>IF(OR(B221="",P221=""),"",NETWORKDAYS(C221,P221)-1)</f>
        <v/>
      </c>
      <c r="X221">
        <f>IF(B221="","",IF(P221="","Aberto","Fechado"))</f>
        <v/>
      </c>
    </row>
    <row r="222">
      <c r="C222" s="6" t="n"/>
      <c r="E222" s="7" t="n"/>
      <c r="F222" s="8" t="n"/>
      <c r="G222" s="8" t="n"/>
      <c r="H222" s="8" t="n"/>
      <c r="J222" s="7" t="n"/>
      <c r="K222" s="8" t="n"/>
      <c r="L222" s="7" t="n"/>
      <c r="M222" s="8" t="n"/>
      <c r="N222" s="7" t="n"/>
      <c r="O222" s="8" t="n"/>
      <c r="P222" s="6" t="n"/>
      <c r="Q222" s="8" t="n"/>
      <c r="S222" s="8">
        <f>IF(B222="","",E222*F222)</f>
        <v/>
      </c>
      <c r="T222" s="8">
        <f>IF(OR(B222="",N(G222)=0),"",ABS(F222-G222)*E222)</f>
        <v/>
      </c>
      <c r="U222" s="8">
        <f>IF(OR(B222="",P222=""),"",IF(D222="Venda",-1,1)*((N(J222)*N(K222)+N(L222)*N(M222)+N(N222)*N(O222))-(N(J222)+N(L222)+N(N222))*F222)-N(Q222))</f>
        <v/>
      </c>
      <c r="V222" s="9">
        <f>IF(OR(B222="",P222=""),"",U222/S222)</f>
        <v/>
      </c>
      <c r="W222">
        <f>IF(OR(B222="",P222=""),"",NETWORKDAYS(C222,P222)-1)</f>
        <v/>
      </c>
      <c r="X222">
        <f>IF(B222="","",IF(P222="","Aberto","Fechado"))</f>
        <v/>
      </c>
    </row>
    <row r="223">
      <c r="C223" s="6" t="n"/>
      <c r="E223" s="7" t="n"/>
      <c r="F223" s="8" t="n"/>
      <c r="G223" s="8" t="n"/>
      <c r="H223" s="8" t="n"/>
      <c r="J223" s="7" t="n"/>
      <c r="K223" s="8" t="n"/>
      <c r="L223" s="7" t="n"/>
      <c r="M223" s="8" t="n"/>
      <c r="N223" s="7" t="n"/>
      <c r="O223" s="8" t="n"/>
      <c r="P223" s="6" t="n"/>
      <c r="Q223" s="8" t="n"/>
      <c r="S223" s="8">
        <f>IF(B223="","",E223*F223)</f>
        <v/>
      </c>
      <c r="T223" s="8">
        <f>IF(OR(B223="",N(G223)=0),"",ABS(F223-G223)*E223)</f>
        <v/>
      </c>
      <c r="U223" s="8">
        <f>IF(OR(B223="",P223=""),"",IF(D223="Venda",-1,1)*((N(J223)*N(K223)+N(L223)*N(M223)+N(N223)*N(O223))-(N(J223)+N(L223)+N(N223))*F223)-N(Q223))</f>
        <v/>
      </c>
      <c r="V223" s="9">
        <f>IF(OR(B223="",P223=""),"",U223/S223)</f>
        <v/>
      </c>
      <c r="W223">
        <f>IF(OR(B223="",P223=""),"",NETWORKDAYS(C223,P223)-1)</f>
        <v/>
      </c>
      <c r="X223">
        <f>IF(B223="","",IF(P223="","Aberto","Fechado"))</f>
        <v/>
      </c>
    </row>
    <row r="224">
      <c r="C224" s="6" t="n"/>
      <c r="E224" s="7" t="n"/>
      <c r="F224" s="8" t="n"/>
      <c r="G224" s="8" t="n"/>
      <c r="H224" s="8" t="n"/>
      <c r="J224" s="7" t="n"/>
      <c r="K224" s="8" t="n"/>
      <c r="L224" s="7" t="n"/>
      <c r="M224" s="8" t="n"/>
      <c r="N224" s="7" t="n"/>
      <c r="O224" s="8" t="n"/>
      <c r="P224" s="6" t="n"/>
      <c r="Q224" s="8" t="n"/>
      <c r="S224" s="8">
        <f>IF(B224="","",E224*F224)</f>
        <v/>
      </c>
      <c r="T224" s="8">
        <f>IF(OR(B224="",N(G224)=0),"",ABS(F224-G224)*E224)</f>
        <v/>
      </c>
      <c r="U224" s="8">
        <f>IF(OR(B224="",P224=""),"",IF(D224="Venda",-1,1)*((N(J224)*N(K224)+N(L224)*N(M224)+N(N224)*N(O224))-(N(J224)+N(L224)+N(N224))*F224)-N(Q224))</f>
        <v/>
      </c>
      <c r="V224" s="9">
        <f>IF(OR(B224="",P224=""),"",U224/S224)</f>
        <v/>
      </c>
      <c r="W224">
        <f>IF(OR(B224="",P224=""),"",NETWORKDAYS(C224,P224)-1)</f>
        <v/>
      </c>
      <c r="X224">
        <f>IF(B224="","",IF(P224="","Aberto","Fechado"))</f>
        <v/>
      </c>
    </row>
    <row r="225">
      <c r="C225" s="6" t="n"/>
      <c r="E225" s="7" t="n"/>
      <c r="F225" s="8" t="n"/>
      <c r="G225" s="8" t="n"/>
      <c r="H225" s="8" t="n"/>
      <c r="J225" s="7" t="n"/>
      <c r="K225" s="8" t="n"/>
      <c r="L225" s="7" t="n"/>
      <c r="M225" s="8" t="n"/>
      <c r="N225" s="7" t="n"/>
      <c r="O225" s="8" t="n"/>
      <c r="P225" s="6" t="n"/>
      <c r="Q225" s="8" t="n"/>
      <c r="S225" s="8">
        <f>IF(B225="","",E225*F225)</f>
        <v/>
      </c>
      <c r="T225" s="8">
        <f>IF(OR(B225="",N(G225)=0),"",ABS(F225-G225)*E225)</f>
        <v/>
      </c>
      <c r="U225" s="8">
        <f>IF(OR(B225="",P225=""),"",IF(D225="Venda",-1,1)*((N(J225)*N(K225)+N(L225)*N(M225)+N(N225)*N(O225))-(N(J225)+N(L225)+N(N225))*F225)-N(Q225))</f>
        <v/>
      </c>
      <c r="V225" s="9">
        <f>IF(OR(B225="",P225=""),"",U225/S225)</f>
        <v/>
      </c>
      <c r="W225">
        <f>IF(OR(B225="",P225=""),"",NETWORKDAYS(C225,P225)-1)</f>
        <v/>
      </c>
      <c r="X225">
        <f>IF(B225="","",IF(P225="","Aberto","Fechado"))</f>
        <v/>
      </c>
    </row>
    <row r="226">
      <c r="C226" s="6" t="n"/>
      <c r="E226" s="7" t="n"/>
      <c r="F226" s="8" t="n"/>
      <c r="G226" s="8" t="n"/>
      <c r="H226" s="8" t="n"/>
      <c r="J226" s="7" t="n"/>
      <c r="K226" s="8" t="n"/>
      <c r="L226" s="7" t="n"/>
      <c r="M226" s="8" t="n"/>
      <c r="N226" s="7" t="n"/>
      <c r="O226" s="8" t="n"/>
      <c r="P226" s="6" t="n"/>
      <c r="Q226" s="8" t="n"/>
      <c r="S226" s="8">
        <f>IF(B226="","",E226*F226)</f>
        <v/>
      </c>
      <c r="T226" s="8">
        <f>IF(OR(B226="",N(G226)=0),"",ABS(F226-G226)*E226)</f>
        <v/>
      </c>
      <c r="U226" s="8">
        <f>IF(OR(B226="",P226=""),"",IF(D226="Venda",-1,1)*((N(J226)*N(K226)+N(L226)*N(M226)+N(N226)*N(O226))-(N(J226)+N(L226)+N(N226))*F226)-N(Q226))</f>
        <v/>
      </c>
      <c r="V226" s="9">
        <f>IF(OR(B226="",P226=""),"",U226/S226)</f>
        <v/>
      </c>
      <c r="W226">
        <f>IF(OR(B226="",P226=""),"",NETWORKDAYS(C226,P226)-1)</f>
        <v/>
      </c>
      <c r="X226">
        <f>IF(B226="","",IF(P226="","Aberto","Fechado"))</f>
        <v/>
      </c>
    </row>
    <row r="227">
      <c r="C227" s="6" t="n"/>
      <c r="E227" s="7" t="n"/>
      <c r="F227" s="8" t="n"/>
      <c r="G227" s="8" t="n"/>
      <c r="H227" s="8" t="n"/>
      <c r="J227" s="7" t="n"/>
      <c r="K227" s="8" t="n"/>
      <c r="L227" s="7" t="n"/>
      <c r="M227" s="8" t="n"/>
      <c r="N227" s="7" t="n"/>
      <c r="O227" s="8" t="n"/>
      <c r="P227" s="6" t="n"/>
      <c r="Q227" s="8" t="n"/>
      <c r="S227" s="8">
        <f>IF(B227="","",E227*F227)</f>
        <v/>
      </c>
      <c r="T227" s="8">
        <f>IF(OR(B227="",N(G227)=0),"",ABS(F227-G227)*E227)</f>
        <v/>
      </c>
      <c r="U227" s="8">
        <f>IF(OR(B227="",P227=""),"",IF(D227="Venda",-1,1)*((N(J227)*N(K227)+N(L227)*N(M227)+N(N227)*N(O227))-(N(J227)+N(L227)+N(N227))*F227)-N(Q227))</f>
        <v/>
      </c>
      <c r="V227" s="9">
        <f>IF(OR(B227="",P227=""),"",U227/S227)</f>
        <v/>
      </c>
      <c r="W227">
        <f>IF(OR(B227="",P227=""),"",NETWORKDAYS(C227,P227)-1)</f>
        <v/>
      </c>
      <c r="X227">
        <f>IF(B227="","",IF(P227="","Aberto","Fechado"))</f>
        <v/>
      </c>
    </row>
    <row r="228">
      <c r="C228" s="6" t="n"/>
      <c r="E228" s="7" t="n"/>
      <c r="F228" s="8" t="n"/>
      <c r="G228" s="8" t="n"/>
      <c r="H228" s="8" t="n"/>
      <c r="J228" s="7" t="n"/>
      <c r="K228" s="8" t="n"/>
      <c r="L228" s="7" t="n"/>
      <c r="M228" s="8" t="n"/>
      <c r="N228" s="7" t="n"/>
      <c r="O228" s="8" t="n"/>
      <c r="P228" s="6" t="n"/>
      <c r="Q228" s="8" t="n"/>
      <c r="S228" s="8">
        <f>IF(B228="","",E228*F228)</f>
        <v/>
      </c>
      <c r="T228" s="8">
        <f>IF(OR(B228="",N(G228)=0),"",ABS(F228-G228)*E228)</f>
        <v/>
      </c>
      <c r="U228" s="8">
        <f>IF(OR(B228="",P228=""),"",IF(D228="Venda",-1,1)*((N(J228)*N(K228)+N(L228)*N(M228)+N(N228)*N(O228))-(N(J228)+N(L228)+N(N228))*F228)-N(Q228))</f>
        <v/>
      </c>
      <c r="V228" s="9">
        <f>IF(OR(B228="",P228=""),"",U228/S228)</f>
        <v/>
      </c>
      <c r="W228">
        <f>IF(OR(B228="",P228=""),"",NETWORKDAYS(C228,P228)-1)</f>
        <v/>
      </c>
      <c r="X228">
        <f>IF(B228="","",IF(P228="","Aberto","Fechado"))</f>
        <v/>
      </c>
    </row>
    <row r="229">
      <c r="C229" s="6" t="n"/>
      <c r="E229" s="7" t="n"/>
      <c r="F229" s="8" t="n"/>
      <c r="G229" s="8" t="n"/>
      <c r="H229" s="8" t="n"/>
      <c r="J229" s="7" t="n"/>
      <c r="K229" s="8" t="n"/>
      <c r="L229" s="7" t="n"/>
      <c r="M229" s="8" t="n"/>
      <c r="N229" s="7" t="n"/>
      <c r="O229" s="8" t="n"/>
      <c r="P229" s="6" t="n"/>
      <c r="Q229" s="8" t="n"/>
      <c r="S229" s="8">
        <f>IF(B229="","",E229*F229)</f>
        <v/>
      </c>
      <c r="T229" s="8">
        <f>IF(OR(B229="",N(G229)=0),"",ABS(F229-G229)*E229)</f>
        <v/>
      </c>
      <c r="U229" s="8">
        <f>IF(OR(B229="",P229=""),"",IF(D229="Venda",-1,1)*((N(J229)*N(K229)+N(L229)*N(M229)+N(N229)*N(O229))-(N(J229)+N(L229)+N(N229))*F229)-N(Q229))</f>
        <v/>
      </c>
      <c r="V229" s="9">
        <f>IF(OR(B229="",P229=""),"",U229/S229)</f>
        <v/>
      </c>
      <c r="W229">
        <f>IF(OR(B229="",P229=""),"",NETWORKDAYS(C229,P229)-1)</f>
        <v/>
      </c>
      <c r="X229">
        <f>IF(B229="","",IF(P229="","Aberto","Fechado"))</f>
        <v/>
      </c>
    </row>
    <row r="230">
      <c r="C230" s="6" t="n"/>
      <c r="E230" s="7" t="n"/>
      <c r="F230" s="8" t="n"/>
      <c r="G230" s="8" t="n"/>
      <c r="H230" s="8" t="n"/>
      <c r="J230" s="7" t="n"/>
      <c r="K230" s="8" t="n"/>
      <c r="L230" s="7" t="n"/>
      <c r="M230" s="8" t="n"/>
      <c r="N230" s="7" t="n"/>
      <c r="O230" s="8" t="n"/>
      <c r="P230" s="6" t="n"/>
      <c r="Q230" s="8" t="n"/>
      <c r="S230" s="8">
        <f>IF(B230="","",E230*F230)</f>
        <v/>
      </c>
      <c r="T230" s="8">
        <f>IF(OR(B230="",N(G230)=0),"",ABS(F230-G230)*E230)</f>
        <v/>
      </c>
      <c r="U230" s="8">
        <f>IF(OR(B230="",P230=""),"",IF(D230="Venda",-1,1)*((N(J230)*N(K230)+N(L230)*N(M230)+N(N230)*N(O230))-(N(J230)+N(L230)+N(N230))*F230)-N(Q230))</f>
        <v/>
      </c>
      <c r="V230" s="9">
        <f>IF(OR(B230="",P230=""),"",U230/S230)</f>
        <v/>
      </c>
      <c r="W230">
        <f>IF(OR(B230="",P230=""),"",NETWORKDAYS(C230,P230)-1)</f>
        <v/>
      </c>
      <c r="X230">
        <f>IF(B230="","",IF(P230="","Aberto","Fechado"))</f>
        <v/>
      </c>
    </row>
    <row r="231">
      <c r="C231" s="6" t="n"/>
      <c r="E231" s="7" t="n"/>
      <c r="F231" s="8" t="n"/>
      <c r="G231" s="8" t="n"/>
      <c r="H231" s="8" t="n"/>
      <c r="J231" s="7" t="n"/>
      <c r="K231" s="8" t="n"/>
      <c r="L231" s="7" t="n"/>
      <c r="M231" s="8" t="n"/>
      <c r="N231" s="7" t="n"/>
      <c r="O231" s="8" t="n"/>
      <c r="P231" s="6" t="n"/>
      <c r="Q231" s="8" t="n"/>
      <c r="S231" s="8">
        <f>IF(B231="","",E231*F231)</f>
        <v/>
      </c>
      <c r="T231" s="8">
        <f>IF(OR(B231="",N(G231)=0),"",ABS(F231-G231)*E231)</f>
        <v/>
      </c>
      <c r="U231" s="8">
        <f>IF(OR(B231="",P231=""),"",IF(D231="Venda",-1,1)*((N(J231)*N(K231)+N(L231)*N(M231)+N(N231)*N(O231))-(N(J231)+N(L231)+N(N231))*F231)-N(Q231))</f>
        <v/>
      </c>
      <c r="V231" s="9">
        <f>IF(OR(B231="",P231=""),"",U231/S231)</f>
        <v/>
      </c>
      <c r="W231">
        <f>IF(OR(B231="",P231=""),"",NETWORKDAYS(C231,P231)-1)</f>
        <v/>
      </c>
      <c r="X231">
        <f>IF(B231="","",IF(P231="","Aberto","Fechado"))</f>
        <v/>
      </c>
    </row>
    <row r="232">
      <c r="C232" s="6" t="n"/>
      <c r="E232" s="7" t="n"/>
      <c r="F232" s="8" t="n"/>
      <c r="G232" s="8" t="n"/>
      <c r="H232" s="8" t="n"/>
      <c r="J232" s="7" t="n"/>
      <c r="K232" s="8" t="n"/>
      <c r="L232" s="7" t="n"/>
      <c r="M232" s="8" t="n"/>
      <c r="N232" s="7" t="n"/>
      <c r="O232" s="8" t="n"/>
      <c r="P232" s="6" t="n"/>
      <c r="Q232" s="8" t="n"/>
      <c r="S232" s="8">
        <f>IF(B232="","",E232*F232)</f>
        <v/>
      </c>
      <c r="T232" s="8">
        <f>IF(OR(B232="",N(G232)=0),"",ABS(F232-G232)*E232)</f>
        <v/>
      </c>
      <c r="U232" s="8">
        <f>IF(OR(B232="",P232=""),"",IF(D232="Venda",-1,1)*((N(J232)*N(K232)+N(L232)*N(M232)+N(N232)*N(O232))-(N(J232)+N(L232)+N(N232))*F232)-N(Q232))</f>
        <v/>
      </c>
      <c r="V232" s="9">
        <f>IF(OR(B232="",P232=""),"",U232/S232)</f>
        <v/>
      </c>
      <c r="W232">
        <f>IF(OR(B232="",P232=""),"",NETWORKDAYS(C232,P232)-1)</f>
        <v/>
      </c>
      <c r="X232">
        <f>IF(B232="","",IF(P232="","Aberto","Fechado"))</f>
        <v/>
      </c>
    </row>
    <row r="233">
      <c r="C233" s="6" t="n"/>
      <c r="E233" s="7" t="n"/>
      <c r="F233" s="8" t="n"/>
      <c r="G233" s="8" t="n"/>
      <c r="H233" s="8" t="n"/>
      <c r="J233" s="7" t="n"/>
      <c r="K233" s="8" t="n"/>
      <c r="L233" s="7" t="n"/>
      <c r="M233" s="8" t="n"/>
      <c r="N233" s="7" t="n"/>
      <c r="O233" s="8" t="n"/>
      <c r="P233" s="6" t="n"/>
      <c r="Q233" s="8" t="n"/>
      <c r="S233" s="8">
        <f>IF(B233="","",E233*F233)</f>
        <v/>
      </c>
      <c r="T233" s="8">
        <f>IF(OR(B233="",N(G233)=0),"",ABS(F233-G233)*E233)</f>
        <v/>
      </c>
      <c r="U233" s="8">
        <f>IF(OR(B233="",P233=""),"",IF(D233="Venda",-1,1)*((N(J233)*N(K233)+N(L233)*N(M233)+N(N233)*N(O233))-(N(J233)+N(L233)+N(N233))*F233)-N(Q233))</f>
        <v/>
      </c>
      <c r="V233" s="9">
        <f>IF(OR(B233="",P233=""),"",U233/S233)</f>
        <v/>
      </c>
      <c r="W233">
        <f>IF(OR(B233="",P233=""),"",NETWORKDAYS(C233,P233)-1)</f>
        <v/>
      </c>
      <c r="X233">
        <f>IF(B233="","",IF(P233="","Aberto","Fechado"))</f>
        <v/>
      </c>
    </row>
    <row r="234">
      <c r="C234" s="6" t="n"/>
      <c r="E234" s="7" t="n"/>
      <c r="F234" s="8" t="n"/>
      <c r="G234" s="8" t="n"/>
      <c r="H234" s="8" t="n"/>
      <c r="J234" s="7" t="n"/>
      <c r="K234" s="8" t="n"/>
      <c r="L234" s="7" t="n"/>
      <c r="M234" s="8" t="n"/>
      <c r="N234" s="7" t="n"/>
      <c r="O234" s="8" t="n"/>
      <c r="P234" s="6" t="n"/>
      <c r="Q234" s="8" t="n"/>
      <c r="S234" s="8">
        <f>IF(B234="","",E234*F234)</f>
        <v/>
      </c>
      <c r="T234" s="8">
        <f>IF(OR(B234="",N(G234)=0),"",ABS(F234-G234)*E234)</f>
        <v/>
      </c>
      <c r="U234" s="8">
        <f>IF(OR(B234="",P234=""),"",IF(D234="Venda",-1,1)*((N(J234)*N(K234)+N(L234)*N(M234)+N(N234)*N(O234))-(N(J234)+N(L234)+N(N234))*F234)-N(Q234))</f>
        <v/>
      </c>
      <c r="V234" s="9">
        <f>IF(OR(B234="",P234=""),"",U234/S234)</f>
        <v/>
      </c>
      <c r="W234">
        <f>IF(OR(B234="",P234=""),"",NETWORKDAYS(C234,P234)-1)</f>
        <v/>
      </c>
      <c r="X234">
        <f>IF(B234="","",IF(P234="","Aberto","Fechado"))</f>
        <v/>
      </c>
    </row>
    <row r="235">
      <c r="C235" s="6" t="n"/>
      <c r="E235" s="7" t="n"/>
      <c r="F235" s="8" t="n"/>
      <c r="G235" s="8" t="n"/>
      <c r="H235" s="8" t="n"/>
      <c r="J235" s="7" t="n"/>
      <c r="K235" s="8" t="n"/>
      <c r="L235" s="7" t="n"/>
      <c r="M235" s="8" t="n"/>
      <c r="N235" s="7" t="n"/>
      <c r="O235" s="8" t="n"/>
      <c r="P235" s="6" t="n"/>
      <c r="Q235" s="8" t="n"/>
      <c r="S235" s="8">
        <f>IF(B235="","",E235*F235)</f>
        <v/>
      </c>
      <c r="T235" s="8">
        <f>IF(OR(B235="",N(G235)=0),"",ABS(F235-G235)*E235)</f>
        <v/>
      </c>
      <c r="U235" s="8">
        <f>IF(OR(B235="",P235=""),"",IF(D235="Venda",-1,1)*((N(J235)*N(K235)+N(L235)*N(M235)+N(N235)*N(O235))-(N(J235)+N(L235)+N(N235))*F235)-N(Q235))</f>
        <v/>
      </c>
      <c r="V235" s="9">
        <f>IF(OR(B235="",P235=""),"",U235/S235)</f>
        <v/>
      </c>
      <c r="W235">
        <f>IF(OR(B235="",P235=""),"",NETWORKDAYS(C235,P235)-1)</f>
        <v/>
      </c>
      <c r="X235">
        <f>IF(B235="","",IF(P235="","Aberto","Fechado"))</f>
        <v/>
      </c>
    </row>
    <row r="236">
      <c r="C236" s="6" t="n"/>
      <c r="E236" s="7" t="n"/>
      <c r="F236" s="8" t="n"/>
      <c r="G236" s="8" t="n"/>
      <c r="H236" s="8" t="n"/>
      <c r="J236" s="7" t="n"/>
      <c r="K236" s="8" t="n"/>
      <c r="L236" s="7" t="n"/>
      <c r="M236" s="8" t="n"/>
      <c r="N236" s="7" t="n"/>
      <c r="O236" s="8" t="n"/>
      <c r="P236" s="6" t="n"/>
      <c r="Q236" s="8" t="n"/>
      <c r="S236" s="8">
        <f>IF(B236="","",E236*F236)</f>
        <v/>
      </c>
      <c r="T236" s="8">
        <f>IF(OR(B236="",N(G236)=0),"",ABS(F236-G236)*E236)</f>
        <v/>
      </c>
      <c r="U236" s="8">
        <f>IF(OR(B236="",P236=""),"",IF(D236="Venda",-1,1)*((N(J236)*N(K236)+N(L236)*N(M236)+N(N236)*N(O236))-(N(J236)+N(L236)+N(N236))*F236)-N(Q236))</f>
        <v/>
      </c>
      <c r="V236" s="9">
        <f>IF(OR(B236="",P236=""),"",U236/S236)</f>
        <v/>
      </c>
      <c r="W236">
        <f>IF(OR(B236="",P236=""),"",NETWORKDAYS(C236,P236)-1)</f>
        <v/>
      </c>
      <c r="X236">
        <f>IF(B236="","",IF(P236="","Aberto","Fechado"))</f>
        <v/>
      </c>
    </row>
    <row r="237">
      <c r="C237" s="6" t="n"/>
      <c r="E237" s="7" t="n"/>
      <c r="F237" s="8" t="n"/>
      <c r="G237" s="8" t="n"/>
      <c r="H237" s="8" t="n"/>
      <c r="J237" s="7" t="n"/>
      <c r="K237" s="8" t="n"/>
      <c r="L237" s="7" t="n"/>
      <c r="M237" s="8" t="n"/>
      <c r="N237" s="7" t="n"/>
      <c r="O237" s="8" t="n"/>
      <c r="P237" s="6" t="n"/>
      <c r="Q237" s="8" t="n"/>
      <c r="S237" s="8">
        <f>IF(B237="","",E237*F237)</f>
        <v/>
      </c>
      <c r="T237" s="8">
        <f>IF(OR(B237="",N(G237)=0),"",ABS(F237-G237)*E237)</f>
        <v/>
      </c>
      <c r="U237" s="8">
        <f>IF(OR(B237="",P237=""),"",IF(D237="Venda",-1,1)*((N(J237)*N(K237)+N(L237)*N(M237)+N(N237)*N(O237))-(N(J237)+N(L237)+N(N237))*F237)-N(Q237))</f>
        <v/>
      </c>
      <c r="V237" s="9">
        <f>IF(OR(B237="",P237=""),"",U237/S237)</f>
        <v/>
      </c>
      <c r="W237">
        <f>IF(OR(B237="",P237=""),"",NETWORKDAYS(C237,P237)-1)</f>
        <v/>
      </c>
      <c r="X237">
        <f>IF(B237="","",IF(P237="","Aberto","Fechado"))</f>
        <v/>
      </c>
    </row>
    <row r="238">
      <c r="C238" s="6" t="n"/>
      <c r="E238" s="7" t="n"/>
      <c r="F238" s="8" t="n"/>
      <c r="G238" s="8" t="n"/>
      <c r="H238" s="8" t="n"/>
      <c r="J238" s="7" t="n"/>
      <c r="K238" s="8" t="n"/>
      <c r="L238" s="7" t="n"/>
      <c r="M238" s="8" t="n"/>
      <c r="N238" s="7" t="n"/>
      <c r="O238" s="8" t="n"/>
      <c r="P238" s="6" t="n"/>
      <c r="Q238" s="8" t="n"/>
      <c r="S238" s="8">
        <f>IF(B238="","",E238*F238)</f>
        <v/>
      </c>
      <c r="T238" s="8">
        <f>IF(OR(B238="",N(G238)=0),"",ABS(F238-G238)*E238)</f>
        <v/>
      </c>
      <c r="U238" s="8">
        <f>IF(OR(B238="",P238=""),"",IF(D238="Venda",-1,1)*((N(J238)*N(K238)+N(L238)*N(M238)+N(N238)*N(O238))-(N(J238)+N(L238)+N(N238))*F238)-N(Q238))</f>
        <v/>
      </c>
      <c r="V238" s="9">
        <f>IF(OR(B238="",P238=""),"",U238/S238)</f>
        <v/>
      </c>
      <c r="W238">
        <f>IF(OR(B238="",P238=""),"",NETWORKDAYS(C238,P238)-1)</f>
        <v/>
      </c>
      <c r="X238">
        <f>IF(B238="","",IF(P238="","Aberto","Fechado"))</f>
        <v/>
      </c>
    </row>
    <row r="239">
      <c r="C239" s="6" t="n"/>
      <c r="E239" s="7" t="n"/>
      <c r="F239" s="8" t="n"/>
      <c r="G239" s="8" t="n"/>
      <c r="H239" s="8" t="n"/>
      <c r="J239" s="7" t="n"/>
      <c r="K239" s="8" t="n"/>
      <c r="L239" s="7" t="n"/>
      <c r="M239" s="8" t="n"/>
      <c r="N239" s="7" t="n"/>
      <c r="O239" s="8" t="n"/>
      <c r="P239" s="6" t="n"/>
      <c r="Q239" s="8" t="n"/>
      <c r="S239" s="8">
        <f>IF(B239="","",E239*F239)</f>
        <v/>
      </c>
      <c r="T239" s="8">
        <f>IF(OR(B239="",N(G239)=0),"",ABS(F239-G239)*E239)</f>
        <v/>
      </c>
      <c r="U239" s="8">
        <f>IF(OR(B239="",P239=""),"",IF(D239="Venda",-1,1)*((N(J239)*N(K239)+N(L239)*N(M239)+N(N239)*N(O239))-(N(J239)+N(L239)+N(N239))*F239)-N(Q239))</f>
        <v/>
      </c>
      <c r="V239" s="9">
        <f>IF(OR(B239="",P239=""),"",U239/S239)</f>
        <v/>
      </c>
      <c r="W239">
        <f>IF(OR(B239="",P239=""),"",NETWORKDAYS(C239,P239)-1)</f>
        <v/>
      </c>
      <c r="X239">
        <f>IF(B239="","",IF(P239="","Aberto","Fechado"))</f>
        <v/>
      </c>
    </row>
    <row r="240">
      <c r="C240" s="6" t="n"/>
      <c r="E240" s="7" t="n"/>
      <c r="F240" s="8" t="n"/>
      <c r="G240" s="8" t="n"/>
      <c r="H240" s="8" t="n"/>
      <c r="J240" s="7" t="n"/>
      <c r="K240" s="8" t="n"/>
      <c r="L240" s="7" t="n"/>
      <c r="M240" s="8" t="n"/>
      <c r="N240" s="7" t="n"/>
      <c r="O240" s="8" t="n"/>
      <c r="P240" s="6" t="n"/>
      <c r="Q240" s="8" t="n"/>
      <c r="S240" s="8">
        <f>IF(B240="","",E240*F240)</f>
        <v/>
      </c>
      <c r="T240" s="8">
        <f>IF(OR(B240="",N(G240)=0),"",ABS(F240-G240)*E240)</f>
        <v/>
      </c>
      <c r="U240" s="8">
        <f>IF(OR(B240="",P240=""),"",IF(D240="Venda",-1,1)*((N(J240)*N(K240)+N(L240)*N(M240)+N(N240)*N(O240))-(N(J240)+N(L240)+N(N240))*F240)-N(Q240))</f>
        <v/>
      </c>
      <c r="V240" s="9">
        <f>IF(OR(B240="",P240=""),"",U240/S240)</f>
        <v/>
      </c>
      <c r="W240">
        <f>IF(OR(B240="",P240=""),"",NETWORKDAYS(C240,P240)-1)</f>
        <v/>
      </c>
      <c r="X240">
        <f>IF(B240="","",IF(P240="","Aberto","Fechado"))</f>
        <v/>
      </c>
    </row>
    <row r="241">
      <c r="C241" s="6" t="n"/>
      <c r="E241" s="7" t="n"/>
      <c r="F241" s="8" t="n"/>
      <c r="G241" s="8" t="n"/>
      <c r="H241" s="8" t="n"/>
      <c r="J241" s="7" t="n"/>
      <c r="K241" s="8" t="n"/>
      <c r="L241" s="7" t="n"/>
      <c r="M241" s="8" t="n"/>
      <c r="N241" s="7" t="n"/>
      <c r="O241" s="8" t="n"/>
      <c r="P241" s="6" t="n"/>
      <c r="Q241" s="8" t="n"/>
      <c r="S241" s="8">
        <f>IF(B241="","",E241*F241)</f>
        <v/>
      </c>
      <c r="T241" s="8">
        <f>IF(OR(B241="",N(G241)=0),"",ABS(F241-G241)*E241)</f>
        <v/>
      </c>
      <c r="U241" s="8">
        <f>IF(OR(B241="",P241=""),"",IF(D241="Venda",-1,1)*((N(J241)*N(K241)+N(L241)*N(M241)+N(N241)*N(O241))-(N(J241)+N(L241)+N(N241))*F241)-N(Q241))</f>
        <v/>
      </c>
      <c r="V241" s="9">
        <f>IF(OR(B241="",P241=""),"",U241/S241)</f>
        <v/>
      </c>
      <c r="W241">
        <f>IF(OR(B241="",P241=""),"",NETWORKDAYS(C241,P241)-1)</f>
        <v/>
      </c>
      <c r="X241">
        <f>IF(B241="","",IF(P241="","Aberto","Fechado"))</f>
        <v/>
      </c>
    </row>
    <row r="242">
      <c r="C242" s="6" t="n"/>
      <c r="E242" s="7" t="n"/>
      <c r="F242" s="8" t="n"/>
      <c r="G242" s="8" t="n"/>
      <c r="H242" s="8" t="n"/>
      <c r="J242" s="7" t="n"/>
      <c r="K242" s="8" t="n"/>
      <c r="L242" s="7" t="n"/>
      <c r="M242" s="8" t="n"/>
      <c r="N242" s="7" t="n"/>
      <c r="O242" s="8" t="n"/>
      <c r="P242" s="6" t="n"/>
      <c r="Q242" s="8" t="n"/>
      <c r="S242" s="8">
        <f>IF(B242="","",E242*F242)</f>
        <v/>
      </c>
      <c r="T242" s="8">
        <f>IF(OR(B242="",N(G242)=0),"",ABS(F242-G242)*E242)</f>
        <v/>
      </c>
      <c r="U242" s="8">
        <f>IF(OR(B242="",P242=""),"",IF(D242="Venda",-1,1)*((N(J242)*N(K242)+N(L242)*N(M242)+N(N242)*N(O242))-(N(J242)+N(L242)+N(N242))*F242)-N(Q242))</f>
        <v/>
      </c>
      <c r="V242" s="9">
        <f>IF(OR(B242="",P242=""),"",U242/S242)</f>
        <v/>
      </c>
      <c r="W242">
        <f>IF(OR(B242="",P242=""),"",NETWORKDAYS(C242,P242)-1)</f>
        <v/>
      </c>
      <c r="X242">
        <f>IF(B242="","",IF(P242="","Aberto","Fechado"))</f>
        <v/>
      </c>
    </row>
    <row r="243">
      <c r="C243" s="6" t="n"/>
      <c r="E243" s="7" t="n"/>
      <c r="F243" s="8" t="n"/>
      <c r="G243" s="8" t="n"/>
      <c r="H243" s="8" t="n"/>
      <c r="J243" s="7" t="n"/>
      <c r="K243" s="8" t="n"/>
      <c r="L243" s="7" t="n"/>
      <c r="M243" s="8" t="n"/>
      <c r="N243" s="7" t="n"/>
      <c r="O243" s="8" t="n"/>
      <c r="P243" s="6" t="n"/>
      <c r="Q243" s="8" t="n"/>
      <c r="S243" s="8">
        <f>IF(B243="","",E243*F243)</f>
        <v/>
      </c>
      <c r="T243" s="8">
        <f>IF(OR(B243="",N(G243)=0),"",ABS(F243-G243)*E243)</f>
        <v/>
      </c>
      <c r="U243" s="8">
        <f>IF(OR(B243="",P243=""),"",IF(D243="Venda",-1,1)*((N(J243)*N(K243)+N(L243)*N(M243)+N(N243)*N(O243))-(N(J243)+N(L243)+N(N243))*F243)-N(Q243))</f>
        <v/>
      </c>
      <c r="V243" s="9">
        <f>IF(OR(B243="",P243=""),"",U243/S243)</f>
        <v/>
      </c>
      <c r="W243">
        <f>IF(OR(B243="",P243=""),"",NETWORKDAYS(C243,P243)-1)</f>
        <v/>
      </c>
      <c r="X243">
        <f>IF(B243="","",IF(P243="","Aberto","Fechado"))</f>
        <v/>
      </c>
    </row>
    <row r="244">
      <c r="C244" s="6" t="n"/>
      <c r="E244" s="7" t="n"/>
      <c r="F244" s="8" t="n"/>
      <c r="G244" s="8" t="n"/>
      <c r="H244" s="8" t="n"/>
      <c r="J244" s="7" t="n"/>
      <c r="K244" s="8" t="n"/>
      <c r="L244" s="7" t="n"/>
      <c r="M244" s="8" t="n"/>
      <c r="N244" s="7" t="n"/>
      <c r="O244" s="8" t="n"/>
      <c r="P244" s="6" t="n"/>
      <c r="Q244" s="8" t="n"/>
      <c r="S244" s="8">
        <f>IF(B244="","",E244*F244)</f>
        <v/>
      </c>
      <c r="T244" s="8">
        <f>IF(OR(B244="",N(G244)=0),"",ABS(F244-G244)*E244)</f>
        <v/>
      </c>
      <c r="U244" s="8">
        <f>IF(OR(B244="",P244=""),"",IF(D244="Venda",-1,1)*((N(J244)*N(K244)+N(L244)*N(M244)+N(N244)*N(O244))-(N(J244)+N(L244)+N(N244))*F244)-N(Q244))</f>
        <v/>
      </c>
      <c r="V244" s="9">
        <f>IF(OR(B244="",P244=""),"",U244/S244)</f>
        <v/>
      </c>
      <c r="W244">
        <f>IF(OR(B244="",P244=""),"",NETWORKDAYS(C244,P244)-1)</f>
        <v/>
      </c>
      <c r="X244">
        <f>IF(B244="","",IF(P244="","Aberto","Fechado"))</f>
        <v/>
      </c>
    </row>
    <row r="245">
      <c r="C245" s="6" t="n"/>
      <c r="E245" s="7" t="n"/>
      <c r="F245" s="8" t="n"/>
      <c r="G245" s="8" t="n"/>
      <c r="H245" s="8" t="n"/>
      <c r="J245" s="7" t="n"/>
      <c r="K245" s="8" t="n"/>
      <c r="L245" s="7" t="n"/>
      <c r="M245" s="8" t="n"/>
      <c r="N245" s="7" t="n"/>
      <c r="O245" s="8" t="n"/>
      <c r="P245" s="6" t="n"/>
      <c r="Q245" s="8" t="n"/>
      <c r="S245" s="8">
        <f>IF(B245="","",E245*F245)</f>
        <v/>
      </c>
      <c r="T245" s="8">
        <f>IF(OR(B245="",N(G245)=0),"",ABS(F245-G245)*E245)</f>
        <v/>
      </c>
      <c r="U245" s="8">
        <f>IF(OR(B245="",P245=""),"",IF(D245="Venda",-1,1)*((N(J245)*N(K245)+N(L245)*N(M245)+N(N245)*N(O245))-(N(J245)+N(L245)+N(N245))*F245)-N(Q245))</f>
        <v/>
      </c>
      <c r="V245" s="9">
        <f>IF(OR(B245="",P245=""),"",U245/S245)</f>
        <v/>
      </c>
      <c r="W245">
        <f>IF(OR(B245="",P245=""),"",NETWORKDAYS(C245,P245)-1)</f>
        <v/>
      </c>
      <c r="X245">
        <f>IF(B245="","",IF(P245="","Aberto","Fechado"))</f>
        <v/>
      </c>
    </row>
    <row r="246">
      <c r="C246" s="6" t="n"/>
      <c r="E246" s="7" t="n"/>
      <c r="F246" s="8" t="n"/>
      <c r="G246" s="8" t="n"/>
      <c r="H246" s="8" t="n"/>
      <c r="J246" s="7" t="n"/>
      <c r="K246" s="8" t="n"/>
      <c r="L246" s="7" t="n"/>
      <c r="M246" s="8" t="n"/>
      <c r="N246" s="7" t="n"/>
      <c r="O246" s="8" t="n"/>
      <c r="P246" s="6" t="n"/>
      <c r="Q246" s="8" t="n"/>
      <c r="S246" s="8">
        <f>IF(B246="","",E246*F246)</f>
        <v/>
      </c>
      <c r="T246" s="8">
        <f>IF(OR(B246="",N(G246)=0),"",ABS(F246-G246)*E246)</f>
        <v/>
      </c>
      <c r="U246" s="8">
        <f>IF(OR(B246="",P246=""),"",IF(D246="Venda",-1,1)*((N(J246)*N(K246)+N(L246)*N(M246)+N(N246)*N(O246))-(N(J246)+N(L246)+N(N246))*F246)-N(Q246))</f>
        <v/>
      </c>
      <c r="V246" s="9">
        <f>IF(OR(B246="",P246=""),"",U246/S246)</f>
        <v/>
      </c>
      <c r="W246">
        <f>IF(OR(B246="",P246=""),"",NETWORKDAYS(C246,P246)-1)</f>
        <v/>
      </c>
      <c r="X246">
        <f>IF(B246="","",IF(P246="","Aberto","Fechado"))</f>
        <v/>
      </c>
    </row>
    <row r="247">
      <c r="C247" s="6" t="n"/>
      <c r="E247" s="7" t="n"/>
      <c r="F247" s="8" t="n"/>
      <c r="G247" s="8" t="n"/>
      <c r="H247" s="8" t="n"/>
      <c r="J247" s="7" t="n"/>
      <c r="K247" s="8" t="n"/>
      <c r="L247" s="7" t="n"/>
      <c r="M247" s="8" t="n"/>
      <c r="N247" s="7" t="n"/>
      <c r="O247" s="8" t="n"/>
      <c r="P247" s="6" t="n"/>
      <c r="Q247" s="8" t="n"/>
      <c r="S247" s="8">
        <f>IF(B247="","",E247*F247)</f>
        <v/>
      </c>
      <c r="T247" s="8">
        <f>IF(OR(B247="",N(G247)=0),"",ABS(F247-G247)*E247)</f>
        <v/>
      </c>
      <c r="U247" s="8">
        <f>IF(OR(B247="",P247=""),"",IF(D247="Venda",-1,1)*((N(J247)*N(K247)+N(L247)*N(M247)+N(N247)*N(O247))-(N(J247)+N(L247)+N(N247))*F247)-N(Q247))</f>
        <v/>
      </c>
      <c r="V247" s="9">
        <f>IF(OR(B247="",P247=""),"",U247/S247)</f>
        <v/>
      </c>
      <c r="W247">
        <f>IF(OR(B247="",P247=""),"",NETWORKDAYS(C247,P247)-1)</f>
        <v/>
      </c>
      <c r="X247">
        <f>IF(B247="","",IF(P247="","Aberto","Fechado"))</f>
        <v/>
      </c>
    </row>
    <row r="248">
      <c r="C248" s="6" t="n"/>
      <c r="E248" s="7" t="n"/>
      <c r="F248" s="8" t="n"/>
      <c r="G248" s="8" t="n"/>
      <c r="H248" s="8" t="n"/>
      <c r="J248" s="7" t="n"/>
      <c r="K248" s="8" t="n"/>
      <c r="L248" s="7" t="n"/>
      <c r="M248" s="8" t="n"/>
      <c r="N248" s="7" t="n"/>
      <c r="O248" s="8" t="n"/>
      <c r="P248" s="6" t="n"/>
      <c r="Q248" s="8" t="n"/>
      <c r="S248" s="8">
        <f>IF(B248="","",E248*F248)</f>
        <v/>
      </c>
      <c r="T248" s="8">
        <f>IF(OR(B248="",N(G248)=0),"",ABS(F248-G248)*E248)</f>
        <v/>
      </c>
      <c r="U248" s="8">
        <f>IF(OR(B248="",P248=""),"",IF(D248="Venda",-1,1)*((N(J248)*N(K248)+N(L248)*N(M248)+N(N248)*N(O248))-(N(J248)+N(L248)+N(N248))*F248)-N(Q248))</f>
        <v/>
      </c>
      <c r="V248" s="9">
        <f>IF(OR(B248="",P248=""),"",U248/S248)</f>
        <v/>
      </c>
      <c r="W248">
        <f>IF(OR(B248="",P248=""),"",NETWORKDAYS(C248,P248)-1)</f>
        <v/>
      </c>
      <c r="X248">
        <f>IF(B248="","",IF(P248="","Aberto","Fechado"))</f>
        <v/>
      </c>
    </row>
    <row r="249">
      <c r="C249" s="6" t="n"/>
      <c r="E249" s="7" t="n"/>
      <c r="F249" s="8" t="n"/>
      <c r="G249" s="8" t="n"/>
      <c r="H249" s="8" t="n"/>
      <c r="J249" s="7" t="n"/>
      <c r="K249" s="8" t="n"/>
      <c r="L249" s="7" t="n"/>
      <c r="M249" s="8" t="n"/>
      <c r="N249" s="7" t="n"/>
      <c r="O249" s="8" t="n"/>
      <c r="P249" s="6" t="n"/>
      <c r="Q249" s="8" t="n"/>
      <c r="S249" s="8">
        <f>IF(B249="","",E249*F249)</f>
        <v/>
      </c>
      <c r="T249" s="8">
        <f>IF(OR(B249="",N(G249)=0),"",ABS(F249-G249)*E249)</f>
        <v/>
      </c>
      <c r="U249" s="8">
        <f>IF(OR(B249="",P249=""),"",IF(D249="Venda",-1,1)*((N(J249)*N(K249)+N(L249)*N(M249)+N(N249)*N(O249))-(N(J249)+N(L249)+N(N249))*F249)-N(Q249))</f>
        <v/>
      </c>
      <c r="V249" s="9">
        <f>IF(OR(B249="",P249=""),"",U249/S249)</f>
        <v/>
      </c>
      <c r="W249">
        <f>IF(OR(B249="",P249=""),"",NETWORKDAYS(C249,P249)-1)</f>
        <v/>
      </c>
      <c r="X249">
        <f>IF(B249="","",IF(P249="","Aberto","Fechado"))</f>
        <v/>
      </c>
    </row>
    <row r="250">
      <c r="C250" s="6" t="n"/>
      <c r="E250" s="7" t="n"/>
      <c r="F250" s="8" t="n"/>
      <c r="G250" s="8" t="n"/>
      <c r="H250" s="8" t="n"/>
      <c r="J250" s="7" t="n"/>
      <c r="K250" s="8" t="n"/>
      <c r="L250" s="7" t="n"/>
      <c r="M250" s="8" t="n"/>
      <c r="N250" s="7" t="n"/>
      <c r="O250" s="8" t="n"/>
      <c r="P250" s="6" t="n"/>
      <c r="Q250" s="8" t="n"/>
      <c r="S250" s="8">
        <f>IF(B250="","",E250*F250)</f>
        <v/>
      </c>
      <c r="T250" s="8">
        <f>IF(OR(B250="",N(G250)=0),"",ABS(F250-G250)*E250)</f>
        <v/>
      </c>
      <c r="U250" s="8">
        <f>IF(OR(B250="",P250=""),"",IF(D250="Venda",-1,1)*((N(J250)*N(K250)+N(L250)*N(M250)+N(N250)*N(O250))-(N(J250)+N(L250)+N(N250))*F250)-N(Q250))</f>
        <v/>
      </c>
      <c r="V250" s="9">
        <f>IF(OR(B250="",P250=""),"",U250/S250)</f>
        <v/>
      </c>
      <c r="W250">
        <f>IF(OR(B250="",P250=""),"",NETWORKDAYS(C250,P250)-1)</f>
        <v/>
      </c>
      <c r="X250">
        <f>IF(B250="","",IF(P250="","Aberto","Fechado"))</f>
        <v/>
      </c>
    </row>
    <row r="251">
      <c r="C251" s="6" t="n"/>
      <c r="E251" s="7" t="n"/>
      <c r="F251" s="8" t="n"/>
      <c r="G251" s="8" t="n"/>
      <c r="H251" s="8" t="n"/>
      <c r="J251" s="7" t="n"/>
      <c r="K251" s="8" t="n"/>
      <c r="L251" s="7" t="n"/>
      <c r="M251" s="8" t="n"/>
      <c r="N251" s="7" t="n"/>
      <c r="O251" s="8" t="n"/>
      <c r="P251" s="6" t="n"/>
      <c r="Q251" s="8" t="n"/>
      <c r="S251" s="8">
        <f>IF(B251="","",E251*F251)</f>
        <v/>
      </c>
      <c r="T251" s="8">
        <f>IF(OR(B251="",N(G251)=0),"",ABS(F251-G251)*E251)</f>
        <v/>
      </c>
      <c r="U251" s="8">
        <f>IF(OR(B251="",P251=""),"",IF(D251="Venda",-1,1)*((N(J251)*N(K251)+N(L251)*N(M251)+N(N251)*N(O251))-(N(J251)+N(L251)+N(N251))*F251)-N(Q251))</f>
        <v/>
      </c>
      <c r="V251" s="9">
        <f>IF(OR(B251="",P251=""),"",U251/S251)</f>
        <v/>
      </c>
      <c r="W251">
        <f>IF(OR(B251="",P251=""),"",NETWORKDAYS(C251,P251)-1)</f>
        <v/>
      </c>
      <c r="X251">
        <f>IF(B251="","",IF(P251="","Aberto","Fechado"))</f>
        <v/>
      </c>
    </row>
    <row r="252">
      <c r="C252" s="6" t="n"/>
      <c r="E252" s="7" t="n"/>
      <c r="F252" s="8" t="n"/>
      <c r="G252" s="8" t="n"/>
      <c r="H252" s="8" t="n"/>
      <c r="J252" s="7" t="n"/>
      <c r="K252" s="8" t="n"/>
      <c r="L252" s="7" t="n"/>
      <c r="M252" s="8" t="n"/>
      <c r="N252" s="7" t="n"/>
      <c r="O252" s="8" t="n"/>
      <c r="P252" s="6" t="n"/>
      <c r="Q252" s="8" t="n"/>
      <c r="S252" s="8">
        <f>IF(B252="","",E252*F252)</f>
        <v/>
      </c>
      <c r="T252" s="8">
        <f>IF(OR(B252="",N(G252)=0),"",ABS(F252-G252)*E252)</f>
        <v/>
      </c>
      <c r="U252" s="8">
        <f>IF(OR(B252="",P252=""),"",IF(D252="Venda",-1,1)*((N(J252)*N(K252)+N(L252)*N(M252)+N(N252)*N(O252))-(N(J252)+N(L252)+N(N252))*F252)-N(Q252))</f>
        <v/>
      </c>
      <c r="V252" s="9">
        <f>IF(OR(B252="",P252=""),"",U252/S252)</f>
        <v/>
      </c>
      <c r="W252">
        <f>IF(OR(B252="",P252=""),"",NETWORKDAYS(C252,P252)-1)</f>
        <v/>
      </c>
      <c r="X252">
        <f>IF(B252="","",IF(P252="","Aberto","Fechado"))</f>
        <v/>
      </c>
    </row>
    <row r="253">
      <c r="C253" s="6" t="n"/>
      <c r="E253" s="7" t="n"/>
      <c r="F253" s="8" t="n"/>
      <c r="G253" s="8" t="n"/>
      <c r="H253" s="8" t="n"/>
      <c r="J253" s="7" t="n"/>
      <c r="K253" s="8" t="n"/>
      <c r="L253" s="7" t="n"/>
      <c r="M253" s="8" t="n"/>
      <c r="N253" s="7" t="n"/>
      <c r="O253" s="8" t="n"/>
      <c r="P253" s="6" t="n"/>
      <c r="Q253" s="8" t="n"/>
      <c r="S253" s="8">
        <f>IF(B253="","",E253*F253)</f>
        <v/>
      </c>
      <c r="T253" s="8">
        <f>IF(OR(B253="",N(G253)=0),"",ABS(F253-G253)*E253)</f>
        <v/>
      </c>
      <c r="U253" s="8">
        <f>IF(OR(B253="",P253=""),"",IF(D253="Venda",-1,1)*((N(J253)*N(K253)+N(L253)*N(M253)+N(N253)*N(O253))-(N(J253)+N(L253)+N(N253))*F253)-N(Q253))</f>
        <v/>
      </c>
      <c r="V253" s="9">
        <f>IF(OR(B253="",P253=""),"",U253/S253)</f>
        <v/>
      </c>
      <c r="W253">
        <f>IF(OR(B253="",P253=""),"",NETWORKDAYS(C253,P253)-1)</f>
        <v/>
      </c>
      <c r="X253">
        <f>IF(B253="","",IF(P253="","Aberto","Fechado"))</f>
        <v/>
      </c>
    </row>
    <row r="254">
      <c r="C254" s="6" t="n"/>
      <c r="E254" s="7" t="n"/>
      <c r="F254" s="8" t="n"/>
      <c r="G254" s="8" t="n"/>
      <c r="H254" s="8" t="n"/>
      <c r="J254" s="7" t="n"/>
      <c r="K254" s="8" t="n"/>
      <c r="L254" s="7" t="n"/>
      <c r="M254" s="8" t="n"/>
      <c r="N254" s="7" t="n"/>
      <c r="O254" s="8" t="n"/>
      <c r="P254" s="6" t="n"/>
      <c r="Q254" s="8" t="n"/>
      <c r="S254" s="8">
        <f>IF(B254="","",E254*F254)</f>
        <v/>
      </c>
      <c r="T254" s="8">
        <f>IF(OR(B254="",N(G254)=0),"",ABS(F254-G254)*E254)</f>
        <v/>
      </c>
      <c r="U254" s="8">
        <f>IF(OR(B254="",P254=""),"",IF(D254="Venda",-1,1)*((N(J254)*N(K254)+N(L254)*N(M254)+N(N254)*N(O254))-(N(J254)+N(L254)+N(N254))*F254)-N(Q254))</f>
        <v/>
      </c>
      <c r="V254" s="9">
        <f>IF(OR(B254="",P254=""),"",U254/S254)</f>
        <v/>
      </c>
      <c r="W254">
        <f>IF(OR(B254="",P254=""),"",NETWORKDAYS(C254,P254)-1)</f>
        <v/>
      </c>
      <c r="X254">
        <f>IF(B254="","",IF(P254="","Aberto","Fechado"))</f>
        <v/>
      </c>
    </row>
    <row r="255">
      <c r="C255" s="6" t="n"/>
      <c r="E255" s="7" t="n"/>
      <c r="F255" s="8" t="n"/>
      <c r="G255" s="8" t="n"/>
      <c r="H255" s="8" t="n"/>
      <c r="J255" s="7" t="n"/>
      <c r="K255" s="8" t="n"/>
      <c r="L255" s="7" t="n"/>
      <c r="M255" s="8" t="n"/>
      <c r="N255" s="7" t="n"/>
      <c r="O255" s="8" t="n"/>
      <c r="P255" s="6" t="n"/>
      <c r="Q255" s="8" t="n"/>
      <c r="S255" s="8">
        <f>IF(B255="","",E255*F255)</f>
        <v/>
      </c>
      <c r="T255" s="8">
        <f>IF(OR(B255="",N(G255)=0),"",ABS(F255-G255)*E255)</f>
        <v/>
      </c>
      <c r="U255" s="8">
        <f>IF(OR(B255="",P255=""),"",IF(D255="Venda",-1,1)*((N(J255)*N(K255)+N(L255)*N(M255)+N(N255)*N(O255))-(N(J255)+N(L255)+N(N255))*F255)-N(Q255))</f>
        <v/>
      </c>
      <c r="V255" s="9">
        <f>IF(OR(B255="",P255=""),"",U255/S255)</f>
        <v/>
      </c>
      <c r="W255">
        <f>IF(OR(B255="",P255=""),"",NETWORKDAYS(C255,P255)-1)</f>
        <v/>
      </c>
      <c r="X255">
        <f>IF(B255="","",IF(P255="","Aberto","Fechado"))</f>
        <v/>
      </c>
    </row>
    <row r="256">
      <c r="C256" s="6" t="n"/>
      <c r="E256" s="7" t="n"/>
      <c r="F256" s="8" t="n"/>
      <c r="G256" s="8" t="n"/>
      <c r="H256" s="8" t="n"/>
      <c r="J256" s="7" t="n"/>
      <c r="K256" s="8" t="n"/>
      <c r="L256" s="7" t="n"/>
      <c r="M256" s="8" t="n"/>
      <c r="N256" s="7" t="n"/>
      <c r="O256" s="8" t="n"/>
      <c r="P256" s="6" t="n"/>
      <c r="Q256" s="8" t="n"/>
      <c r="S256" s="8">
        <f>IF(B256="","",E256*F256)</f>
        <v/>
      </c>
      <c r="T256" s="8">
        <f>IF(OR(B256="",N(G256)=0),"",ABS(F256-G256)*E256)</f>
        <v/>
      </c>
      <c r="U256" s="8">
        <f>IF(OR(B256="",P256=""),"",IF(D256="Venda",-1,1)*((N(J256)*N(K256)+N(L256)*N(M256)+N(N256)*N(O256))-(N(J256)+N(L256)+N(N256))*F256)-N(Q256))</f>
        <v/>
      </c>
      <c r="V256" s="9">
        <f>IF(OR(B256="",P256=""),"",U256/S256)</f>
        <v/>
      </c>
      <c r="W256">
        <f>IF(OR(B256="",P256=""),"",NETWORKDAYS(C256,P256)-1)</f>
        <v/>
      </c>
      <c r="X256">
        <f>IF(B256="","",IF(P256="","Aberto","Fechado"))</f>
        <v/>
      </c>
    </row>
    <row r="257">
      <c r="C257" s="6" t="n"/>
      <c r="E257" s="7" t="n"/>
      <c r="F257" s="8" t="n"/>
      <c r="G257" s="8" t="n"/>
      <c r="H257" s="8" t="n"/>
      <c r="J257" s="7" t="n"/>
      <c r="K257" s="8" t="n"/>
      <c r="L257" s="7" t="n"/>
      <c r="M257" s="8" t="n"/>
      <c r="N257" s="7" t="n"/>
      <c r="O257" s="8" t="n"/>
      <c r="P257" s="6" t="n"/>
      <c r="Q257" s="8" t="n"/>
      <c r="S257" s="8">
        <f>IF(B257="","",E257*F257)</f>
        <v/>
      </c>
      <c r="T257" s="8">
        <f>IF(OR(B257="",N(G257)=0),"",ABS(F257-G257)*E257)</f>
        <v/>
      </c>
      <c r="U257" s="8">
        <f>IF(OR(B257="",P257=""),"",IF(D257="Venda",-1,1)*((N(J257)*N(K257)+N(L257)*N(M257)+N(N257)*N(O257))-(N(J257)+N(L257)+N(N257))*F257)-N(Q257))</f>
        <v/>
      </c>
      <c r="V257" s="9">
        <f>IF(OR(B257="",P257=""),"",U257/S257)</f>
        <v/>
      </c>
      <c r="W257">
        <f>IF(OR(B257="",P257=""),"",NETWORKDAYS(C257,P257)-1)</f>
        <v/>
      </c>
      <c r="X257">
        <f>IF(B257="","",IF(P257="","Aberto","Fechado"))</f>
        <v/>
      </c>
    </row>
    <row r="258">
      <c r="C258" s="6" t="n"/>
      <c r="E258" s="7" t="n"/>
      <c r="F258" s="8" t="n"/>
      <c r="G258" s="8" t="n"/>
      <c r="H258" s="8" t="n"/>
      <c r="J258" s="7" t="n"/>
      <c r="K258" s="8" t="n"/>
      <c r="L258" s="7" t="n"/>
      <c r="M258" s="8" t="n"/>
      <c r="N258" s="7" t="n"/>
      <c r="O258" s="8" t="n"/>
      <c r="P258" s="6" t="n"/>
      <c r="Q258" s="8" t="n"/>
      <c r="S258" s="8">
        <f>IF(B258="","",E258*F258)</f>
        <v/>
      </c>
      <c r="T258" s="8">
        <f>IF(OR(B258="",N(G258)=0),"",ABS(F258-G258)*E258)</f>
        <v/>
      </c>
      <c r="U258" s="8">
        <f>IF(OR(B258="",P258=""),"",IF(D258="Venda",-1,1)*((N(J258)*N(K258)+N(L258)*N(M258)+N(N258)*N(O258))-(N(J258)+N(L258)+N(N258))*F258)-N(Q258))</f>
        <v/>
      </c>
      <c r="V258" s="9">
        <f>IF(OR(B258="",P258=""),"",U258/S258)</f>
        <v/>
      </c>
      <c r="W258">
        <f>IF(OR(B258="",P258=""),"",NETWORKDAYS(C258,P258)-1)</f>
        <v/>
      </c>
      <c r="X258">
        <f>IF(B258="","",IF(P258="","Aberto","Fechado"))</f>
        <v/>
      </c>
    </row>
    <row r="259">
      <c r="C259" s="6" t="n"/>
      <c r="E259" s="7" t="n"/>
      <c r="F259" s="8" t="n"/>
      <c r="G259" s="8" t="n"/>
      <c r="H259" s="8" t="n"/>
      <c r="J259" s="7" t="n"/>
      <c r="K259" s="8" t="n"/>
      <c r="L259" s="7" t="n"/>
      <c r="M259" s="8" t="n"/>
      <c r="N259" s="7" t="n"/>
      <c r="O259" s="8" t="n"/>
      <c r="P259" s="6" t="n"/>
      <c r="Q259" s="8" t="n"/>
      <c r="S259" s="8">
        <f>IF(B259="","",E259*F259)</f>
        <v/>
      </c>
      <c r="T259" s="8">
        <f>IF(OR(B259="",N(G259)=0),"",ABS(F259-G259)*E259)</f>
        <v/>
      </c>
      <c r="U259" s="8">
        <f>IF(OR(B259="",P259=""),"",IF(D259="Venda",-1,1)*((N(J259)*N(K259)+N(L259)*N(M259)+N(N259)*N(O259))-(N(J259)+N(L259)+N(N259))*F259)-N(Q259))</f>
        <v/>
      </c>
      <c r="V259" s="9">
        <f>IF(OR(B259="",P259=""),"",U259/S259)</f>
        <v/>
      </c>
      <c r="W259">
        <f>IF(OR(B259="",P259=""),"",NETWORKDAYS(C259,P259)-1)</f>
        <v/>
      </c>
      <c r="X259">
        <f>IF(B259="","",IF(P259="","Aberto","Fechado"))</f>
        <v/>
      </c>
    </row>
    <row r="260">
      <c r="C260" s="6" t="n"/>
      <c r="E260" s="7" t="n"/>
      <c r="F260" s="8" t="n"/>
      <c r="G260" s="8" t="n"/>
      <c r="H260" s="8" t="n"/>
      <c r="J260" s="7" t="n"/>
      <c r="K260" s="8" t="n"/>
      <c r="L260" s="7" t="n"/>
      <c r="M260" s="8" t="n"/>
      <c r="N260" s="7" t="n"/>
      <c r="O260" s="8" t="n"/>
      <c r="P260" s="6" t="n"/>
      <c r="Q260" s="8" t="n"/>
      <c r="S260" s="8">
        <f>IF(B260="","",E260*F260)</f>
        <v/>
      </c>
      <c r="T260" s="8">
        <f>IF(OR(B260="",N(G260)=0),"",ABS(F260-G260)*E260)</f>
        <v/>
      </c>
      <c r="U260" s="8">
        <f>IF(OR(B260="",P260=""),"",IF(D260="Venda",-1,1)*((N(J260)*N(K260)+N(L260)*N(M260)+N(N260)*N(O260))-(N(J260)+N(L260)+N(N260))*F260)-N(Q260))</f>
        <v/>
      </c>
      <c r="V260" s="9">
        <f>IF(OR(B260="",P260=""),"",U260/S260)</f>
        <v/>
      </c>
      <c r="W260">
        <f>IF(OR(B260="",P260=""),"",NETWORKDAYS(C260,P260)-1)</f>
        <v/>
      </c>
      <c r="X260">
        <f>IF(B260="","",IF(P260="","Aberto","Fechado"))</f>
        <v/>
      </c>
    </row>
    <row r="261">
      <c r="C261" s="6" t="n"/>
      <c r="E261" s="7" t="n"/>
      <c r="F261" s="8" t="n"/>
      <c r="G261" s="8" t="n"/>
      <c r="H261" s="8" t="n"/>
      <c r="J261" s="7" t="n"/>
      <c r="K261" s="8" t="n"/>
      <c r="L261" s="7" t="n"/>
      <c r="M261" s="8" t="n"/>
      <c r="N261" s="7" t="n"/>
      <c r="O261" s="8" t="n"/>
      <c r="P261" s="6" t="n"/>
      <c r="Q261" s="8" t="n"/>
      <c r="S261" s="8">
        <f>IF(B261="","",E261*F261)</f>
        <v/>
      </c>
      <c r="T261" s="8">
        <f>IF(OR(B261="",N(G261)=0),"",ABS(F261-G261)*E261)</f>
        <v/>
      </c>
      <c r="U261" s="8">
        <f>IF(OR(B261="",P261=""),"",IF(D261="Venda",-1,1)*((N(J261)*N(K261)+N(L261)*N(M261)+N(N261)*N(O261))-(N(J261)+N(L261)+N(N261))*F261)-N(Q261))</f>
        <v/>
      </c>
      <c r="V261" s="9">
        <f>IF(OR(B261="",P261=""),"",U261/S261)</f>
        <v/>
      </c>
      <c r="W261">
        <f>IF(OR(B261="",P261=""),"",NETWORKDAYS(C261,P261)-1)</f>
        <v/>
      </c>
      <c r="X261">
        <f>IF(B261="","",IF(P261="","Aberto","Fechado"))</f>
        <v/>
      </c>
    </row>
    <row r="262">
      <c r="C262" s="6" t="n"/>
      <c r="E262" s="7" t="n"/>
      <c r="F262" s="8" t="n"/>
      <c r="G262" s="8" t="n"/>
      <c r="H262" s="8" t="n"/>
      <c r="J262" s="7" t="n"/>
      <c r="K262" s="8" t="n"/>
      <c r="L262" s="7" t="n"/>
      <c r="M262" s="8" t="n"/>
      <c r="N262" s="7" t="n"/>
      <c r="O262" s="8" t="n"/>
      <c r="P262" s="6" t="n"/>
      <c r="Q262" s="8" t="n"/>
      <c r="S262" s="8">
        <f>IF(B262="","",E262*F262)</f>
        <v/>
      </c>
      <c r="T262" s="8">
        <f>IF(OR(B262="",N(G262)=0),"",ABS(F262-G262)*E262)</f>
        <v/>
      </c>
      <c r="U262" s="8">
        <f>IF(OR(B262="",P262=""),"",IF(D262="Venda",-1,1)*((N(J262)*N(K262)+N(L262)*N(M262)+N(N262)*N(O262))-(N(J262)+N(L262)+N(N262))*F262)-N(Q262))</f>
        <v/>
      </c>
      <c r="V262" s="9">
        <f>IF(OR(B262="",P262=""),"",U262/S262)</f>
        <v/>
      </c>
      <c r="W262">
        <f>IF(OR(B262="",P262=""),"",NETWORKDAYS(C262,P262)-1)</f>
        <v/>
      </c>
      <c r="X262">
        <f>IF(B262="","",IF(P262="","Aberto","Fechado"))</f>
        <v/>
      </c>
    </row>
    <row r="263">
      <c r="C263" s="6" t="n"/>
      <c r="E263" s="7" t="n"/>
      <c r="F263" s="8" t="n"/>
      <c r="G263" s="8" t="n"/>
      <c r="H263" s="8" t="n"/>
      <c r="J263" s="7" t="n"/>
      <c r="K263" s="8" t="n"/>
      <c r="L263" s="7" t="n"/>
      <c r="M263" s="8" t="n"/>
      <c r="N263" s="7" t="n"/>
      <c r="O263" s="8" t="n"/>
      <c r="P263" s="6" t="n"/>
      <c r="Q263" s="8" t="n"/>
      <c r="S263" s="8">
        <f>IF(B263="","",E263*F263)</f>
        <v/>
      </c>
      <c r="T263" s="8">
        <f>IF(OR(B263="",N(G263)=0),"",ABS(F263-G263)*E263)</f>
        <v/>
      </c>
      <c r="U263" s="8">
        <f>IF(OR(B263="",P263=""),"",IF(D263="Venda",-1,1)*((N(J263)*N(K263)+N(L263)*N(M263)+N(N263)*N(O263))-(N(J263)+N(L263)+N(N263))*F263)-N(Q263))</f>
        <v/>
      </c>
      <c r="V263" s="9">
        <f>IF(OR(B263="",P263=""),"",U263/S263)</f>
        <v/>
      </c>
      <c r="W263">
        <f>IF(OR(B263="",P263=""),"",NETWORKDAYS(C263,P263)-1)</f>
        <v/>
      </c>
      <c r="X263">
        <f>IF(B263="","",IF(P263="","Aberto","Fechado"))</f>
        <v/>
      </c>
    </row>
    <row r="264">
      <c r="C264" s="6" t="n"/>
      <c r="E264" s="7" t="n"/>
      <c r="F264" s="8" t="n"/>
      <c r="G264" s="8" t="n"/>
      <c r="H264" s="8" t="n"/>
      <c r="J264" s="7" t="n"/>
      <c r="K264" s="8" t="n"/>
      <c r="L264" s="7" t="n"/>
      <c r="M264" s="8" t="n"/>
      <c r="N264" s="7" t="n"/>
      <c r="O264" s="8" t="n"/>
      <c r="P264" s="6" t="n"/>
      <c r="Q264" s="8" t="n"/>
      <c r="S264" s="8">
        <f>IF(B264="","",E264*F264)</f>
        <v/>
      </c>
      <c r="T264" s="8">
        <f>IF(OR(B264="",N(G264)=0),"",ABS(F264-G264)*E264)</f>
        <v/>
      </c>
      <c r="U264" s="8">
        <f>IF(OR(B264="",P264=""),"",IF(D264="Venda",-1,1)*((N(J264)*N(K264)+N(L264)*N(M264)+N(N264)*N(O264))-(N(J264)+N(L264)+N(N264))*F264)-N(Q264))</f>
        <v/>
      </c>
      <c r="V264" s="9">
        <f>IF(OR(B264="",P264=""),"",U264/S264)</f>
        <v/>
      </c>
      <c r="W264">
        <f>IF(OR(B264="",P264=""),"",NETWORKDAYS(C264,P264)-1)</f>
        <v/>
      </c>
      <c r="X264">
        <f>IF(B264="","",IF(P264="","Aberto","Fechado"))</f>
        <v/>
      </c>
    </row>
    <row r="265">
      <c r="C265" s="6" t="n"/>
      <c r="E265" s="7" t="n"/>
      <c r="F265" s="8" t="n"/>
      <c r="G265" s="8" t="n"/>
      <c r="H265" s="8" t="n"/>
      <c r="J265" s="7" t="n"/>
      <c r="K265" s="8" t="n"/>
      <c r="L265" s="7" t="n"/>
      <c r="M265" s="8" t="n"/>
      <c r="N265" s="7" t="n"/>
      <c r="O265" s="8" t="n"/>
      <c r="P265" s="6" t="n"/>
      <c r="Q265" s="8" t="n"/>
      <c r="S265" s="8">
        <f>IF(B265="","",E265*F265)</f>
        <v/>
      </c>
      <c r="T265" s="8">
        <f>IF(OR(B265="",N(G265)=0),"",ABS(F265-G265)*E265)</f>
        <v/>
      </c>
      <c r="U265" s="8">
        <f>IF(OR(B265="",P265=""),"",IF(D265="Venda",-1,1)*((N(J265)*N(K265)+N(L265)*N(M265)+N(N265)*N(O265))-(N(J265)+N(L265)+N(N265))*F265)-N(Q265))</f>
        <v/>
      </c>
      <c r="V265" s="9">
        <f>IF(OR(B265="",P265=""),"",U265/S265)</f>
        <v/>
      </c>
      <c r="W265">
        <f>IF(OR(B265="",P265=""),"",NETWORKDAYS(C265,P265)-1)</f>
        <v/>
      </c>
      <c r="X265">
        <f>IF(B265="","",IF(P265="","Aberto","Fechado"))</f>
        <v/>
      </c>
    </row>
    <row r="266">
      <c r="C266" s="6" t="n"/>
      <c r="E266" s="7" t="n"/>
      <c r="F266" s="8" t="n"/>
      <c r="G266" s="8" t="n"/>
      <c r="H266" s="8" t="n"/>
      <c r="J266" s="7" t="n"/>
      <c r="K266" s="8" t="n"/>
      <c r="L266" s="7" t="n"/>
      <c r="M266" s="8" t="n"/>
      <c r="N266" s="7" t="n"/>
      <c r="O266" s="8" t="n"/>
      <c r="P266" s="6" t="n"/>
      <c r="Q266" s="8" t="n"/>
      <c r="S266" s="8">
        <f>IF(B266="","",E266*F266)</f>
        <v/>
      </c>
      <c r="T266" s="8">
        <f>IF(OR(B266="",N(G266)=0),"",ABS(F266-G266)*E266)</f>
        <v/>
      </c>
      <c r="U266" s="8">
        <f>IF(OR(B266="",P266=""),"",IF(D266="Venda",-1,1)*((N(J266)*N(K266)+N(L266)*N(M266)+N(N266)*N(O266))-(N(J266)+N(L266)+N(N266))*F266)-N(Q266))</f>
        <v/>
      </c>
      <c r="V266" s="9">
        <f>IF(OR(B266="",P266=""),"",U266/S266)</f>
        <v/>
      </c>
      <c r="W266">
        <f>IF(OR(B266="",P266=""),"",NETWORKDAYS(C266,P266)-1)</f>
        <v/>
      </c>
      <c r="X266">
        <f>IF(B266="","",IF(P266="","Aberto","Fechado"))</f>
        <v/>
      </c>
    </row>
    <row r="267">
      <c r="C267" s="6" t="n"/>
      <c r="E267" s="7" t="n"/>
      <c r="F267" s="8" t="n"/>
      <c r="G267" s="8" t="n"/>
      <c r="H267" s="8" t="n"/>
      <c r="J267" s="7" t="n"/>
      <c r="K267" s="8" t="n"/>
      <c r="L267" s="7" t="n"/>
      <c r="M267" s="8" t="n"/>
      <c r="N267" s="7" t="n"/>
      <c r="O267" s="8" t="n"/>
      <c r="P267" s="6" t="n"/>
      <c r="Q267" s="8" t="n"/>
      <c r="S267" s="8">
        <f>IF(B267="","",E267*F267)</f>
        <v/>
      </c>
      <c r="T267" s="8">
        <f>IF(OR(B267="",N(G267)=0),"",ABS(F267-G267)*E267)</f>
        <v/>
      </c>
      <c r="U267" s="8">
        <f>IF(OR(B267="",P267=""),"",IF(D267="Venda",-1,1)*((N(J267)*N(K267)+N(L267)*N(M267)+N(N267)*N(O267))-(N(J267)+N(L267)+N(N267))*F267)-N(Q267))</f>
        <v/>
      </c>
      <c r="V267" s="9">
        <f>IF(OR(B267="",P267=""),"",U267/S267)</f>
        <v/>
      </c>
      <c r="W267">
        <f>IF(OR(B267="",P267=""),"",NETWORKDAYS(C267,P267)-1)</f>
        <v/>
      </c>
      <c r="X267">
        <f>IF(B267="","",IF(P267="","Aberto","Fechado"))</f>
        <v/>
      </c>
    </row>
    <row r="268">
      <c r="C268" s="6" t="n"/>
      <c r="E268" s="7" t="n"/>
      <c r="F268" s="8" t="n"/>
      <c r="G268" s="8" t="n"/>
      <c r="H268" s="8" t="n"/>
      <c r="J268" s="7" t="n"/>
      <c r="K268" s="8" t="n"/>
      <c r="L268" s="7" t="n"/>
      <c r="M268" s="8" t="n"/>
      <c r="N268" s="7" t="n"/>
      <c r="O268" s="8" t="n"/>
      <c r="P268" s="6" t="n"/>
      <c r="Q268" s="8" t="n"/>
      <c r="S268" s="8">
        <f>IF(B268="","",E268*F268)</f>
        <v/>
      </c>
      <c r="T268" s="8">
        <f>IF(OR(B268="",N(G268)=0),"",ABS(F268-G268)*E268)</f>
        <v/>
      </c>
      <c r="U268" s="8">
        <f>IF(OR(B268="",P268=""),"",IF(D268="Venda",-1,1)*((N(J268)*N(K268)+N(L268)*N(M268)+N(N268)*N(O268))-(N(J268)+N(L268)+N(N268))*F268)-N(Q268))</f>
        <v/>
      </c>
      <c r="V268" s="9">
        <f>IF(OR(B268="",P268=""),"",U268/S268)</f>
        <v/>
      </c>
      <c r="W268">
        <f>IF(OR(B268="",P268=""),"",NETWORKDAYS(C268,P268)-1)</f>
        <v/>
      </c>
      <c r="X268">
        <f>IF(B268="","",IF(P268="","Aberto","Fechado"))</f>
        <v/>
      </c>
    </row>
    <row r="269">
      <c r="C269" s="6" t="n"/>
      <c r="E269" s="7" t="n"/>
      <c r="F269" s="8" t="n"/>
      <c r="G269" s="8" t="n"/>
      <c r="H269" s="8" t="n"/>
      <c r="J269" s="7" t="n"/>
      <c r="K269" s="8" t="n"/>
      <c r="L269" s="7" t="n"/>
      <c r="M269" s="8" t="n"/>
      <c r="N269" s="7" t="n"/>
      <c r="O269" s="8" t="n"/>
      <c r="P269" s="6" t="n"/>
      <c r="Q269" s="8" t="n"/>
      <c r="S269" s="8">
        <f>IF(B269="","",E269*F269)</f>
        <v/>
      </c>
      <c r="T269" s="8">
        <f>IF(OR(B269="",N(G269)=0),"",ABS(F269-G269)*E269)</f>
        <v/>
      </c>
      <c r="U269" s="8">
        <f>IF(OR(B269="",P269=""),"",IF(D269="Venda",-1,1)*((N(J269)*N(K269)+N(L269)*N(M269)+N(N269)*N(O269))-(N(J269)+N(L269)+N(N269))*F269)-N(Q269))</f>
        <v/>
      </c>
      <c r="V269" s="9">
        <f>IF(OR(B269="",P269=""),"",U269/S269)</f>
        <v/>
      </c>
      <c r="W269">
        <f>IF(OR(B269="",P269=""),"",NETWORKDAYS(C269,P269)-1)</f>
        <v/>
      </c>
      <c r="X269">
        <f>IF(B269="","",IF(P269="","Aberto","Fechado"))</f>
        <v/>
      </c>
    </row>
    <row r="270">
      <c r="C270" s="6" t="n"/>
      <c r="E270" s="7" t="n"/>
      <c r="F270" s="8" t="n"/>
      <c r="G270" s="8" t="n"/>
      <c r="H270" s="8" t="n"/>
      <c r="J270" s="7" t="n"/>
      <c r="K270" s="8" t="n"/>
      <c r="L270" s="7" t="n"/>
      <c r="M270" s="8" t="n"/>
      <c r="N270" s="7" t="n"/>
      <c r="O270" s="8" t="n"/>
      <c r="P270" s="6" t="n"/>
      <c r="Q270" s="8" t="n"/>
      <c r="S270" s="8">
        <f>IF(B270="","",E270*F270)</f>
        <v/>
      </c>
      <c r="T270" s="8">
        <f>IF(OR(B270="",N(G270)=0),"",ABS(F270-G270)*E270)</f>
        <v/>
      </c>
      <c r="U270" s="8">
        <f>IF(OR(B270="",P270=""),"",IF(D270="Venda",-1,1)*((N(J270)*N(K270)+N(L270)*N(M270)+N(N270)*N(O270))-(N(J270)+N(L270)+N(N270))*F270)-N(Q270))</f>
        <v/>
      </c>
      <c r="V270" s="9">
        <f>IF(OR(B270="",P270=""),"",U270/S270)</f>
        <v/>
      </c>
      <c r="W270">
        <f>IF(OR(B270="",P270=""),"",NETWORKDAYS(C270,P270)-1)</f>
        <v/>
      </c>
      <c r="X270">
        <f>IF(B270="","",IF(P270="","Aberto","Fechado"))</f>
        <v/>
      </c>
    </row>
    <row r="271">
      <c r="C271" s="6" t="n"/>
      <c r="E271" s="7" t="n"/>
      <c r="F271" s="8" t="n"/>
      <c r="G271" s="8" t="n"/>
      <c r="H271" s="8" t="n"/>
      <c r="J271" s="7" t="n"/>
      <c r="K271" s="8" t="n"/>
      <c r="L271" s="7" t="n"/>
      <c r="M271" s="8" t="n"/>
      <c r="N271" s="7" t="n"/>
      <c r="O271" s="8" t="n"/>
      <c r="P271" s="6" t="n"/>
      <c r="Q271" s="8" t="n"/>
      <c r="S271" s="8">
        <f>IF(B271="","",E271*F271)</f>
        <v/>
      </c>
      <c r="T271" s="8">
        <f>IF(OR(B271="",N(G271)=0),"",ABS(F271-G271)*E271)</f>
        <v/>
      </c>
      <c r="U271" s="8">
        <f>IF(OR(B271="",P271=""),"",IF(D271="Venda",-1,1)*((N(J271)*N(K271)+N(L271)*N(M271)+N(N271)*N(O271))-(N(J271)+N(L271)+N(N271))*F271)-N(Q271))</f>
        <v/>
      </c>
      <c r="V271" s="9">
        <f>IF(OR(B271="",P271=""),"",U271/S271)</f>
        <v/>
      </c>
      <c r="W271">
        <f>IF(OR(B271="",P271=""),"",NETWORKDAYS(C271,P271)-1)</f>
        <v/>
      </c>
      <c r="X271">
        <f>IF(B271="","",IF(P271="","Aberto","Fechado"))</f>
        <v/>
      </c>
    </row>
    <row r="272">
      <c r="C272" s="6" t="n"/>
      <c r="E272" s="7" t="n"/>
      <c r="F272" s="8" t="n"/>
      <c r="G272" s="8" t="n"/>
      <c r="H272" s="8" t="n"/>
      <c r="J272" s="7" t="n"/>
      <c r="K272" s="8" t="n"/>
      <c r="L272" s="7" t="n"/>
      <c r="M272" s="8" t="n"/>
      <c r="N272" s="7" t="n"/>
      <c r="O272" s="8" t="n"/>
      <c r="P272" s="6" t="n"/>
      <c r="Q272" s="8" t="n"/>
      <c r="S272" s="8">
        <f>IF(B272="","",E272*F272)</f>
        <v/>
      </c>
      <c r="T272" s="8">
        <f>IF(OR(B272="",N(G272)=0),"",ABS(F272-G272)*E272)</f>
        <v/>
      </c>
      <c r="U272" s="8">
        <f>IF(OR(B272="",P272=""),"",IF(D272="Venda",-1,1)*((N(J272)*N(K272)+N(L272)*N(M272)+N(N272)*N(O272))-(N(J272)+N(L272)+N(N272))*F272)-N(Q272))</f>
        <v/>
      </c>
      <c r="V272" s="9">
        <f>IF(OR(B272="",P272=""),"",U272/S272)</f>
        <v/>
      </c>
      <c r="W272">
        <f>IF(OR(B272="",P272=""),"",NETWORKDAYS(C272,P272)-1)</f>
        <v/>
      </c>
      <c r="X272">
        <f>IF(B272="","",IF(P272="","Aberto","Fechado"))</f>
        <v/>
      </c>
    </row>
    <row r="273">
      <c r="C273" s="6" t="n"/>
      <c r="E273" s="7" t="n"/>
      <c r="F273" s="8" t="n"/>
      <c r="G273" s="8" t="n"/>
      <c r="H273" s="8" t="n"/>
      <c r="J273" s="7" t="n"/>
      <c r="K273" s="8" t="n"/>
      <c r="L273" s="7" t="n"/>
      <c r="M273" s="8" t="n"/>
      <c r="N273" s="7" t="n"/>
      <c r="O273" s="8" t="n"/>
      <c r="P273" s="6" t="n"/>
      <c r="Q273" s="8" t="n"/>
      <c r="S273" s="8">
        <f>IF(B273="","",E273*F273)</f>
        <v/>
      </c>
      <c r="T273" s="8">
        <f>IF(OR(B273="",N(G273)=0),"",ABS(F273-G273)*E273)</f>
        <v/>
      </c>
      <c r="U273" s="8">
        <f>IF(OR(B273="",P273=""),"",IF(D273="Venda",-1,1)*((N(J273)*N(K273)+N(L273)*N(M273)+N(N273)*N(O273))-(N(J273)+N(L273)+N(N273))*F273)-N(Q273))</f>
        <v/>
      </c>
      <c r="V273" s="9">
        <f>IF(OR(B273="",P273=""),"",U273/S273)</f>
        <v/>
      </c>
      <c r="W273">
        <f>IF(OR(B273="",P273=""),"",NETWORKDAYS(C273,P273)-1)</f>
        <v/>
      </c>
      <c r="X273">
        <f>IF(B273="","",IF(P273="","Aberto","Fechado"))</f>
        <v/>
      </c>
    </row>
    <row r="274">
      <c r="C274" s="6" t="n"/>
      <c r="E274" s="7" t="n"/>
      <c r="F274" s="8" t="n"/>
      <c r="G274" s="8" t="n"/>
      <c r="H274" s="8" t="n"/>
      <c r="J274" s="7" t="n"/>
      <c r="K274" s="8" t="n"/>
      <c r="L274" s="7" t="n"/>
      <c r="M274" s="8" t="n"/>
      <c r="N274" s="7" t="n"/>
      <c r="O274" s="8" t="n"/>
      <c r="P274" s="6" t="n"/>
      <c r="Q274" s="8" t="n"/>
      <c r="S274" s="8">
        <f>IF(B274="","",E274*F274)</f>
        <v/>
      </c>
      <c r="T274" s="8">
        <f>IF(OR(B274="",N(G274)=0),"",ABS(F274-G274)*E274)</f>
        <v/>
      </c>
      <c r="U274" s="8">
        <f>IF(OR(B274="",P274=""),"",IF(D274="Venda",-1,1)*((N(J274)*N(K274)+N(L274)*N(M274)+N(N274)*N(O274))-(N(J274)+N(L274)+N(N274))*F274)-N(Q274))</f>
        <v/>
      </c>
      <c r="V274" s="9">
        <f>IF(OR(B274="",P274=""),"",U274/S274)</f>
        <v/>
      </c>
      <c r="W274">
        <f>IF(OR(B274="",P274=""),"",NETWORKDAYS(C274,P274)-1)</f>
        <v/>
      </c>
      <c r="X274">
        <f>IF(B274="","",IF(P274="","Aberto","Fechado"))</f>
        <v/>
      </c>
    </row>
    <row r="275">
      <c r="C275" s="6" t="n"/>
      <c r="E275" s="7" t="n"/>
      <c r="F275" s="8" t="n"/>
      <c r="G275" s="8" t="n"/>
      <c r="H275" s="8" t="n"/>
      <c r="J275" s="7" t="n"/>
      <c r="K275" s="8" t="n"/>
      <c r="L275" s="7" t="n"/>
      <c r="M275" s="8" t="n"/>
      <c r="N275" s="7" t="n"/>
      <c r="O275" s="8" t="n"/>
      <c r="P275" s="6" t="n"/>
      <c r="Q275" s="8" t="n"/>
      <c r="S275" s="8">
        <f>IF(B275="","",E275*F275)</f>
        <v/>
      </c>
      <c r="T275" s="8">
        <f>IF(OR(B275="",N(G275)=0),"",ABS(F275-G275)*E275)</f>
        <v/>
      </c>
      <c r="U275" s="8">
        <f>IF(OR(B275="",P275=""),"",IF(D275="Venda",-1,1)*((N(J275)*N(K275)+N(L275)*N(M275)+N(N275)*N(O275))-(N(J275)+N(L275)+N(N275))*F275)-N(Q275))</f>
        <v/>
      </c>
      <c r="V275" s="9">
        <f>IF(OR(B275="",P275=""),"",U275/S275)</f>
        <v/>
      </c>
      <c r="W275">
        <f>IF(OR(B275="",P275=""),"",NETWORKDAYS(C275,P275)-1)</f>
        <v/>
      </c>
      <c r="X275">
        <f>IF(B275="","",IF(P275="","Aberto","Fechado"))</f>
        <v/>
      </c>
    </row>
    <row r="276">
      <c r="C276" s="6" t="n"/>
      <c r="E276" s="7" t="n"/>
      <c r="F276" s="8" t="n"/>
      <c r="G276" s="8" t="n"/>
      <c r="H276" s="8" t="n"/>
      <c r="J276" s="7" t="n"/>
      <c r="K276" s="8" t="n"/>
      <c r="L276" s="7" t="n"/>
      <c r="M276" s="8" t="n"/>
      <c r="N276" s="7" t="n"/>
      <c r="O276" s="8" t="n"/>
      <c r="P276" s="6" t="n"/>
      <c r="Q276" s="8" t="n"/>
      <c r="S276" s="8">
        <f>IF(B276="","",E276*F276)</f>
        <v/>
      </c>
      <c r="T276" s="8">
        <f>IF(OR(B276="",N(G276)=0),"",ABS(F276-G276)*E276)</f>
        <v/>
      </c>
      <c r="U276" s="8">
        <f>IF(OR(B276="",P276=""),"",IF(D276="Venda",-1,1)*((N(J276)*N(K276)+N(L276)*N(M276)+N(N276)*N(O276))-(N(J276)+N(L276)+N(N276))*F276)-N(Q276))</f>
        <v/>
      </c>
      <c r="V276" s="9">
        <f>IF(OR(B276="",P276=""),"",U276/S276)</f>
        <v/>
      </c>
      <c r="W276">
        <f>IF(OR(B276="",P276=""),"",NETWORKDAYS(C276,P276)-1)</f>
        <v/>
      </c>
      <c r="X276">
        <f>IF(B276="","",IF(P276="","Aberto","Fechado"))</f>
        <v/>
      </c>
    </row>
    <row r="277">
      <c r="C277" s="6" t="n"/>
      <c r="E277" s="7" t="n"/>
      <c r="F277" s="8" t="n"/>
      <c r="G277" s="8" t="n"/>
      <c r="H277" s="8" t="n"/>
      <c r="J277" s="7" t="n"/>
      <c r="K277" s="8" t="n"/>
      <c r="L277" s="7" t="n"/>
      <c r="M277" s="8" t="n"/>
      <c r="N277" s="7" t="n"/>
      <c r="O277" s="8" t="n"/>
      <c r="P277" s="6" t="n"/>
      <c r="Q277" s="8" t="n"/>
      <c r="S277" s="8">
        <f>IF(B277="","",E277*F277)</f>
        <v/>
      </c>
      <c r="T277" s="8">
        <f>IF(OR(B277="",N(G277)=0),"",ABS(F277-G277)*E277)</f>
        <v/>
      </c>
      <c r="U277" s="8">
        <f>IF(OR(B277="",P277=""),"",IF(D277="Venda",-1,1)*((N(J277)*N(K277)+N(L277)*N(M277)+N(N277)*N(O277))-(N(J277)+N(L277)+N(N277))*F277)-N(Q277))</f>
        <v/>
      </c>
      <c r="V277" s="9">
        <f>IF(OR(B277="",P277=""),"",U277/S277)</f>
        <v/>
      </c>
      <c r="W277">
        <f>IF(OR(B277="",P277=""),"",NETWORKDAYS(C277,P277)-1)</f>
        <v/>
      </c>
      <c r="X277">
        <f>IF(B277="","",IF(P277="","Aberto","Fechado"))</f>
        <v/>
      </c>
    </row>
    <row r="278">
      <c r="C278" s="6" t="n"/>
      <c r="E278" s="7" t="n"/>
      <c r="F278" s="8" t="n"/>
      <c r="G278" s="8" t="n"/>
      <c r="H278" s="8" t="n"/>
      <c r="J278" s="7" t="n"/>
      <c r="K278" s="8" t="n"/>
      <c r="L278" s="7" t="n"/>
      <c r="M278" s="8" t="n"/>
      <c r="N278" s="7" t="n"/>
      <c r="O278" s="8" t="n"/>
      <c r="P278" s="6" t="n"/>
      <c r="Q278" s="8" t="n"/>
      <c r="S278" s="8">
        <f>IF(B278="","",E278*F278)</f>
        <v/>
      </c>
      <c r="T278" s="8">
        <f>IF(OR(B278="",N(G278)=0),"",ABS(F278-G278)*E278)</f>
        <v/>
      </c>
      <c r="U278" s="8">
        <f>IF(OR(B278="",P278=""),"",IF(D278="Venda",-1,1)*((N(J278)*N(K278)+N(L278)*N(M278)+N(N278)*N(O278))-(N(J278)+N(L278)+N(N278))*F278)-N(Q278))</f>
        <v/>
      </c>
      <c r="V278" s="9">
        <f>IF(OR(B278="",P278=""),"",U278/S278)</f>
        <v/>
      </c>
      <c r="W278">
        <f>IF(OR(B278="",P278=""),"",NETWORKDAYS(C278,P278)-1)</f>
        <v/>
      </c>
      <c r="X278">
        <f>IF(B278="","",IF(P278="","Aberto","Fechado"))</f>
        <v/>
      </c>
    </row>
    <row r="279">
      <c r="C279" s="6" t="n"/>
      <c r="E279" s="7" t="n"/>
      <c r="F279" s="8" t="n"/>
      <c r="G279" s="8" t="n"/>
      <c r="H279" s="8" t="n"/>
      <c r="J279" s="7" t="n"/>
      <c r="K279" s="8" t="n"/>
      <c r="L279" s="7" t="n"/>
      <c r="M279" s="8" t="n"/>
      <c r="N279" s="7" t="n"/>
      <c r="O279" s="8" t="n"/>
      <c r="P279" s="6" t="n"/>
      <c r="Q279" s="8" t="n"/>
      <c r="S279" s="8">
        <f>IF(B279="","",E279*F279)</f>
        <v/>
      </c>
      <c r="T279" s="8">
        <f>IF(OR(B279="",N(G279)=0),"",ABS(F279-G279)*E279)</f>
        <v/>
      </c>
      <c r="U279" s="8">
        <f>IF(OR(B279="",P279=""),"",IF(D279="Venda",-1,1)*((N(J279)*N(K279)+N(L279)*N(M279)+N(N279)*N(O279))-(N(J279)+N(L279)+N(N279))*F279)-N(Q279))</f>
        <v/>
      </c>
      <c r="V279" s="9">
        <f>IF(OR(B279="",P279=""),"",U279/S279)</f>
        <v/>
      </c>
      <c r="W279">
        <f>IF(OR(B279="",P279=""),"",NETWORKDAYS(C279,P279)-1)</f>
        <v/>
      </c>
      <c r="X279">
        <f>IF(B279="","",IF(P279="","Aberto","Fechado"))</f>
        <v/>
      </c>
    </row>
    <row r="280">
      <c r="C280" s="6" t="n"/>
      <c r="E280" s="7" t="n"/>
      <c r="F280" s="8" t="n"/>
      <c r="G280" s="8" t="n"/>
      <c r="H280" s="8" t="n"/>
      <c r="J280" s="7" t="n"/>
      <c r="K280" s="8" t="n"/>
      <c r="L280" s="7" t="n"/>
      <c r="M280" s="8" t="n"/>
      <c r="N280" s="7" t="n"/>
      <c r="O280" s="8" t="n"/>
      <c r="P280" s="6" t="n"/>
      <c r="Q280" s="8" t="n"/>
      <c r="S280" s="8">
        <f>IF(B280="","",E280*F280)</f>
        <v/>
      </c>
      <c r="T280" s="8">
        <f>IF(OR(B280="",N(G280)=0),"",ABS(F280-G280)*E280)</f>
        <v/>
      </c>
      <c r="U280" s="8">
        <f>IF(OR(B280="",P280=""),"",IF(D280="Venda",-1,1)*((N(J280)*N(K280)+N(L280)*N(M280)+N(N280)*N(O280))-(N(J280)+N(L280)+N(N280))*F280)-N(Q280))</f>
        <v/>
      </c>
      <c r="V280" s="9">
        <f>IF(OR(B280="",P280=""),"",U280/S280)</f>
        <v/>
      </c>
      <c r="W280">
        <f>IF(OR(B280="",P280=""),"",NETWORKDAYS(C280,P280)-1)</f>
        <v/>
      </c>
      <c r="X280">
        <f>IF(B280="","",IF(P280="","Aberto","Fechado"))</f>
        <v/>
      </c>
    </row>
    <row r="281">
      <c r="C281" s="6" t="n"/>
      <c r="E281" s="7" t="n"/>
      <c r="F281" s="8" t="n"/>
      <c r="G281" s="8" t="n"/>
      <c r="H281" s="8" t="n"/>
      <c r="J281" s="7" t="n"/>
      <c r="K281" s="8" t="n"/>
      <c r="L281" s="7" t="n"/>
      <c r="M281" s="8" t="n"/>
      <c r="N281" s="7" t="n"/>
      <c r="O281" s="8" t="n"/>
      <c r="P281" s="6" t="n"/>
      <c r="Q281" s="8" t="n"/>
      <c r="S281" s="8">
        <f>IF(B281="","",E281*F281)</f>
        <v/>
      </c>
      <c r="T281" s="8">
        <f>IF(OR(B281="",N(G281)=0),"",ABS(F281-G281)*E281)</f>
        <v/>
      </c>
      <c r="U281" s="8">
        <f>IF(OR(B281="",P281=""),"",IF(D281="Venda",-1,1)*((N(J281)*N(K281)+N(L281)*N(M281)+N(N281)*N(O281))-(N(J281)+N(L281)+N(N281))*F281)-N(Q281))</f>
        <v/>
      </c>
      <c r="V281" s="9">
        <f>IF(OR(B281="",P281=""),"",U281/S281)</f>
        <v/>
      </c>
      <c r="W281">
        <f>IF(OR(B281="",P281=""),"",NETWORKDAYS(C281,P281)-1)</f>
        <v/>
      </c>
      <c r="X281">
        <f>IF(B281="","",IF(P281="","Aberto","Fechado"))</f>
        <v/>
      </c>
    </row>
    <row r="282">
      <c r="C282" s="6" t="n"/>
      <c r="E282" s="7" t="n"/>
      <c r="F282" s="8" t="n"/>
      <c r="G282" s="8" t="n"/>
      <c r="H282" s="8" t="n"/>
      <c r="J282" s="7" t="n"/>
      <c r="K282" s="8" t="n"/>
      <c r="L282" s="7" t="n"/>
      <c r="M282" s="8" t="n"/>
      <c r="N282" s="7" t="n"/>
      <c r="O282" s="8" t="n"/>
      <c r="P282" s="6" t="n"/>
      <c r="Q282" s="8" t="n"/>
      <c r="S282" s="8">
        <f>IF(B282="","",E282*F282)</f>
        <v/>
      </c>
      <c r="T282" s="8">
        <f>IF(OR(B282="",N(G282)=0),"",ABS(F282-G282)*E282)</f>
        <v/>
      </c>
      <c r="U282" s="8">
        <f>IF(OR(B282="",P282=""),"",IF(D282="Venda",-1,1)*((N(J282)*N(K282)+N(L282)*N(M282)+N(N282)*N(O282))-(N(J282)+N(L282)+N(N282))*F282)-N(Q282))</f>
        <v/>
      </c>
      <c r="V282" s="9">
        <f>IF(OR(B282="",P282=""),"",U282/S282)</f>
        <v/>
      </c>
      <c r="W282">
        <f>IF(OR(B282="",P282=""),"",NETWORKDAYS(C282,P282)-1)</f>
        <v/>
      </c>
      <c r="X282">
        <f>IF(B282="","",IF(P282="","Aberto","Fechado"))</f>
        <v/>
      </c>
    </row>
    <row r="283">
      <c r="C283" s="6" t="n"/>
      <c r="E283" s="7" t="n"/>
      <c r="F283" s="8" t="n"/>
      <c r="G283" s="8" t="n"/>
      <c r="H283" s="8" t="n"/>
      <c r="J283" s="7" t="n"/>
      <c r="K283" s="8" t="n"/>
      <c r="L283" s="7" t="n"/>
      <c r="M283" s="8" t="n"/>
      <c r="N283" s="7" t="n"/>
      <c r="O283" s="8" t="n"/>
      <c r="P283" s="6" t="n"/>
      <c r="Q283" s="8" t="n"/>
      <c r="S283" s="8">
        <f>IF(B283="","",E283*F283)</f>
        <v/>
      </c>
      <c r="T283" s="8">
        <f>IF(OR(B283="",N(G283)=0),"",ABS(F283-G283)*E283)</f>
        <v/>
      </c>
      <c r="U283" s="8">
        <f>IF(OR(B283="",P283=""),"",IF(D283="Venda",-1,1)*((N(J283)*N(K283)+N(L283)*N(M283)+N(N283)*N(O283))-(N(J283)+N(L283)+N(N283))*F283)-N(Q283))</f>
        <v/>
      </c>
      <c r="V283" s="9">
        <f>IF(OR(B283="",P283=""),"",U283/S283)</f>
        <v/>
      </c>
      <c r="W283">
        <f>IF(OR(B283="",P283=""),"",NETWORKDAYS(C283,P283)-1)</f>
        <v/>
      </c>
      <c r="X283">
        <f>IF(B283="","",IF(P283="","Aberto","Fechado"))</f>
        <v/>
      </c>
    </row>
    <row r="284">
      <c r="C284" s="6" t="n"/>
      <c r="E284" s="7" t="n"/>
      <c r="F284" s="8" t="n"/>
      <c r="G284" s="8" t="n"/>
      <c r="H284" s="8" t="n"/>
      <c r="J284" s="7" t="n"/>
      <c r="K284" s="8" t="n"/>
      <c r="L284" s="7" t="n"/>
      <c r="M284" s="8" t="n"/>
      <c r="N284" s="7" t="n"/>
      <c r="O284" s="8" t="n"/>
      <c r="P284" s="6" t="n"/>
      <c r="Q284" s="8" t="n"/>
      <c r="S284" s="8">
        <f>IF(B284="","",E284*F284)</f>
        <v/>
      </c>
      <c r="T284" s="8">
        <f>IF(OR(B284="",N(G284)=0),"",ABS(F284-G284)*E284)</f>
        <v/>
      </c>
      <c r="U284" s="8">
        <f>IF(OR(B284="",P284=""),"",IF(D284="Venda",-1,1)*((N(J284)*N(K284)+N(L284)*N(M284)+N(N284)*N(O284))-(N(J284)+N(L284)+N(N284))*F284)-N(Q284))</f>
        <v/>
      </c>
      <c r="V284" s="9">
        <f>IF(OR(B284="",P284=""),"",U284/S284)</f>
        <v/>
      </c>
      <c r="W284">
        <f>IF(OR(B284="",P284=""),"",NETWORKDAYS(C284,P284)-1)</f>
        <v/>
      </c>
      <c r="X284">
        <f>IF(B284="","",IF(P284="","Aberto","Fechado"))</f>
        <v/>
      </c>
    </row>
    <row r="285">
      <c r="C285" s="6" t="n"/>
      <c r="E285" s="7" t="n"/>
      <c r="F285" s="8" t="n"/>
      <c r="G285" s="8" t="n"/>
      <c r="H285" s="8" t="n"/>
      <c r="J285" s="7" t="n"/>
      <c r="K285" s="8" t="n"/>
      <c r="L285" s="7" t="n"/>
      <c r="M285" s="8" t="n"/>
      <c r="N285" s="7" t="n"/>
      <c r="O285" s="8" t="n"/>
      <c r="P285" s="6" t="n"/>
      <c r="Q285" s="8" t="n"/>
      <c r="S285" s="8">
        <f>IF(B285="","",E285*F285)</f>
        <v/>
      </c>
      <c r="T285" s="8">
        <f>IF(OR(B285="",N(G285)=0),"",ABS(F285-G285)*E285)</f>
        <v/>
      </c>
      <c r="U285" s="8">
        <f>IF(OR(B285="",P285=""),"",IF(D285="Venda",-1,1)*((N(J285)*N(K285)+N(L285)*N(M285)+N(N285)*N(O285))-(N(J285)+N(L285)+N(N285))*F285)-N(Q285))</f>
        <v/>
      </c>
      <c r="V285" s="9">
        <f>IF(OR(B285="",P285=""),"",U285/S285)</f>
        <v/>
      </c>
      <c r="W285">
        <f>IF(OR(B285="",P285=""),"",NETWORKDAYS(C285,P285)-1)</f>
        <v/>
      </c>
      <c r="X285">
        <f>IF(B285="","",IF(P285="","Aberto","Fechado"))</f>
        <v/>
      </c>
    </row>
    <row r="286">
      <c r="C286" s="6" t="n"/>
      <c r="E286" s="7" t="n"/>
      <c r="F286" s="8" t="n"/>
      <c r="G286" s="8" t="n"/>
      <c r="H286" s="8" t="n"/>
      <c r="J286" s="7" t="n"/>
      <c r="K286" s="8" t="n"/>
      <c r="L286" s="7" t="n"/>
      <c r="M286" s="8" t="n"/>
      <c r="N286" s="7" t="n"/>
      <c r="O286" s="8" t="n"/>
      <c r="P286" s="6" t="n"/>
      <c r="Q286" s="8" t="n"/>
      <c r="S286" s="8">
        <f>IF(B286="","",E286*F286)</f>
        <v/>
      </c>
      <c r="T286" s="8">
        <f>IF(OR(B286="",N(G286)=0),"",ABS(F286-G286)*E286)</f>
        <v/>
      </c>
      <c r="U286" s="8">
        <f>IF(OR(B286="",P286=""),"",IF(D286="Venda",-1,1)*((N(J286)*N(K286)+N(L286)*N(M286)+N(N286)*N(O286))-(N(J286)+N(L286)+N(N286))*F286)-N(Q286))</f>
        <v/>
      </c>
      <c r="V286" s="9">
        <f>IF(OR(B286="",P286=""),"",U286/S286)</f>
        <v/>
      </c>
      <c r="W286">
        <f>IF(OR(B286="",P286=""),"",NETWORKDAYS(C286,P286)-1)</f>
        <v/>
      </c>
      <c r="X286">
        <f>IF(B286="","",IF(P286="","Aberto","Fechado"))</f>
        <v/>
      </c>
    </row>
    <row r="287">
      <c r="C287" s="6" t="n"/>
      <c r="E287" s="7" t="n"/>
      <c r="F287" s="8" t="n"/>
      <c r="G287" s="8" t="n"/>
      <c r="H287" s="8" t="n"/>
      <c r="J287" s="7" t="n"/>
      <c r="K287" s="8" t="n"/>
      <c r="L287" s="7" t="n"/>
      <c r="M287" s="8" t="n"/>
      <c r="N287" s="7" t="n"/>
      <c r="O287" s="8" t="n"/>
      <c r="P287" s="6" t="n"/>
      <c r="Q287" s="8" t="n"/>
      <c r="S287" s="8">
        <f>IF(B287="","",E287*F287)</f>
        <v/>
      </c>
      <c r="T287" s="8">
        <f>IF(OR(B287="",N(G287)=0),"",ABS(F287-G287)*E287)</f>
        <v/>
      </c>
      <c r="U287" s="8">
        <f>IF(OR(B287="",P287=""),"",IF(D287="Venda",-1,1)*((N(J287)*N(K287)+N(L287)*N(M287)+N(N287)*N(O287))-(N(J287)+N(L287)+N(N287))*F287)-N(Q287))</f>
        <v/>
      </c>
      <c r="V287" s="9">
        <f>IF(OR(B287="",P287=""),"",U287/S287)</f>
        <v/>
      </c>
      <c r="W287">
        <f>IF(OR(B287="",P287=""),"",NETWORKDAYS(C287,P287)-1)</f>
        <v/>
      </c>
      <c r="X287">
        <f>IF(B287="","",IF(P287="","Aberto","Fechado"))</f>
        <v/>
      </c>
    </row>
    <row r="288">
      <c r="C288" s="6" t="n"/>
      <c r="E288" s="7" t="n"/>
      <c r="F288" s="8" t="n"/>
      <c r="G288" s="8" t="n"/>
      <c r="H288" s="8" t="n"/>
      <c r="J288" s="7" t="n"/>
      <c r="K288" s="8" t="n"/>
      <c r="L288" s="7" t="n"/>
      <c r="M288" s="8" t="n"/>
      <c r="N288" s="7" t="n"/>
      <c r="O288" s="8" t="n"/>
      <c r="P288" s="6" t="n"/>
      <c r="Q288" s="8" t="n"/>
      <c r="S288" s="8">
        <f>IF(B288="","",E288*F288)</f>
        <v/>
      </c>
      <c r="T288" s="8">
        <f>IF(OR(B288="",N(G288)=0),"",ABS(F288-G288)*E288)</f>
        <v/>
      </c>
      <c r="U288" s="8">
        <f>IF(OR(B288="",P288=""),"",IF(D288="Venda",-1,1)*((N(J288)*N(K288)+N(L288)*N(M288)+N(N288)*N(O288))-(N(J288)+N(L288)+N(N288))*F288)-N(Q288))</f>
        <v/>
      </c>
      <c r="V288" s="9">
        <f>IF(OR(B288="",P288=""),"",U288/S288)</f>
        <v/>
      </c>
      <c r="W288">
        <f>IF(OR(B288="",P288=""),"",NETWORKDAYS(C288,P288)-1)</f>
        <v/>
      </c>
      <c r="X288">
        <f>IF(B288="","",IF(P288="","Aberto","Fechado"))</f>
        <v/>
      </c>
    </row>
    <row r="289">
      <c r="C289" s="6" t="n"/>
      <c r="E289" s="7" t="n"/>
      <c r="F289" s="8" t="n"/>
      <c r="G289" s="8" t="n"/>
      <c r="H289" s="8" t="n"/>
      <c r="J289" s="7" t="n"/>
      <c r="K289" s="8" t="n"/>
      <c r="L289" s="7" t="n"/>
      <c r="M289" s="8" t="n"/>
      <c r="N289" s="7" t="n"/>
      <c r="O289" s="8" t="n"/>
      <c r="P289" s="6" t="n"/>
      <c r="Q289" s="8" t="n"/>
      <c r="S289" s="8">
        <f>IF(B289="","",E289*F289)</f>
        <v/>
      </c>
      <c r="T289" s="8">
        <f>IF(OR(B289="",N(G289)=0),"",ABS(F289-G289)*E289)</f>
        <v/>
      </c>
      <c r="U289" s="8">
        <f>IF(OR(B289="",P289=""),"",IF(D289="Venda",-1,1)*((N(J289)*N(K289)+N(L289)*N(M289)+N(N289)*N(O289))-(N(J289)+N(L289)+N(N289))*F289)-N(Q289))</f>
        <v/>
      </c>
      <c r="V289" s="9">
        <f>IF(OR(B289="",P289=""),"",U289/S289)</f>
        <v/>
      </c>
      <c r="W289">
        <f>IF(OR(B289="",P289=""),"",NETWORKDAYS(C289,P289)-1)</f>
        <v/>
      </c>
      <c r="X289">
        <f>IF(B289="","",IF(P289="","Aberto","Fechado"))</f>
        <v/>
      </c>
    </row>
    <row r="290">
      <c r="C290" s="6" t="n"/>
      <c r="E290" s="7" t="n"/>
      <c r="F290" s="8" t="n"/>
      <c r="G290" s="8" t="n"/>
      <c r="H290" s="8" t="n"/>
      <c r="J290" s="7" t="n"/>
      <c r="K290" s="8" t="n"/>
      <c r="L290" s="7" t="n"/>
      <c r="M290" s="8" t="n"/>
      <c r="N290" s="7" t="n"/>
      <c r="O290" s="8" t="n"/>
      <c r="P290" s="6" t="n"/>
      <c r="Q290" s="8" t="n"/>
      <c r="S290" s="8">
        <f>IF(B290="","",E290*F290)</f>
        <v/>
      </c>
      <c r="T290" s="8">
        <f>IF(OR(B290="",N(G290)=0),"",ABS(F290-G290)*E290)</f>
        <v/>
      </c>
      <c r="U290" s="8">
        <f>IF(OR(B290="",P290=""),"",IF(D290="Venda",-1,1)*((N(J290)*N(K290)+N(L290)*N(M290)+N(N290)*N(O290))-(N(J290)+N(L290)+N(N290))*F290)-N(Q290))</f>
        <v/>
      </c>
      <c r="V290" s="9">
        <f>IF(OR(B290="",P290=""),"",U290/S290)</f>
        <v/>
      </c>
      <c r="W290">
        <f>IF(OR(B290="",P290=""),"",NETWORKDAYS(C290,P290)-1)</f>
        <v/>
      </c>
      <c r="X290">
        <f>IF(B290="","",IF(P290="","Aberto","Fechado"))</f>
        <v/>
      </c>
    </row>
    <row r="291">
      <c r="C291" s="6" t="n"/>
      <c r="E291" s="7" t="n"/>
      <c r="F291" s="8" t="n"/>
      <c r="G291" s="8" t="n"/>
      <c r="H291" s="8" t="n"/>
      <c r="J291" s="7" t="n"/>
      <c r="K291" s="8" t="n"/>
      <c r="L291" s="7" t="n"/>
      <c r="M291" s="8" t="n"/>
      <c r="N291" s="7" t="n"/>
      <c r="O291" s="8" t="n"/>
      <c r="P291" s="6" t="n"/>
      <c r="Q291" s="8" t="n"/>
      <c r="S291" s="8">
        <f>IF(B291="","",E291*F291)</f>
        <v/>
      </c>
      <c r="T291" s="8">
        <f>IF(OR(B291="",N(G291)=0),"",ABS(F291-G291)*E291)</f>
        <v/>
      </c>
      <c r="U291" s="8">
        <f>IF(OR(B291="",P291=""),"",IF(D291="Venda",-1,1)*((N(J291)*N(K291)+N(L291)*N(M291)+N(N291)*N(O291))-(N(J291)+N(L291)+N(N291))*F291)-N(Q291))</f>
        <v/>
      </c>
      <c r="V291" s="9">
        <f>IF(OR(B291="",P291=""),"",U291/S291)</f>
        <v/>
      </c>
      <c r="W291">
        <f>IF(OR(B291="",P291=""),"",NETWORKDAYS(C291,P291)-1)</f>
        <v/>
      </c>
      <c r="X291">
        <f>IF(B291="","",IF(P291="","Aberto","Fechado"))</f>
        <v/>
      </c>
    </row>
    <row r="292">
      <c r="C292" s="6" t="n"/>
      <c r="E292" s="7" t="n"/>
      <c r="F292" s="8" t="n"/>
      <c r="G292" s="8" t="n"/>
      <c r="H292" s="8" t="n"/>
      <c r="J292" s="7" t="n"/>
      <c r="K292" s="8" t="n"/>
      <c r="L292" s="7" t="n"/>
      <c r="M292" s="8" t="n"/>
      <c r="N292" s="7" t="n"/>
      <c r="O292" s="8" t="n"/>
      <c r="P292" s="6" t="n"/>
      <c r="Q292" s="8" t="n"/>
      <c r="S292" s="8">
        <f>IF(B292="","",E292*F292)</f>
        <v/>
      </c>
      <c r="T292" s="8">
        <f>IF(OR(B292="",N(G292)=0),"",ABS(F292-G292)*E292)</f>
        <v/>
      </c>
      <c r="U292" s="8">
        <f>IF(OR(B292="",P292=""),"",IF(D292="Venda",-1,1)*((N(J292)*N(K292)+N(L292)*N(M292)+N(N292)*N(O292))-(N(J292)+N(L292)+N(N292))*F292)-N(Q292))</f>
        <v/>
      </c>
      <c r="V292" s="9">
        <f>IF(OR(B292="",P292=""),"",U292/S292)</f>
        <v/>
      </c>
      <c r="W292">
        <f>IF(OR(B292="",P292=""),"",NETWORKDAYS(C292,P292)-1)</f>
        <v/>
      </c>
      <c r="X292">
        <f>IF(B292="","",IF(P292="","Aberto","Fechado"))</f>
        <v/>
      </c>
    </row>
    <row r="293">
      <c r="C293" s="6" t="n"/>
      <c r="E293" s="7" t="n"/>
      <c r="F293" s="8" t="n"/>
      <c r="G293" s="8" t="n"/>
      <c r="H293" s="8" t="n"/>
      <c r="J293" s="7" t="n"/>
      <c r="K293" s="8" t="n"/>
      <c r="L293" s="7" t="n"/>
      <c r="M293" s="8" t="n"/>
      <c r="N293" s="7" t="n"/>
      <c r="O293" s="8" t="n"/>
      <c r="P293" s="6" t="n"/>
      <c r="Q293" s="8" t="n"/>
      <c r="S293" s="8">
        <f>IF(B293="","",E293*F293)</f>
        <v/>
      </c>
      <c r="T293" s="8">
        <f>IF(OR(B293="",N(G293)=0),"",ABS(F293-G293)*E293)</f>
        <v/>
      </c>
      <c r="U293" s="8">
        <f>IF(OR(B293="",P293=""),"",IF(D293="Venda",-1,1)*((N(J293)*N(K293)+N(L293)*N(M293)+N(N293)*N(O293))-(N(J293)+N(L293)+N(N293))*F293)-N(Q293))</f>
        <v/>
      </c>
      <c r="V293" s="9">
        <f>IF(OR(B293="",P293=""),"",U293/S293)</f>
        <v/>
      </c>
      <c r="W293">
        <f>IF(OR(B293="",P293=""),"",NETWORKDAYS(C293,P293)-1)</f>
        <v/>
      </c>
      <c r="X293">
        <f>IF(B293="","",IF(P293="","Aberto","Fechado"))</f>
        <v/>
      </c>
    </row>
    <row r="294">
      <c r="C294" s="6" t="n"/>
      <c r="E294" s="7" t="n"/>
      <c r="F294" s="8" t="n"/>
      <c r="G294" s="8" t="n"/>
      <c r="H294" s="8" t="n"/>
      <c r="J294" s="7" t="n"/>
      <c r="K294" s="8" t="n"/>
      <c r="L294" s="7" t="n"/>
      <c r="M294" s="8" t="n"/>
      <c r="N294" s="7" t="n"/>
      <c r="O294" s="8" t="n"/>
      <c r="P294" s="6" t="n"/>
      <c r="Q294" s="8" t="n"/>
      <c r="S294" s="8">
        <f>IF(B294="","",E294*F294)</f>
        <v/>
      </c>
      <c r="T294" s="8">
        <f>IF(OR(B294="",N(G294)=0),"",ABS(F294-G294)*E294)</f>
        <v/>
      </c>
      <c r="U294" s="8">
        <f>IF(OR(B294="",P294=""),"",IF(D294="Venda",-1,1)*((N(J294)*N(K294)+N(L294)*N(M294)+N(N294)*N(O294))-(N(J294)+N(L294)+N(N294))*F294)-N(Q294))</f>
        <v/>
      </c>
      <c r="V294" s="9">
        <f>IF(OR(B294="",P294=""),"",U294/S294)</f>
        <v/>
      </c>
      <c r="W294">
        <f>IF(OR(B294="",P294=""),"",NETWORKDAYS(C294,P294)-1)</f>
        <v/>
      </c>
      <c r="X294">
        <f>IF(B294="","",IF(P294="","Aberto","Fechado"))</f>
        <v/>
      </c>
    </row>
    <row r="295">
      <c r="C295" s="6" t="n"/>
      <c r="E295" s="7" t="n"/>
      <c r="F295" s="8" t="n"/>
      <c r="G295" s="8" t="n"/>
      <c r="H295" s="8" t="n"/>
      <c r="J295" s="7" t="n"/>
      <c r="K295" s="8" t="n"/>
      <c r="L295" s="7" t="n"/>
      <c r="M295" s="8" t="n"/>
      <c r="N295" s="7" t="n"/>
      <c r="O295" s="8" t="n"/>
      <c r="P295" s="6" t="n"/>
      <c r="Q295" s="8" t="n"/>
      <c r="S295" s="8">
        <f>IF(B295="","",E295*F295)</f>
        <v/>
      </c>
      <c r="T295" s="8">
        <f>IF(OR(B295="",N(G295)=0),"",ABS(F295-G295)*E295)</f>
        <v/>
      </c>
      <c r="U295" s="8">
        <f>IF(OR(B295="",P295=""),"",IF(D295="Venda",-1,1)*((N(J295)*N(K295)+N(L295)*N(M295)+N(N295)*N(O295))-(N(J295)+N(L295)+N(N295))*F295)-N(Q295))</f>
        <v/>
      </c>
      <c r="V295" s="9">
        <f>IF(OR(B295="",P295=""),"",U295/S295)</f>
        <v/>
      </c>
      <c r="W295">
        <f>IF(OR(B295="",P295=""),"",NETWORKDAYS(C295,P295)-1)</f>
        <v/>
      </c>
      <c r="X295">
        <f>IF(B295="","",IF(P295="","Aberto","Fechado"))</f>
        <v/>
      </c>
    </row>
    <row r="296">
      <c r="C296" s="6" t="n"/>
      <c r="E296" s="7" t="n"/>
      <c r="F296" s="8" t="n"/>
      <c r="G296" s="8" t="n"/>
      <c r="H296" s="8" t="n"/>
      <c r="J296" s="7" t="n"/>
      <c r="K296" s="8" t="n"/>
      <c r="L296" s="7" t="n"/>
      <c r="M296" s="8" t="n"/>
      <c r="N296" s="7" t="n"/>
      <c r="O296" s="8" t="n"/>
      <c r="P296" s="6" t="n"/>
      <c r="Q296" s="8" t="n"/>
      <c r="S296" s="8">
        <f>IF(B296="","",E296*F296)</f>
        <v/>
      </c>
      <c r="T296" s="8">
        <f>IF(OR(B296="",N(G296)=0),"",ABS(F296-G296)*E296)</f>
        <v/>
      </c>
      <c r="U296" s="8">
        <f>IF(OR(B296="",P296=""),"",IF(D296="Venda",-1,1)*((N(J296)*N(K296)+N(L296)*N(M296)+N(N296)*N(O296))-(N(J296)+N(L296)+N(N296))*F296)-N(Q296))</f>
        <v/>
      </c>
      <c r="V296" s="9">
        <f>IF(OR(B296="",P296=""),"",U296/S296)</f>
        <v/>
      </c>
      <c r="W296">
        <f>IF(OR(B296="",P296=""),"",NETWORKDAYS(C296,P296)-1)</f>
        <v/>
      </c>
      <c r="X296">
        <f>IF(B296="","",IF(P296="","Aberto","Fechado"))</f>
        <v/>
      </c>
    </row>
    <row r="297">
      <c r="C297" s="6" t="n"/>
      <c r="E297" s="7" t="n"/>
      <c r="F297" s="8" t="n"/>
      <c r="G297" s="8" t="n"/>
      <c r="H297" s="8" t="n"/>
      <c r="J297" s="7" t="n"/>
      <c r="K297" s="8" t="n"/>
      <c r="L297" s="7" t="n"/>
      <c r="M297" s="8" t="n"/>
      <c r="N297" s="7" t="n"/>
      <c r="O297" s="8" t="n"/>
      <c r="P297" s="6" t="n"/>
      <c r="Q297" s="8" t="n"/>
      <c r="S297" s="8">
        <f>IF(B297="","",E297*F297)</f>
        <v/>
      </c>
      <c r="T297" s="8">
        <f>IF(OR(B297="",N(G297)=0),"",ABS(F297-G297)*E297)</f>
        <v/>
      </c>
      <c r="U297" s="8">
        <f>IF(OR(B297="",P297=""),"",IF(D297="Venda",-1,1)*((N(J297)*N(K297)+N(L297)*N(M297)+N(N297)*N(O297))-(N(J297)+N(L297)+N(N297))*F297)-N(Q297))</f>
        <v/>
      </c>
      <c r="V297" s="9">
        <f>IF(OR(B297="",P297=""),"",U297/S297)</f>
        <v/>
      </c>
      <c r="W297">
        <f>IF(OR(B297="",P297=""),"",NETWORKDAYS(C297,P297)-1)</f>
        <v/>
      </c>
      <c r="X297">
        <f>IF(B297="","",IF(P297="","Aberto","Fechado"))</f>
        <v/>
      </c>
    </row>
    <row r="298">
      <c r="C298" s="6" t="n"/>
      <c r="E298" s="7" t="n"/>
      <c r="F298" s="8" t="n"/>
      <c r="G298" s="8" t="n"/>
      <c r="H298" s="8" t="n"/>
      <c r="J298" s="7" t="n"/>
      <c r="K298" s="8" t="n"/>
      <c r="L298" s="7" t="n"/>
      <c r="M298" s="8" t="n"/>
      <c r="N298" s="7" t="n"/>
      <c r="O298" s="8" t="n"/>
      <c r="P298" s="6" t="n"/>
      <c r="Q298" s="8" t="n"/>
      <c r="S298" s="8">
        <f>IF(B298="","",E298*F298)</f>
        <v/>
      </c>
      <c r="T298" s="8">
        <f>IF(OR(B298="",N(G298)=0),"",ABS(F298-G298)*E298)</f>
        <v/>
      </c>
      <c r="U298" s="8">
        <f>IF(OR(B298="",P298=""),"",IF(D298="Venda",-1,1)*((N(J298)*N(K298)+N(L298)*N(M298)+N(N298)*N(O298))-(N(J298)+N(L298)+N(N298))*F298)-N(Q298))</f>
        <v/>
      </c>
      <c r="V298" s="9">
        <f>IF(OR(B298="",P298=""),"",U298/S298)</f>
        <v/>
      </c>
      <c r="W298">
        <f>IF(OR(B298="",P298=""),"",NETWORKDAYS(C298,P298)-1)</f>
        <v/>
      </c>
      <c r="X298">
        <f>IF(B298="","",IF(P298="","Aberto","Fechado"))</f>
        <v/>
      </c>
    </row>
    <row r="299">
      <c r="C299" s="6" t="n"/>
      <c r="E299" s="7" t="n"/>
      <c r="F299" s="8" t="n"/>
      <c r="G299" s="8" t="n"/>
      <c r="H299" s="8" t="n"/>
      <c r="J299" s="7" t="n"/>
      <c r="K299" s="8" t="n"/>
      <c r="L299" s="7" t="n"/>
      <c r="M299" s="8" t="n"/>
      <c r="N299" s="7" t="n"/>
      <c r="O299" s="8" t="n"/>
      <c r="P299" s="6" t="n"/>
      <c r="Q299" s="8" t="n"/>
      <c r="S299" s="8">
        <f>IF(B299="","",E299*F299)</f>
        <v/>
      </c>
      <c r="T299" s="8">
        <f>IF(OR(B299="",N(G299)=0),"",ABS(F299-G299)*E299)</f>
        <v/>
      </c>
      <c r="U299" s="8">
        <f>IF(OR(B299="",P299=""),"",IF(D299="Venda",-1,1)*((N(J299)*N(K299)+N(L299)*N(M299)+N(N299)*N(O299))-(N(J299)+N(L299)+N(N299))*F299)-N(Q299))</f>
        <v/>
      </c>
      <c r="V299" s="9">
        <f>IF(OR(B299="",P299=""),"",U299/S299)</f>
        <v/>
      </c>
      <c r="W299">
        <f>IF(OR(B299="",P299=""),"",NETWORKDAYS(C299,P299)-1)</f>
        <v/>
      </c>
      <c r="X299">
        <f>IF(B299="","",IF(P299="","Aberto","Fechado"))</f>
        <v/>
      </c>
    </row>
    <row r="300">
      <c r="C300" s="6" t="n"/>
      <c r="E300" s="7" t="n"/>
      <c r="F300" s="8" t="n"/>
      <c r="G300" s="8" t="n"/>
      <c r="H300" s="8" t="n"/>
      <c r="J300" s="7" t="n"/>
      <c r="K300" s="8" t="n"/>
      <c r="L300" s="7" t="n"/>
      <c r="M300" s="8" t="n"/>
      <c r="N300" s="7" t="n"/>
      <c r="O300" s="8" t="n"/>
      <c r="P300" s="6" t="n"/>
      <c r="Q300" s="8" t="n"/>
      <c r="S300" s="8">
        <f>IF(B300="","",E300*F300)</f>
        <v/>
      </c>
      <c r="T300" s="8">
        <f>IF(OR(B300="",N(G300)=0),"",ABS(F300-G300)*E300)</f>
        <v/>
      </c>
      <c r="U300" s="8">
        <f>IF(OR(B300="",P300=""),"",IF(D300="Venda",-1,1)*((N(J300)*N(K300)+N(L300)*N(M300)+N(N300)*N(O300))-(N(J300)+N(L300)+N(N300))*F300)-N(Q300))</f>
        <v/>
      </c>
      <c r="V300" s="9">
        <f>IF(OR(B300="",P300=""),"",U300/S300)</f>
        <v/>
      </c>
      <c r="W300">
        <f>IF(OR(B300="",P300=""),"",NETWORKDAYS(C300,P300)-1)</f>
        <v/>
      </c>
      <c r="X300">
        <f>IF(B300="","",IF(P300="","Aberto","Fechado"))</f>
        <v/>
      </c>
    </row>
    <row r="301">
      <c r="C301" s="6" t="n"/>
      <c r="E301" s="7" t="n"/>
      <c r="F301" s="8" t="n"/>
      <c r="G301" s="8" t="n"/>
      <c r="H301" s="8" t="n"/>
      <c r="J301" s="7" t="n"/>
      <c r="K301" s="8" t="n"/>
      <c r="L301" s="7" t="n"/>
      <c r="M301" s="8" t="n"/>
      <c r="N301" s="7" t="n"/>
      <c r="O301" s="8" t="n"/>
      <c r="P301" s="6" t="n"/>
      <c r="Q301" s="8" t="n"/>
      <c r="S301" s="8">
        <f>IF(B301="","",E301*F301)</f>
        <v/>
      </c>
      <c r="T301" s="8">
        <f>IF(OR(B301="",N(G301)=0),"",ABS(F301-G301)*E301)</f>
        <v/>
      </c>
      <c r="U301" s="8">
        <f>IF(OR(B301="",P301=""),"",IF(D301="Venda",-1,1)*((N(J301)*N(K301)+N(L301)*N(M301)+N(N301)*N(O301))-(N(J301)+N(L301)+N(N301))*F301)-N(Q301))</f>
        <v/>
      </c>
      <c r="V301" s="9">
        <f>IF(OR(B301="",P301=""),"",U301/S301)</f>
        <v/>
      </c>
      <c r="W301">
        <f>IF(OR(B301="",P301=""),"",NETWORKDAYS(C301,P301)-1)</f>
        <v/>
      </c>
      <c r="X301">
        <f>IF(B301="","",IF(P301="","Aberto","Fechado"))</f>
        <v/>
      </c>
    </row>
    <row r="302">
      <c r="C302" s="6" t="n"/>
      <c r="E302" s="7" t="n"/>
      <c r="F302" s="8" t="n"/>
      <c r="G302" s="8" t="n"/>
      <c r="H302" s="8" t="n"/>
      <c r="J302" s="7" t="n"/>
      <c r="K302" s="8" t="n"/>
      <c r="L302" s="7" t="n"/>
      <c r="M302" s="8" t="n"/>
      <c r="N302" s="7" t="n"/>
      <c r="O302" s="8" t="n"/>
      <c r="P302" s="6" t="n"/>
      <c r="Q302" s="8" t="n"/>
      <c r="S302" s="8">
        <f>IF(B302="","",E302*F302)</f>
        <v/>
      </c>
      <c r="T302" s="8">
        <f>IF(OR(B302="",N(G302)=0),"",ABS(F302-G302)*E302)</f>
        <v/>
      </c>
      <c r="U302" s="8">
        <f>IF(OR(B302="",P302=""),"",IF(D302="Venda",-1,1)*((N(J302)*N(K302)+N(L302)*N(M302)+N(N302)*N(O302))-(N(J302)+N(L302)+N(N302))*F302)-N(Q302))</f>
        <v/>
      </c>
      <c r="V302" s="9">
        <f>IF(OR(B302="",P302=""),"",U302/S302)</f>
        <v/>
      </c>
      <c r="W302">
        <f>IF(OR(B302="",P302=""),"",NETWORKDAYS(C302,P302)-1)</f>
        <v/>
      </c>
      <c r="X302">
        <f>IF(B302="","",IF(P302="","Aberto","Fechado"))</f>
        <v/>
      </c>
    </row>
    <row r="303">
      <c r="C303" s="6" t="n"/>
      <c r="E303" s="7" t="n"/>
      <c r="F303" s="8" t="n"/>
      <c r="G303" s="8" t="n"/>
      <c r="H303" s="8" t="n"/>
      <c r="J303" s="7" t="n"/>
      <c r="K303" s="8" t="n"/>
      <c r="L303" s="7" t="n"/>
      <c r="M303" s="8" t="n"/>
      <c r="N303" s="7" t="n"/>
      <c r="O303" s="8" t="n"/>
      <c r="P303" s="6" t="n"/>
      <c r="Q303" s="8" t="n"/>
      <c r="S303" s="8">
        <f>IF(B303="","",E303*F303)</f>
        <v/>
      </c>
      <c r="T303" s="8">
        <f>IF(OR(B303="",N(G303)=0),"",ABS(F303-G303)*E303)</f>
        <v/>
      </c>
      <c r="U303" s="8">
        <f>IF(OR(B303="",P303=""),"",IF(D303="Venda",-1,1)*((N(J303)*N(K303)+N(L303)*N(M303)+N(N303)*N(O303))-(N(J303)+N(L303)+N(N303))*F303)-N(Q303))</f>
        <v/>
      </c>
      <c r="V303" s="9">
        <f>IF(OR(B303="",P303=""),"",U303/S303)</f>
        <v/>
      </c>
      <c r="W303">
        <f>IF(OR(B303="",P303=""),"",NETWORKDAYS(C303,P303)-1)</f>
        <v/>
      </c>
      <c r="X303">
        <f>IF(B303="","",IF(P303="","Aberto","Fechado"))</f>
        <v/>
      </c>
    </row>
    <row r="304">
      <c r="C304" s="6" t="n"/>
      <c r="E304" s="7" t="n"/>
      <c r="F304" s="8" t="n"/>
      <c r="G304" s="8" t="n"/>
      <c r="H304" s="8" t="n"/>
      <c r="J304" s="7" t="n"/>
      <c r="K304" s="8" t="n"/>
      <c r="L304" s="7" t="n"/>
      <c r="M304" s="8" t="n"/>
      <c r="N304" s="7" t="n"/>
      <c r="O304" s="8" t="n"/>
      <c r="P304" s="6" t="n"/>
      <c r="Q304" s="8" t="n"/>
      <c r="S304" s="8">
        <f>IF(B304="","",E304*F304)</f>
        <v/>
      </c>
      <c r="T304" s="8">
        <f>IF(OR(B304="",N(G304)=0),"",ABS(F304-G304)*E304)</f>
        <v/>
      </c>
      <c r="U304" s="8">
        <f>IF(OR(B304="",P304=""),"",IF(D304="Venda",-1,1)*((N(J304)*N(K304)+N(L304)*N(M304)+N(N304)*N(O304))-(N(J304)+N(L304)+N(N304))*F304)-N(Q304))</f>
        <v/>
      </c>
      <c r="V304" s="9">
        <f>IF(OR(B304="",P304=""),"",U304/S304)</f>
        <v/>
      </c>
      <c r="W304">
        <f>IF(OR(B304="",P304=""),"",NETWORKDAYS(C304,P304)-1)</f>
        <v/>
      </c>
      <c r="X304">
        <f>IF(B304="","",IF(P304="","Aberto","Fechado"))</f>
        <v/>
      </c>
    </row>
    <row r="305">
      <c r="C305" s="6" t="n"/>
      <c r="E305" s="7" t="n"/>
      <c r="F305" s="8" t="n"/>
      <c r="G305" s="8" t="n"/>
      <c r="H305" s="8" t="n"/>
      <c r="J305" s="7" t="n"/>
      <c r="K305" s="8" t="n"/>
      <c r="L305" s="7" t="n"/>
      <c r="M305" s="8" t="n"/>
      <c r="N305" s="7" t="n"/>
      <c r="O305" s="8" t="n"/>
      <c r="P305" s="6" t="n"/>
      <c r="Q305" s="8" t="n"/>
      <c r="S305" s="8">
        <f>IF(B305="","",E305*F305)</f>
        <v/>
      </c>
      <c r="T305" s="8">
        <f>IF(OR(B305="",N(G305)=0),"",ABS(F305-G305)*E305)</f>
        <v/>
      </c>
      <c r="U305" s="8">
        <f>IF(OR(B305="",P305=""),"",IF(D305="Venda",-1,1)*((N(J305)*N(K305)+N(L305)*N(M305)+N(N305)*N(O305))-(N(J305)+N(L305)+N(N305))*F305)-N(Q305))</f>
        <v/>
      </c>
      <c r="V305" s="9">
        <f>IF(OR(B305="",P305=""),"",U305/S305)</f>
        <v/>
      </c>
      <c r="W305">
        <f>IF(OR(B305="",P305=""),"",NETWORKDAYS(C305,P305)-1)</f>
        <v/>
      </c>
      <c r="X305">
        <f>IF(B305="","",IF(P305="","Aberto","Fechado"))</f>
        <v/>
      </c>
    </row>
    <row r="306">
      <c r="C306" s="6" t="n"/>
      <c r="E306" s="7" t="n"/>
      <c r="F306" s="8" t="n"/>
      <c r="G306" s="8" t="n"/>
      <c r="H306" s="8" t="n"/>
      <c r="J306" s="7" t="n"/>
      <c r="K306" s="8" t="n"/>
      <c r="L306" s="7" t="n"/>
      <c r="M306" s="8" t="n"/>
      <c r="N306" s="7" t="n"/>
      <c r="O306" s="8" t="n"/>
      <c r="P306" s="6" t="n"/>
      <c r="Q306" s="8" t="n"/>
      <c r="S306" s="8">
        <f>IF(B306="","",E306*F306)</f>
        <v/>
      </c>
      <c r="T306" s="8">
        <f>IF(OR(B306="",N(G306)=0),"",ABS(F306-G306)*E306)</f>
        <v/>
      </c>
      <c r="U306" s="8">
        <f>IF(OR(B306="",P306=""),"",IF(D306="Venda",-1,1)*((N(J306)*N(K306)+N(L306)*N(M306)+N(N306)*N(O306))-(N(J306)+N(L306)+N(N306))*F306)-N(Q306))</f>
        <v/>
      </c>
      <c r="V306" s="9">
        <f>IF(OR(B306="",P306=""),"",U306/S306)</f>
        <v/>
      </c>
      <c r="W306">
        <f>IF(OR(B306="",P306=""),"",NETWORKDAYS(C306,P306)-1)</f>
        <v/>
      </c>
      <c r="X306">
        <f>IF(B306="","",IF(P306="","Aberto","Fechado"))</f>
        <v/>
      </c>
    </row>
    <row r="307">
      <c r="C307" s="6" t="n"/>
      <c r="E307" s="7" t="n"/>
      <c r="F307" s="8" t="n"/>
      <c r="G307" s="8" t="n"/>
      <c r="H307" s="8" t="n"/>
      <c r="J307" s="7" t="n"/>
      <c r="K307" s="8" t="n"/>
      <c r="L307" s="7" t="n"/>
      <c r="M307" s="8" t="n"/>
      <c r="N307" s="7" t="n"/>
      <c r="O307" s="8" t="n"/>
      <c r="P307" s="6" t="n"/>
      <c r="Q307" s="8" t="n"/>
      <c r="S307" s="8">
        <f>IF(B307="","",E307*F307)</f>
        <v/>
      </c>
      <c r="T307" s="8">
        <f>IF(OR(B307="",N(G307)=0),"",ABS(F307-G307)*E307)</f>
        <v/>
      </c>
      <c r="U307" s="8">
        <f>IF(OR(B307="",P307=""),"",IF(D307="Venda",-1,1)*((N(J307)*N(K307)+N(L307)*N(M307)+N(N307)*N(O307))-(N(J307)+N(L307)+N(N307))*F307)-N(Q307))</f>
        <v/>
      </c>
      <c r="V307" s="9">
        <f>IF(OR(B307="",P307=""),"",U307/S307)</f>
        <v/>
      </c>
      <c r="W307">
        <f>IF(OR(B307="",P307=""),"",NETWORKDAYS(C307,P307)-1)</f>
        <v/>
      </c>
      <c r="X307">
        <f>IF(B307="","",IF(P307="","Aberto","Fechado"))</f>
        <v/>
      </c>
    </row>
    <row r="308">
      <c r="C308" s="6" t="n"/>
      <c r="E308" s="7" t="n"/>
      <c r="F308" s="8" t="n"/>
      <c r="G308" s="8" t="n"/>
      <c r="H308" s="8" t="n"/>
      <c r="J308" s="7" t="n"/>
      <c r="K308" s="8" t="n"/>
      <c r="L308" s="7" t="n"/>
      <c r="M308" s="8" t="n"/>
      <c r="N308" s="7" t="n"/>
      <c r="O308" s="8" t="n"/>
      <c r="P308" s="6" t="n"/>
      <c r="Q308" s="8" t="n"/>
      <c r="S308" s="8">
        <f>IF(B308="","",E308*F308)</f>
        <v/>
      </c>
      <c r="T308" s="8">
        <f>IF(OR(B308="",N(G308)=0),"",ABS(F308-G308)*E308)</f>
        <v/>
      </c>
      <c r="U308" s="8">
        <f>IF(OR(B308="",P308=""),"",IF(D308="Venda",-1,1)*((N(J308)*N(K308)+N(L308)*N(M308)+N(N308)*N(O308))-(N(J308)+N(L308)+N(N308))*F308)-N(Q308))</f>
        <v/>
      </c>
      <c r="V308" s="9">
        <f>IF(OR(B308="",P308=""),"",U308/S308)</f>
        <v/>
      </c>
      <c r="W308">
        <f>IF(OR(B308="",P308=""),"",NETWORKDAYS(C308,P308)-1)</f>
        <v/>
      </c>
      <c r="X308">
        <f>IF(B308="","",IF(P308="","Aberto","Fechado"))</f>
        <v/>
      </c>
    </row>
    <row r="309">
      <c r="C309" s="6" t="n"/>
      <c r="E309" s="7" t="n"/>
      <c r="F309" s="8" t="n"/>
      <c r="G309" s="8" t="n"/>
      <c r="H309" s="8" t="n"/>
      <c r="J309" s="7" t="n"/>
      <c r="K309" s="8" t="n"/>
      <c r="L309" s="7" t="n"/>
      <c r="M309" s="8" t="n"/>
      <c r="N309" s="7" t="n"/>
      <c r="O309" s="8" t="n"/>
      <c r="P309" s="6" t="n"/>
      <c r="Q309" s="8" t="n"/>
      <c r="S309" s="8">
        <f>IF(B309="","",E309*F309)</f>
        <v/>
      </c>
      <c r="T309" s="8">
        <f>IF(OR(B309="",N(G309)=0),"",ABS(F309-G309)*E309)</f>
        <v/>
      </c>
      <c r="U309" s="8">
        <f>IF(OR(B309="",P309=""),"",IF(D309="Venda",-1,1)*((N(J309)*N(K309)+N(L309)*N(M309)+N(N309)*N(O309))-(N(J309)+N(L309)+N(N309))*F309)-N(Q309))</f>
        <v/>
      </c>
      <c r="V309" s="9">
        <f>IF(OR(B309="",P309=""),"",U309/S309)</f>
        <v/>
      </c>
      <c r="W309">
        <f>IF(OR(B309="",P309=""),"",NETWORKDAYS(C309,P309)-1)</f>
        <v/>
      </c>
      <c r="X309">
        <f>IF(B309="","",IF(P309="","Aberto","Fechado"))</f>
        <v/>
      </c>
    </row>
    <row r="310">
      <c r="C310" s="6" t="n"/>
      <c r="E310" s="7" t="n"/>
      <c r="F310" s="8" t="n"/>
      <c r="G310" s="8" t="n"/>
      <c r="H310" s="8" t="n"/>
      <c r="J310" s="7" t="n"/>
      <c r="K310" s="8" t="n"/>
      <c r="L310" s="7" t="n"/>
      <c r="M310" s="8" t="n"/>
      <c r="N310" s="7" t="n"/>
      <c r="O310" s="8" t="n"/>
      <c r="P310" s="6" t="n"/>
      <c r="Q310" s="8" t="n"/>
      <c r="S310" s="8">
        <f>IF(B310="","",E310*F310)</f>
        <v/>
      </c>
      <c r="T310" s="8">
        <f>IF(OR(B310="",N(G310)=0),"",ABS(F310-G310)*E310)</f>
        <v/>
      </c>
      <c r="U310" s="8">
        <f>IF(OR(B310="",P310=""),"",IF(D310="Venda",-1,1)*((N(J310)*N(K310)+N(L310)*N(M310)+N(N310)*N(O310))-(N(J310)+N(L310)+N(N310))*F310)-N(Q310))</f>
        <v/>
      </c>
      <c r="V310" s="9">
        <f>IF(OR(B310="",P310=""),"",U310/S310)</f>
        <v/>
      </c>
      <c r="W310">
        <f>IF(OR(B310="",P310=""),"",NETWORKDAYS(C310,P310)-1)</f>
        <v/>
      </c>
      <c r="X310">
        <f>IF(B310="","",IF(P310="","Aberto","Fechado"))</f>
        <v/>
      </c>
    </row>
    <row r="311">
      <c r="C311" s="6" t="n"/>
      <c r="E311" s="7" t="n"/>
      <c r="F311" s="8" t="n"/>
      <c r="G311" s="8" t="n"/>
      <c r="H311" s="8" t="n"/>
      <c r="J311" s="7" t="n"/>
      <c r="K311" s="8" t="n"/>
      <c r="L311" s="7" t="n"/>
      <c r="M311" s="8" t="n"/>
      <c r="N311" s="7" t="n"/>
      <c r="O311" s="8" t="n"/>
      <c r="P311" s="6" t="n"/>
      <c r="Q311" s="8" t="n"/>
      <c r="S311" s="8">
        <f>IF(B311="","",E311*F311)</f>
        <v/>
      </c>
      <c r="T311" s="8">
        <f>IF(OR(B311="",N(G311)=0),"",ABS(F311-G311)*E311)</f>
        <v/>
      </c>
      <c r="U311" s="8">
        <f>IF(OR(B311="",P311=""),"",IF(D311="Venda",-1,1)*((N(J311)*N(K311)+N(L311)*N(M311)+N(N311)*N(O311))-(N(J311)+N(L311)+N(N311))*F311)-N(Q311))</f>
        <v/>
      </c>
      <c r="V311" s="9">
        <f>IF(OR(B311="",P311=""),"",U311/S311)</f>
        <v/>
      </c>
      <c r="W311">
        <f>IF(OR(B311="",P311=""),"",NETWORKDAYS(C311,P311)-1)</f>
        <v/>
      </c>
      <c r="X311">
        <f>IF(B311="","",IF(P311="","Aberto","Fechado"))</f>
        <v/>
      </c>
    </row>
    <row r="312">
      <c r="C312" s="6" t="n"/>
      <c r="E312" s="7" t="n"/>
      <c r="F312" s="8" t="n"/>
      <c r="G312" s="8" t="n"/>
      <c r="H312" s="8" t="n"/>
      <c r="J312" s="7" t="n"/>
      <c r="K312" s="8" t="n"/>
      <c r="L312" s="7" t="n"/>
      <c r="M312" s="8" t="n"/>
      <c r="N312" s="7" t="n"/>
      <c r="O312" s="8" t="n"/>
      <c r="P312" s="6" t="n"/>
      <c r="Q312" s="8" t="n"/>
      <c r="S312" s="8">
        <f>IF(B312="","",E312*F312)</f>
        <v/>
      </c>
      <c r="T312" s="8">
        <f>IF(OR(B312="",N(G312)=0),"",ABS(F312-G312)*E312)</f>
        <v/>
      </c>
      <c r="U312" s="8">
        <f>IF(OR(B312="",P312=""),"",IF(D312="Venda",-1,1)*((N(J312)*N(K312)+N(L312)*N(M312)+N(N312)*N(O312))-(N(J312)+N(L312)+N(N312))*F312)-N(Q312))</f>
        <v/>
      </c>
      <c r="V312" s="9">
        <f>IF(OR(B312="",P312=""),"",U312/S312)</f>
        <v/>
      </c>
      <c r="W312">
        <f>IF(OR(B312="",P312=""),"",NETWORKDAYS(C312,P312)-1)</f>
        <v/>
      </c>
      <c r="X312">
        <f>IF(B312="","",IF(P312="","Aberto","Fechado"))</f>
        <v/>
      </c>
    </row>
    <row r="313">
      <c r="C313" s="6" t="n"/>
      <c r="E313" s="7" t="n"/>
      <c r="F313" s="8" t="n"/>
      <c r="G313" s="8" t="n"/>
      <c r="H313" s="8" t="n"/>
      <c r="J313" s="7" t="n"/>
      <c r="K313" s="8" t="n"/>
      <c r="L313" s="7" t="n"/>
      <c r="M313" s="8" t="n"/>
      <c r="N313" s="7" t="n"/>
      <c r="O313" s="8" t="n"/>
      <c r="P313" s="6" t="n"/>
      <c r="Q313" s="8" t="n"/>
      <c r="S313" s="8">
        <f>IF(B313="","",E313*F313)</f>
        <v/>
      </c>
      <c r="T313" s="8">
        <f>IF(OR(B313="",N(G313)=0),"",ABS(F313-G313)*E313)</f>
        <v/>
      </c>
      <c r="U313" s="8">
        <f>IF(OR(B313="",P313=""),"",IF(D313="Venda",-1,1)*((N(J313)*N(K313)+N(L313)*N(M313)+N(N313)*N(O313))-(N(J313)+N(L313)+N(N313))*F313)-N(Q313))</f>
        <v/>
      </c>
      <c r="V313" s="9">
        <f>IF(OR(B313="",P313=""),"",U313/S313)</f>
        <v/>
      </c>
      <c r="W313">
        <f>IF(OR(B313="",P313=""),"",NETWORKDAYS(C313,P313)-1)</f>
        <v/>
      </c>
      <c r="X313">
        <f>IF(B313="","",IF(P313="","Aberto","Fechado"))</f>
        <v/>
      </c>
    </row>
    <row r="314">
      <c r="C314" s="6" t="n"/>
      <c r="E314" s="7" t="n"/>
      <c r="F314" s="8" t="n"/>
      <c r="G314" s="8" t="n"/>
      <c r="H314" s="8" t="n"/>
      <c r="J314" s="7" t="n"/>
      <c r="K314" s="8" t="n"/>
      <c r="L314" s="7" t="n"/>
      <c r="M314" s="8" t="n"/>
      <c r="N314" s="7" t="n"/>
      <c r="O314" s="8" t="n"/>
      <c r="P314" s="6" t="n"/>
      <c r="Q314" s="8" t="n"/>
      <c r="S314" s="8">
        <f>IF(B314="","",E314*F314)</f>
        <v/>
      </c>
      <c r="T314" s="8">
        <f>IF(OR(B314="",N(G314)=0),"",ABS(F314-G314)*E314)</f>
        <v/>
      </c>
      <c r="U314" s="8">
        <f>IF(OR(B314="",P314=""),"",IF(D314="Venda",-1,1)*((N(J314)*N(K314)+N(L314)*N(M314)+N(N314)*N(O314))-(N(J314)+N(L314)+N(N314))*F314)-N(Q314))</f>
        <v/>
      </c>
      <c r="V314" s="9">
        <f>IF(OR(B314="",P314=""),"",U314/S314)</f>
        <v/>
      </c>
      <c r="W314">
        <f>IF(OR(B314="",P314=""),"",NETWORKDAYS(C314,P314)-1)</f>
        <v/>
      </c>
      <c r="X314">
        <f>IF(B314="","",IF(P314="","Aberto","Fechado"))</f>
        <v/>
      </c>
    </row>
    <row r="315">
      <c r="C315" s="6" t="n"/>
      <c r="E315" s="7" t="n"/>
      <c r="F315" s="8" t="n"/>
      <c r="G315" s="8" t="n"/>
      <c r="H315" s="8" t="n"/>
      <c r="J315" s="7" t="n"/>
      <c r="K315" s="8" t="n"/>
      <c r="L315" s="7" t="n"/>
      <c r="M315" s="8" t="n"/>
      <c r="N315" s="7" t="n"/>
      <c r="O315" s="8" t="n"/>
      <c r="P315" s="6" t="n"/>
      <c r="Q315" s="8" t="n"/>
      <c r="S315" s="8">
        <f>IF(B315="","",E315*F315)</f>
        <v/>
      </c>
      <c r="T315" s="8">
        <f>IF(OR(B315="",N(G315)=0),"",ABS(F315-G315)*E315)</f>
        <v/>
      </c>
      <c r="U315" s="8">
        <f>IF(OR(B315="",P315=""),"",IF(D315="Venda",-1,1)*((N(J315)*N(K315)+N(L315)*N(M315)+N(N315)*N(O315))-(N(J315)+N(L315)+N(N315))*F315)-N(Q315))</f>
        <v/>
      </c>
      <c r="V315" s="9">
        <f>IF(OR(B315="",P315=""),"",U315/S315)</f>
        <v/>
      </c>
      <c r="W315">
        <f>IF(OR(B315="",P315=""),"",NETWORKDAYS(C315,P315)-1)</f>
        <v/>
      </c>
      <c r="X315">
        <f>IF(B315="","",IF(P315="","Aberto","Fechado"))</f>
        <v/>
      </c>
    </row>
    <row r="316">
      <c r="C316" s="6" t="n"/>
      <c r="E316" s="7" t="n"/>
      <c r="F316" s="8" t="n"/>
      <c r="G316" s="8" t="n"/>
      <c r="H316" s="8" t="n"/>
      <c r="J316" s="7" t="n"/>
      <c r="K316" s="8" t="n"/>
      <c r="L316" s="7" t="n"/>
      <c r="M316" s="8" t="n"/>
      <c r="N316" s="7" t="n"/>
      <c r="O316" s="8" t="n"/>
      <c r="P316" s="6" t="n"/>
      <c r="Q316" s="8" t="n"/>
      <c r="S316" s="8">
        <f>IF(B316="","",E316*F316)</f>
        <v/>
      </c>
      <c r="T316" s="8">
        <f>IF(OR(B316="",N(G316)=0),"",ABS(F316-G316)*E316)</f>
        <v/>
      </c>
      <c r="U316" s="8">
        <f>IF(OR(B316="",P316=""),"",IF(D316="Venda",-1,1)*((N(J316)*N(K316)+N(L316)*N(M316)+N(N316)*N(O316))-(N(J316)+N(L316)+N(N316))*F316)-N(Q316))</f>
        <v/>
      </c>
      <c r="V316" s="9">
        <f>IF(OR(B316="",P316=""),"",U316/S316)</f>
        <v/>
      </c>
      <c r="W316">
        <f>IF(OR(B316="",P316=""),"",NETWORKDAYS(C316,P316)-1)</f>
        <v/>
      </c>
      <c r="X316">
        <f>IF(B316="","",IF(P316="","Aberto","Fechado"))</f>
        <v/>
      </c>
    </row>
    <row r="317">
      <c r="C317" s="6" t="n"/>
      <c r="E317" s="7" t="n"/>
      <c r="F317" s="8" t="n"/>
      <c r="G317" s="8" t="n"/>
      <c r="H317" s="8" t="n"/>
      <c r="J317" s="7" t="n"/>
      <c r="K317" s="8" t="n"/>
      <c r="L317" s="7" t="n"/>
      <c r="M317" s="8" t="n"/>
      <c r="N317" s="7" t="n"/>
      <c r="O317" s="8" t="n"/>
      <c r="P317" s="6" t="n"/>
      <c r="Q317" s="8" t="n"/>
      <c r="S317" s="8">
        <f>IF(B317="","",E317*F317)</f>
        <v/>
      </c>
      <c r="T317" s="8">
        <f>IF(OR(B317="",N(G317)=0),"",ABS(F317-G317)*E317)</f>
        <v/>
      </c>
      <c r="U317" s="8">
        <f>IF(OR(B317="",P317=""),"",IF(D317="Venda",-1,1)*((N(J317)*N(K317)+N(L317)*N(M317)+N(N317)*N(O317))-(N(J317)+N(L317)+N(N317))*F317)-N(Q317))</f>
        <v/>
      </c>
      <c r="V317" s="9">
        <f>IF(OR(B317="",P317=""),"",U317/S317)</f>
        <v/>
      </c>
      <c r="W317">
        <f>IF(OR(B317="",P317=""),"",NETWORKDAYS(C317,P317)-1)</f>
        <v/>
      </c>
      <c r="X317">
        <f>IF(B317="","",IF(P317="","Aberto","Fechado"))</f>
        <v/>
      </c>
    </row>
    <row r="318">
      <c r="C318" s="6" t="n"/>
      <c r="E318" s="7" t="n"/>
      <c r="F318" s="8" t="n"/>
      <c r="G318" s="8" t="n"/>
      <c r="H318" s="8" t="n"/>
      <c r="J318" s="7" t="n"/>
      <c r="K318" s="8" t="n"/>
      <c r="L318" s="7" t="n"/>
      <c r="M318" s="8" t="n"/>
      <c r="N318" s="7" t="n"/>
      <c r="O318" s="8" t="n"/>
      <c r="P318" s="6" t="n"/>
      <c r="Q318" s="8" t="n"/>
      <c r="S318" s="8">
        <f>IF(B318="","",E318*F318)</f>
        <v/>
      </c>
      <c r="T318" s="8">
        <f>IF(OR(B318="",N(G318)=0),"",ABS(F318-G318)*E318)</f>
        <v/>
      </c>
      <c r="U318" s="8">
        <f>IF(OR(B318="",P318=""),"",IF(D318="Venda",-1,1)*((N(J318)*N(K318)+N(L318)*N(M318)+N(N318)*N(O318))-(N(J318)+N(L318)+N(N318))*F318)-N(Q318))</f>
        <v/>
      </c>
      <c r="V318" s="9">
        <f>IF(OR(B318="",P318=""),"",U318/S318)</f>
        <v/>
      </c>
      <c r="W318">
        <f>IF(OR(B318="",P318=""),"",NETWORKDAYS(C318,P318)-1)</f>
        <v/>
      </c>
      <c r="X318">
        <f>IF(B318="","",IF(P318="","Aberto","Fechado"))</f>
        <v/>
      </c>
    </row>
    <row r="319">
      <c r="C319" s="6" t="n"/>
      <c r="E319" s="7" t="n"/>
      <c r="F319" s="8" t="n"/>
      <c r="G319" s="8" t="n"/>
      <c r="H319" s="8" t="n"/>
      <c r="J319" s="7" t="n"/>
      <c r="K319" s="8" t="n"/>
      <c r="L319" s="7" t="n"/>
      <c r="M319" s="8" t="n"/>
      <c r="N319" s="7" t="n"/>
      <c r="O319" s="8" t="n"/>
      <c r="P319" s="6" t="n"/>
      <c r="Q319" s="8" t="n"/>
      <c r="S319" s="8">
        <f>IF(B319="","",E319*F319)</f>
        <v/>
      </c>
      <c r="T319" s="8">
        <f>IF(OR(B319="",N(G319)=0),"",ABS(F319-G319)*E319)</f>
        <v/>
      </c>
      <c r="U319" s="8">
        <f>IF(OR(B319="",P319=""),"",IF(D319="Venda",-1,1)*((N(J319)*N(K319)+N(L319)*N(M319)+N(N319)*N(O319))-(N(J319)+N(L319)+N(N319))*F319)-N(Q319))</f>
        <v/>
      </c>
      <c r="V319" s="9">
        <f>IF(OR(B319="",P319=""),"",U319/S319)</f>
        <v/>
      </c>
      <c r="W319">
        <f>IF(OR(B319="",P319=""),"",NETWORKDAYS(C319,P319)-1)</f>
        <v/>
      </c>
      <c r="X319">
        <f>IF(B319="","",IF(P319="","Aberto","Fechado"))</f>
        <v/>
      </c>
    </row>
    <row r="320">
      <c r="C320" s="6" t="n"/>
      <c r="E320" s="7" t="n"/>
      <c r="F320" s="8" t="n"/>
      <c r="G320" s="8" t="n"/>
      <c r="H320" s="8" t="n"/>
      <c r="J320" s="7" t="n"/>
      <c r="K320" s="8" t="n"/>
      <c r="L320" s="7" t="n"/>
      <c r="M320" s="8" t="n"/>
      <c r="N320" s="7" t="n"/>
      <c r="O320" s="8" t="n"/>
      <c r="P320" s="6" t="n"/>
      <c r="Q320" s="8" t="n"/>
      <c r="S320" s="8">
        <f>IF(B320="","",E320*F320)</f>
        <v/>
      </c>
      <c r="T320" s="8">
        <f>IF(OR(B320="",N(G320)=0),"",ABS(F320-G320)*E320)</f>
        <v/>
      </c>
      <c r="U320" s="8">
        <f>IF(OR(B320="",P320=""),"",IF(D320="Venda",-1,1)*((N(J320)*N(K320)+N(L320)*N(M320)+N(N320)*N(O320))-(N(J320)+N(L320)+N(N320))*F320)-N(Q320))</f>
        <v/>
      </c>
      <c r="V320" s="9">
        <f>IF(OR(B320="",P320=""),"",U320/S320)</f>
        <v/>
      </c>
      <c r="W320">
        <f>IF(OR(B320="",P320=""),"",NETWORKDAYS(C320,P320)-1)</f>
        <v/>
      </c>
      <c r="X320">
        <f>IF(B320="","",IF(P320="","Aberto","Fechado"))</f>
        <v/>
      </c>
    </row>
    <row r="321">
      <c r="C321" s="6" t="n"/>
      <c r="E321" s="7" t="n"/>
      <c r="F321" s="8" t="n"/>
      <c r="G321" s="8" t="n"/>
      <c r="H321" s="8" t="n"/>
      <c r="J321" s="7" t="n"/>
      <c r="K321" s="8" t="n"/>
      <c r="L321" s="7" t="n"/>
      <c r="M321" s="8" t="n"/>
      <c r="N321" s="7" t="n"/>
      <c r="O321" s="8" t="n"/>
      <c r="P321" s="6" t="n"/>
      <c r="Q321" s="8" t="n"/>
      <c r="S321" s="8">
        <f>IF(B321="","",E321*F321)</f>
        <v/>
      </c>
      <c r="T321" s="8">
        <f>IF(OR(B321="",N(G321)=0),"",ABS(F321-G321)*E321)</f>
        <v/>
      </c>
      <c r="U321" s="8">
        <f>IF(OR(B321="",P321=""),"",IF(D321="Venda",-1,1)*((N(J321)*N(K321)+N(L321)*N(M321)+N(N321)*N(O321))-(N(J321)+N(L321)+N(N321))*F321)-N(Q321))</f>
        <v/>
      </c>
      <c r="V321" s="9">
        <f>IF(OR(B321="",P321=""),"",U321/S321)</f>
        <v/>
      </c>
      <c r="W321">
        <f>IF(OR(B321="",P321=""),"",NETWORKDAYS(C321,P321)-1)</f>
        <v/>
      </c>
      <c r="X321">
        <f>IF(B321="","",IF(P321="","Aberto","Fechado"))</f>
        <v/>
      </c>
    </row>
    <row r="322">
      <c r="C322" s="6" t="n"/>
      <c r="E322" s="7" t="n"/>
      <c r="F322" s="8" t="n"/>
      <c r="G322" s="8" t="n"/>
      <c r="H322" s="8" t="n"/>
      <c r="J322" s="7" t="n"/>
      <c r="K322" s="8" t="n"/>
      <c r="L322" s="7" t="n"/>
      <c r="M322" s="8" t="n"/>
      <c r="N322" s="7" t="n"/>
      <c r="O322" s="8" t="n"/>
      <c r="P322" s="6" t="n"/>
      <c r="Q322" s="8" t="n"/>
      <c r="S322" s="8">
        <f>IF(B322="","",E322*F322)</f>
        <v/>
      </c>
      <c r="T322" s="8">
        <f>IF(OR(B322="",N(G322)=0),"",ABS(F322-G322)*E322)</f>
        <v/>
      </c>
      <c r="U322" s="8">
        <f>IF(OR(B322="",P322=""),"",IF(D322="Venda",-1,1)*((N(J322)*N(K322)+N(L322)*N(M322)+N(N322)*N(O322))-(N(J322)+N(L322)+N(N322))*F322)-N(Q322))</f>
        <v/>
      </c>
      <c r="V322" s="9">
        <f>IF(OR(B322="",P322=""),"",U322/S322)</f>
        <v/>
      </c>
      <c r="W322">
        <f>IF(OR(B322="",P322=""),"",NETWORKDAYS(C322,P322)-1)</f>
        <v/>
      </c>
      <c r="X322">
        <f>IF(B322="","",IF(P322="","Aberto","Fechado"))</f>
        <v/>
      </c>
    </row>
    <row r="323">
      <c r="C323" s="6" t="n"/>
      <c r="E323" s="7" t="n"/>
      <c r="F323" s="8" t="n"/>
      <c r="G323" s="8" t="n"/>
      <c r="H323" s="8" t="n"/>
      <c r="J323" s="7" t="n"/>
      <c r="K323" s="8" t="n"/>
      <c r="L323" s="7" t="n"/>
      <c r="M323" s="8" t="n"/>
      <c r="N323" s="7" t="n"/>
      <c r="O323" s="8" t="n"/>
      <c r="P323" s="6" t="n"/>
      <c r="Q323" s="8" t="n"/>
      <c r="S323" s="8">
        <f>IF(B323="","",E323*F323)</f>
        <v/>
      </c>
      <c r="T323" s="8">
        <f>IF(OR(B323="",N(G323)=0),"",ABS(F323-G323)*E323)</f>
        <v/>
      </c>
      <c r="U323" s="8">
        <f>IF(OR(B323="",P323=""),"",IF(D323="Venda",-1,1)*((N(J323)*N(K323)+N(L323)*N(M323)+N(N323)*N(O323))-(N(J323)+N(L323)+N(N323))*F323)-N(Q323))</f>
        <v/>
      </c>
      <c r="V323" s="9">
        <f>IF(OR(B323="",P323=""),"",U323/S323)</f>
        <v/>
      </c>
      <c r="W323">
        <f>IF(OR(B323="",P323=""),"",NETWORKDAYS(C323,P323)-1)</f>
        <v/>
      </c>
      <c r="X323">
        <f>IF(B323="","",IF(P323="","Aberto","Fechado"))</f>
        <v/>
      </c>
    </row>
    <row r="324">
      <c r="C324" s="6" t="n"/>
      <c r="E324" s="7" t="n"/>
      <c r="F324" s="8" t="n"/>
      <c r="G324" s="8" t="n"/>
      <c r="H324" s="8" t="n"/>
      <c r="J324" s="7" t="n"/>
      <c r="K324" s="8" t="n"/>
      <c r="L324" s="7" t="n"/>
      <c r="M324" s="8" t="n"/>
      <c r="N324" s="7" t="n"/>
      <c r="O324" s="8" t="n"/>
      <c r="P324" s="6" t="n"/>
      <c r="Q324" s="8" t="n"/>
      <c r="S324" s="8">
        <f>IF(B324="","",E324*F324)</f>
        <v/>
      </c>
      <c r="T324" s="8">
        <f>IF(OR(B324="",N(G324)=0),"",ABS(F324-G324)*E324)</f>
        <v/>
      </c>
      <c r="U324" s="8">
        <f>IF(OR(B324="",P324=""),"",IF(D324="Venda",-1,1)*((N(J324)*N(K324)+N(L324)*N(M324)+N(N324)*N(O324))-(N(J324)+N(L324)+N(N324))*F324)-N(Q324))</f>
        <v/>
      </c>
      <c r="V324" s="9">
        <f>IF(OR(B324="",P324=""),"",U324/S324)</f>
        <v/>
      </c>
      <c r="W324">
        <f>IF(OR(B324="",P324=""),"",NETWORKDAYS(C324,P324)-1)</f>
        <v/>
      </c>
      <c r="X324">
        <f>IF(B324="","",IF(P324="","Aberto","Fechado"))</f>
        <v/>
      </c>
    </row>
    <row r="325">
      <c r="C325" s="6" t="n"/>
      <c r="E325" s="7" t="n"/>
      <c r="F325" s="8" t="n"/>
      <c r="G325" s="8" t="n"/>
      <c r="H325" s="8" t="n"/>
      <c r="J325" s="7" t="n"/>
      <c r="K325" s="8" t="n"/>
      <c r="L325" s="7" t="n"/>
      <c r="M325" s="8" t="n"/>
      <c r="N325" s="7" t="n"/>
      <c r="O325" s="8" t="n"/>
      <c r="P325" s="6" t="n"/>
      <c r="Q325" s="8" t="n"/>
      <c r="S325" s="8">
        <f>IF(B325="","",E325*F325)</f>
        <v/>
      </c>
      <c r="T325" s="8">
        <f>IF(OR(B325="",N(G325)=0),"",ABS(F325-G325)*E325)</f>
        <v/>
      </c>
      <c r="U325" s="8">
        <f>IF(OR(B325="",P325=""),"",IF(D325="Venda",-1,1)*((N(J325)*N(K325)+N(L325)*N(M325)+N(N325)*N(O325))-(N(J325)+N(L325)+N(N325))*F325)-N(Q325))</f>
        <v/>
      </c>
      <c r="V325" s="9">
        <f>IF(OR(B325="",P325=""),"",U325/S325)</f>
        <v/>
      </c>
      <c r="W325">
        <f>IF(OR(B325="",P325=""),"",NETWORKDAYS(C325,P325)-1)</f>
        <v/>
      </c>
      <c r="X325">
        <f>IF(B325="","",IF(P325="","Aberto","Fechado"))</f>
        <v/>
      </c>
    </row>
    <row r="326">
      <c r="C326" s="6" t="n"/>
      <c r="E326" s="7" t="n"/>
      <c r="F326" s="8" t="n"/>
      <c r="G326" s="8" t="n"/>
      <c r="H326" s="8" t="n"/>
      <c r="J326" s="7" t="n"/>
      <c r="K326" s="8" t="n"/>
      <c r="L326" s="7" t="n"/>
      <c r="M326" s="8" t="n"/>
      <c r="N326" s="7" t="n"/>
      <c r="O326" s="8" t="n"/>
      <c r="P326" s="6" t="n"/>
      <c r="Q326" s="8" t="n"/>
      <c r="S326" s="8">
        <f>IF(B326="","",E326*F326)</f>
        <v/>
      </c>
      <c r="T326" s="8">
        <f>IF(OR(B326="",N(G326)=0),"",ABS(F326-G326)*E326)</f>
        <v/>
      </c>
      <c r="U326" s="8">
        <f>IF(OR(B326="",P326=""),"",IF(D326="Venda",-1,1)*((N(J326)*N(K326)+N(L326)*N(M326)+N(N326)*N(O326))-(N(J326)+N(L326)+N(N326))*F326)-N(Q326))</f>
        <v/>
      </c>
      <c r="V326" s="9">
        <f>IF(OR(B326="",P326=""),"",U326/S326)</f>
        <v/>
      </c>
      <c r="W326">
        <f>IF(OR(B326="",P326=""),"",NETWORKDAYS(C326,P326)-1)</f>
        <v/>
      </c>
      <c r="X326">
        <f>IF(B326="","",IF(P326="","Aberto","Fechado"))</f>
        <v/>
      </c>
    </row>
    <row r="327">
      <c r="C327" s="6" t="n"/>
      <c r="E327" s="7" t="n"/>
      <c r="F327" s="8" t="n"/>
      <c r="G327" s="8" t="n"/>
      <c r="H327" s="8" t="n"/>
      <c r="J327" s="7" t="n"/>
      <c r="K327" s="8" t="n"/>
      <c r="L327" s="7" t="n"/>
      <c r="M327" s="8" t="n"/>
      <c r="N327" s="7" t="n"/>
      <c r="O327" s="8" t="n"/>
      <c r="P327" s="6" t="n"/>
      <c r="Q327" s="8" t="n"/>
      <c r="S327" s="8">
        <f>IF(B327="","",E327*F327)</f>
        <v/>
      </c>
      <c r="T327" s="8">
        <f>IF(OR(B327="",N(G327)=0),"",ABS(F327-G327)*E327)</f>
        <v/>
      </c>
      <c r="U327" s="8">
        <f>IF(OR(B327="",P327=""),"",IF(D327="Venda",-1,1)*((N(J327)*N(K327)+N(L327)*N(M327)+N(N327)*N(O327))-(N(J327)+N(L327)+N(N327))*F327)-N(Q327))</f>
        <v/>
      </c>
      <c r="V327" s="9">
        <f>IF(OR(B327="",P327=""),"",U327/S327)</f>
        <v/>
      </c>
      <c r="W327">
        <f>IF(OR(B327="",P327=""),"",NETWORKDAYS(C327,P327)-1)</f>
        <v/>
      </c>
      <c r="X327">
        <f>IF(B327="","",IF(P327="","Aberto","Fechado"))</f>
        <v/>
      </c>
    </row>
    <row r="328">
      <c r="C328" s="6" t="n"/>
      <c r="E328" s="7" t="n"/>
      <c r="F328" s="8" t="n"/>
      <c r="G328" s="8" t="n"/>
      <c r="H328" s="8" t="n"/>
      <c r="J328" s="7" t="n"/>
      <c r="K328" s="8" t="n"/>
      <c r="L328" s="7" t="n"/>
      <c r="M328" s="8" t="n"/>
      <c r="N328" s="7" t="n"/>
      <c r="O328" s="8" t="n"/>
      <c r="P328" s="6" t="n"/>
      <c r="Q328" s="8" t="n"/>
      <c r="S328" s="8">
        <f>IF(B328="","",E328*F328)</f>
        <v/>
      </c>
      <c r="T328" s="8">
        <f>IF(OR(B328="",N(G328)=0),"",ABS(F328-G328)*E328)</f>
        <v/>
      </c>
      <c r="U328" s="8">
        <f>IF(OR(B328="",P328=""),"",IF(D328="Venda",-1,1)*((N(J328)*N(K328)+N(L328)*N(M328)+N(N328)*N(O328))-(N(J328)+N(L328)+N(N328))*F328)-N(Q328))</f>
        <v/>
      </c>
      <c r="V328" s="9">
        <f>IF(OR(B328="",P328=""),"",U328/S328)</f>
        <v/>
      </c>
      <c r="W328">
        <f>IF(OR(B328="",P328=""),"",NETWORKDAYS(C328,P328)-1)</f>
        <v/>
      </c>
      <c r="X328">
        <f>IF(B328="","",IF(P328="","Aberto","Fechado"))</f>
        <v/>
      </c>
    </row>
    <row r="329">
      <c r="C329" s="6" t="n"/>
      <c r="E329" s="7" t="n"/>
      <c r="F329" s="8" t="n"/>
      <c r="G329" s="8" t="n"/>
      <c r="H329" s="8" t="n"/>
      <c r="J329" s="7" t="n"/>
      <c r="K329" s="8" t="n"/>
      <c r="L329" s="7" t="n"/>
      <c r="M329" s="8" t="n"/>
      <c r="N329" s="7" t="n"/>
      <c r="O329" s="8" t="n"/>
      <c r="P329" s="6" t="n"/>
      <c r="Q329" s="8" t="n"/>
      <c r="S329" s="8">
        <f>IF(B329="","",E329*F329)</f>
        <v/>
      </c>
      <c r="T329" s="8">
        <f>IF(OR(B329="",N(G329)=0),"",ABS(F329-G329)*E329)</f>
        <v/>
      </c>
      <c r="U329" s="8">
        <f>IF(OR(B329="",P329=""),"",IF(D329="Venda",-1,1)*((N(J329)*N(K329)+N(L329)*N(M329)+N(N329)*N(O329))-(N(J329)+N(L329)+N(N329))*F329)-N(Q329))</f>
        <v/>
      </c>
      <c r="V329" s="9">
        <f>IF(OR(B329="",P329=""),"",U329/S329)</f>
        <v/>
      </c>
      <c r="W329">
        <f>IF(OR(B329="",P329=""),"",NETWORKDAYS(C329,P329)-1)</f>
        <v/>
      </c>
      <c r="X329">
        <f>IF(B329="","",IF(P329="","Aberto","Fechado"))</f>
        <v/>
      </c>
    </row>
    <row r="330">
      <c r="C330" s="6" t="n"/>
      <c r="E330" s="7" t="n"/>
      <c r="F330" s="8" t="n"/>
      <c r="G330" s="8" t="n"/>
      <c r="H330" s="8" t="n"/>
      <c r="J330" s="7" t="n"/>
      <c r="K330" s="8" t="n"/>
      <c r="L330" s="7" t="n"/>
      <c r="M330" s="8" t="n"/>
      <c r="N330" s="7" t="n"/>
      <c r="O330" s="8" t="n"/>
      <c r="P330" s="6" t="n"/>
      <c r="Q330" s="8" t="n"/>
      <c r="S330" s="8">
        <f>IF(B330="","",E330*F330)</f>
        <v/>
      </c>
      <c r="T330" s="8">
        <f>IF(OR(B330="",N(G330)=0),"",ABS(F330-G330)*E330)</f>
        <v/>
      </c>
      <c r="U330" s="8">
        <f>IF(OR(B330="",P330=""),"",IF(D330="Venda",-1,1)*((N(J330)*N(K330)+N(L330)*N(M330)+N(N330)*N(O330))-(N(J330)+N(L330)+N(N330))*F330)-N(Q330))</f>
        <v/>
      </c>
      <c r="V330" s="9">
        <f>IF(OR(B330="",P330=""),"",U330/S330)</f>
        <v/>
      </c>
      <c r="W330">
        <f>IF(OR(B330="",P330=""),"",NETWORKDAYS(C330,P330)-1)</f>
        <v/>
      </c>
      <c r="X330">
        <f>IF(B330="","",IF(P330="","Aberto","Fechado"))</f>
        <v/>
      </c>
    </row>
    <row r="331">
      <c r="C331" s="6" t="n"/>
      <c r="E331" s="7" t="n"/>
      <c r="F331" s="8" t="n"/>
      <c r="G331" s="8" t="n"/>
      <c r="H331" s="8" t="n"/>
      <c r="J331" s="7" t="n"/>
      <c r="K331" s="8" t="n"/>
      <c r="L331" s="7" t="n"/>
      <c r="M331" s="8" t="n"/>
      <c r="N331" s="7" t="n"/>
      <c r="O331" s="8" t="n"/>
      <c r="P331" s="6" t="n"/>
      <c r="Q331" s="8" t="n"/>
      <c r="S331" s="8">
        <f>IF(B331="","",E331*F331)</f>
        <v/>
      </c>
      <c r="T331" s="8">
        <f>IF(OR(B331="",N(G331)=0),"",ABS(F331-G331)*E331)</f>
        <v/>
      </c>
      <c r="U331" s="8">
        <f>IF(OR(B331="",P331=""),"",IF(D331="Venda",-1,1)*((N(J331)*N(K331)+N(L331)*N(M331)+N(N331)*N(O331))-(N(J331)+N(L331)+N(N331))*F331)-N(Q331))</f>
        <v/>
      </c>
      <c r="V331" s="9">
        <f>IF(OR(B331="",P331=""),"",U331/S331)</f>
        <v/>
      </c>
      <c r="W331">
        <f>IF(OR(B331="",P331=""),"",NETWORKDAYS(C331,P331)-1)</f>
        <v/>
      </c>
      <c r="X331">
        <f>IF(B331="","",IF(P331="","Aberto","Fechado"))</f>
        <v/>
      </c>
    </row>
    <row r="332">
      <c r="C332" s="6" t="n"/>
      <c r="E332" s="7" t="n"/>
      <c r="F332" s="8" t="n"/>
      <c r="G332" s="8" t="n"/>
      <c r="H332" s="8" t="n"/>
      <c r="J332" s="7" t="n"/>
      <c r="K332" s="8" t="n"/>
      <c r="L332" s="7" t="n"/>
      <c r="M332" s="8" t="n"/>
      <c r="N332" s="7" t="n"/>
      <c r="O332" s="8" t="n"/>
      <c r="P332" s="6" t="n"/>
      <c r="Q332" s="8" t="n"/>
      <c r="S332" s="8">
        <f>IF(B332="","",E332*F332)</f>
        <v/>
      </c>
      <c r="T332" s="8">
        <f>IF(OR(B332="",N(G332)=0),"",ABS(F332-G332)*E332)</f>
        <v/>
      </c>
      <c r="U332" s="8">
        <f>IF(OR(B332="",P332=""),"",IF(D332="Venda",-1,1)*((N(J332)*N(K332)+N(L332)*N(M332)+N(N332)*N(O332))-(N(J332)+N(L332)+N(N332))*F332)-N(Q332))</f>
        <v/>
      </c>
      <c r="V332" s="9">
        <f>IF(OR(B332="",P332=""),"",U332/S332)</f>
        <v/>
      </c>
      <c r="W332">
        <f>IF(OR(B332="",P332=""),"",NETWORKDAYS(C332,P332)-1)</f>
        <v/>
      </c>
      <c r="X332">
        <f>IF(B332="","",IF(P332="","Aberto","Fechado"))</f>
        <v/>
      </c>
    </row>
    <row r="333">
      <c r="C333" s="6" t="n"/>
      <c r="E333" s="7" t="n"/>
      <c r="F333" s="8" t="n"/>
      <c r="G333" s="8" t="n"/>
      <c r="H333" s="8" t="n"/>
      <c r="J333" s="7" t="n"/>
      <c r="K333" s="8" t="n"/>
      <c r="L333" s="7" t="n"/>
      <c r="M333" s="8" t="n"/>
      <c r="N333" s="7" t="n"/>
      <c r="O333" s="8" t="n"/>
      <c r="P333" s="6" t="n"/>
      <c r="Q333" s="8" t="n"/>
      <c r="S333" s="8">
        <f>IF(B333="","",E333*F333)</f>
        <v/>
      </c>
      <c r="T333" s="8">
        <f>IF(OR(B333="",N(G333)=0),"",ABS(F333-G333)*E333)</f>
        <v/>
      </c>
      <c r="U333" s="8">
        <f>IF(OR(B333="",P333=""),"",IF(D333="Venda",-1,1)*((N(J333)*N(K333)+N(L333)*N(M333)+N(N333)*N(O333))-(N(J333)+N(L333)+N(N333))*F333)-N(Q333))</f>
        <v/>
      </c>
      <c r="V333" s="9">
        <f>IF(OR(B333="",P333=""),"",U333/S333)</f>
        <v/>
      </c>
      <c r="W333">
        <f>IF(OR(B333="",P333=""),"",NETWORKDAYS(C333,P333)-1)</f>
        <v/>
      </c>
      <c r="X333">
        <f>IF(B333="","",IF(P333="","Aberto","Fechado"))</f>
        <v/>
      </c>
    </row>
    <row r="334">
      <c r="C334" s="6" t="n"/>
      <c r="E334" s="7" t="n"/>
      <c r="F334" s="8" t="n"/>
      <c r="G334" s="8" t="n"/>
      <c r="H334" s="8" t="n"/>
      <c r="J334" s="7" t="n"/>
      <c r="K334" s="8" t="n"/>
      <c r="L334" s="7" t="n"/>
      <c r="M334" s="8" t="n"/>
      <c r="N334" s="7" t="n"/>
      <c r="O334" s="8" t="n"/>
      <c r="P334" s="6" t="n"/>
      <c r="Q334" s="8" t="n"/>
      <c r="S334" s="8">
        <f>IF(B334="","",E334*F334)</f>
        <v/>
      </c>
      <c r="T334" s="8">
        <f>IF(OR(B334="",N(G334)=0),"",ABS(F334-G334)*E334)</f>
        <v/>
      </c>
      <c r="U334" s="8">
        <f>IF(OR(B334="",P334=""),"",IF(D334="Venda",-1,1)*((N(J334)*N(K334)+N(L334)*N(M334)+N(N334)*N(O334))-(N(J334)+N(L334)+N(N334))*F334)-N(Q334))</f>
        <v/>
      </c>
      <c r="V334" s="9">
        <f>IF(OR(B334="",P334=""),"",U334/S334)</f>
        <v/>
      </c>
      <c r="W334">
        <f>IF(OR(B334="",P334=""),"",NETWORKDAYS(C334,P334)-1)</f>
        <v/>
      </c>
      <c r="X334">
        <f>IF(B334="","",IF(P334="","Aberto","Fechado"))</f>
        <v/>
      </c>
    </row>
    <row r="335">
      <c r="C335" s="6" t="n"/>
      <c r="E335" s="7" t="n"/>
      <c r="F335" s="8" t="n"/>
      <c r="G335" s="8" t="n"/>
      <c r="H335" s="8" t="n"/>
      <c r="J335" s="7" t="n"/>
      <c r="K335" s="8" t="n"/>
      <c r="L335" s="7" t="n"/>
      <c r="M335" s="8" t="n"/>
      <c r="N335" s="7" t="n"/>
      <c r="O335" s="8" t="n"/>
      <c r="P335" s="6" t="n"/>
      <c r="Q335" s="8" t="n"/>
      <c r="S335" s="8">
        <f>IF(B335="","",E335*F335)</f>
        <v/>
      </c>
      <c r="T335" s="8">
        <f>IF(OR(B335="",N(G335)=0),"",ABS(F335-G335)*E335)</f>
        <v/>
      </c>
      <c r="U335" s="8">
        <f>IF(OR(B335="",P335=""),"",IF(D335="Venda",-1,1)*((N(J335)*N(K335)+N(L335)*N(M335)+N(N335)*N(O335))-(N(J335)+N(L335)+N(N335))*F335)-N(Q335))</f>
        <v/>
      </c>
      <c r="V335" s="9">
        <f>IF(OR(B335="",P335=""),"",U335/S335)</f>
        <v/>
      </c>
      <c r="W335">
        <f>IF(OR(B335="",P335=""),"",NETWORKDAYS(C335,P335)-1)</f>
        <v/>
      </c>
      <c r="X335">
        <f>IF(B335="","",IF(P335="","Aberto","Fechado"))</f>
        <v/>
      </c>
    </row>
    <row r="336">
      <c r="C336" s="6" t="n"/>
      <c r="E336" s="7" t="n"/>
      <c r="F336" s="8" t="n"/>
      <c r="G336" s="8" t="n"/>
      <c r="H336" s="8" t="n"/>
      <c r="J336" s="7" t="n"/>
      <c r="K336" s="8" t="n"/>
      <c r="L336" s="7" t="n"/>
      <c r="M336" s="8" t="n"/>
      <c r="N336" s="7" t="n"/>
      <c r="O336" s="8" t="n"/>
      <c r="P336" s="6" t="n"/>
      <c r="Q336" s="8" t="n"/>
      <c r="S336" s="8">
        <f>IF(B336="","",E336*F336)</f>
        <v/>
      </c>
      <c r="T336" s="8">
        <f>IF(OR(B336="",N(G336)=0),"",ABS(F336-G336)*E336)</f>
        <v/>
      </c>
      <c r="U336" s="8">
        <f>IF(OR(B336="",P336=""),"",IF(D336="Venda",-1,1)*((N(J336)*N(K336)+N(L336)*N(M336)+N(N336)*N(O336))-(N(J336)+N(L336)+N(N336))*F336)-N(Q336))</f>
        <v/>
      </c>
      <c r="V336" s="9">
        <f>IF(OR(B336="",P336=""),"",U336/S336)</f>
        <v/>
      </c>
      <c r="W336">
        <f>IF(OR(B336="",P336=""),"",NETWORKDAYS(C336,P336)-1)</f>
        <v/>
      </c>
      <c r="X336">
        <f>IF(B336="","",IF(P336="","Aberto","Fechado"))</f>
        <v/>
      </c>
    </row>
    <row r="337">
      <c r="C337" s="6" t="n"/>
      <c r="E337" s="7" t="n"/>
      <c r="F337" s="8" t="n"/>
      <c r="G337" s="8" t="n"/>
      <c r="H337" s="8" t="n"/>
      <c r="J337" s="7" t="n"/>
      <c r="K337" s="8" t="n"/>
      <c r="L337" s="7" t="n"/>
      <c r="M337" s="8" t="n"/>
      <c r="N337" s="7" t="n"/>
      <c r="O337" s="8" t="n"/>
      <c r="P337" s="6" t="n"/>
      <c r="Q337" s="8" t="n"/>
      <c r="S337" s="8">
        <f>IF(B337="","",E337*F337)</f>
        <v/>
      </c>
      <c r="T337" s="8">
        <f>IF(OR(B337="",N(G337)=0),"",ABS(F337-G337)*E337)</f>
        <v/>
      </c>
      <c r="U337" s="8">
        <f>IF(OR(B337="",P337=""),"",IF(D337="Venda",-1,1)*((N(J337)*N(K337)+N(L337)*N(M337)+N(N337)*N(O337))-(N(J337)+N(L337)+N(N337))*F337)-N(Q337))</f>
        <v/>
      </c>
      <c r="V337" s="9">
        <f>IF(OR(B337="",P337=""),"",U337/S337)</f>
        <v/>
      </c>
      <c r="W337">
        <f>IF(OR(B337="",P337=""),"",NETWORKDAYS(C337,P337)-1)</f>
        <v/>
      </c>
      <c r="X337">
        <f>IF(B337="","",IF(P337="","Aberto","Fechado"))</f>
        <v/>
      </c>
    </row>
    <row r="338">
      <c r="C338" s="6" t="n"/>
      <c r="E338" s="7" t="n"/>
      <c r="F338" s="8" t="n"/>
      <c r="G338" s="8" t="n"/>
      <c r="H338" s="8" t="n"/>
      <c r="J338" s="7" t="n"/>
      <c r="K338" s="8" t="n"/>
      <c r="L338" s="7" t="n"/>
      <c r="M338" s="8" t="n"/>
      <c r="N338" s="7" t="n"/>
      <c r="O338" s="8" t="n"/>
      <c r="P338" s="6" t="n"/>
      <c r="Q338" s="8" t="n"/>
      <c r="S338" s="8">
        <f>IF(B338="","",E338*F338)</f>
        <v/>
      </c>
      <c r="T338" s="8">
        <f>IF(OR(B338="",N(G338)=0),"",ABS(F338-G338)*E338)</f>
        <v/>
      </c>
      <c r="U338" s="8">
        <f>IF(OR(B338="",P338=""),"",IF(D338="Venda",-1,1)*((N(J338)*N(K338)+N(L338)*N(M338)+N(N338)*N(O338))-(N(J338)+N(L338)+N(N338))*F338)-N(Q338))</f>
        <v/>
      </c>
      <c r="V338" s="9">
        <f>IF(OR(B338="",P338=""),"",U338/S338)</f>
        <v/>
      </c>
      <c r="W338">
        <f>IF(OR(B338="",P338=""),"",NETWORKDAYS(C338,P338)-1)</f>
        <v/>
      </c>
      <c r="X338">
        <f>IF(B338="","",IF(P338="","Aberto","Fechado"))</f>
        <v/>
      </c>
    </row>
    <row r="339">
      <c r="C339" s="6" t="n"/>
      <c r="E339" s="7" t="n"/>
      <c r="F339" s="8" t="n"/>
      <c r="G339" s="8" t="n"/>
      <c r="H339" s="8" t="n"/>
      <c r="J339" s="7" t="n"/>
      <c r="K339" s="8" t="n"/>
      <c r="L339" s="7" t="n"/>
      <c r="M339" s="8" t="n"/>
      <c r="N339" s="7" t="n"/>
      <c r="O339" s="8" t="n"/>
      <c r="P339" s="6" t="n"/>
      <c r="Q339" s="8" t="n"/>
      <c r="S339" s="8">
        <f>IF(B339="","",E339*F339)</f>
        <v/>
      </c>
      <c r="T339" s="8">
        <f>IF(OR(B339="",N(G339)=0),"",ABS(F339-G339)*E339)</f>
        <v/>
      </c>
      <c r="U339" s="8">
        <f>IF(OR(B339="",P339=""),"",IF(D339="Venda",-1,1)*((N(J339)*N(K339)+N(L339)*N(M339)+N(N339)*N(O339))-(N(J339)+N(L339)+N(N339))*F339)-N(Q339))</f>
        <v/>
      </c>
      <c r="V339" s="9">
        <f>IF(OR(B339="",P339=""),"",U339/S339)</f>
        <v/>
      </c>
      <c r="W339">
        <f>IF(OR(B339="",P339=""),"",NETWORKDAYS(C339,P339)-1)</f>
        <v/>
      </c>
      <c r="X339">
        <f>IF(B339="","",IF(P339="","Aberto","Fechado"))</f>
        <v/>
      </c>
    </row>
    <row r="340">
      <c r="C340" s="6" t="n"/>
      <c r="E340" s="7" t="n"/>
      <c r="F340" s="8" t="n"/>
      <c r="G340" s="8" t="n"/>
      <c r="H340" s="8" t="n"/>
      <c r="J340" s="7" t="n"/>
      <c r="K340" s="8" t="n"/>
      <c r="L340" s="7" t="n"/>
      <c r="M340" s="8" t="n"/>
      <c r="N340" s="7" t="n"/>
      <c r="O340" s="8" t="n"/>
      <c r="P340" s="6" t="n"/>
      <c r="Q340" s="8" t="n"/>
      <c r="S340" s="8">
        <f>IF(B340="","",E340*F340)</f>
        <v/>
      </c>
      <c r="T340" s="8">
        <f>IF(OR(B340="",N(G340)=0),"",ABS(F340-G340)*E340)</f>
        <v/>
      </c>
      <c r="U340" s="8">
        <f>IF(OR(B340="",P340=""),"",IF(D340="Venda",-1,1)*((N(J340)*N(K340)+N(L340)*N(M340)+N(N340)*N(O340))-(N(J340)+N(L340)+N(N340))*F340)-N(Q340))</f>
        <v/>
      </c>
      <c r="V340" s="9">
        <f>IF(OR(B340="",P340=""),"",U340/S340)</f>
        <v/>
      </c>
      <c r="W340">
        <f>IF(OR(B340="",P340=""),"",NETWORKDAYS(C340,P340)-1)</f>
        <v/>
      </c>
      <c r="X340">
        <f>IF(B340="","",IF(P340="","Aberto","Fechado"))</f>
        <v/>
      </c>
    </row>
    <row r="341">
      <c r="C341" s="6" t="n"/>
      <c r="E341" s="7" t="n"/>
      <c r="F341" s="8" t="n"/>
      <c r="G341" s="8" t="n"/>
      <c r="H341" s="8" t="n"/>
      <c r="J341" s="7" t="n"/>
      <c r="K341" s="8" t="n"/>
      <c r="L341" s="7" t="n"/>
      <c r="M341" s="8" t="n"/>
      <c r="N341" s="7" t="n"/>
      <c r="O341" s="8" t="n"/>
      <c r="P341" s="6" t="n"/>
      <c r="Q341" s="8" t="n"/>
      <c r="S341" s="8">
        <f>IF(B341="","",E341*F341)</f>
        <v/>
      </c>
      <c r="T341" s="8">
        <f>IF(OR(B341="",N(G341)=0),"",ABS(F341-G341)*E341)</f>
        <v/>
      </c>
      <c r="U341" s="8">
        <f>IF(OR(B341="",P341=""),"",IF(D341="Venda",-1,1)*((N(J341)*N(K341)+N(L341)*N(M341)+N(N341)*N(O341))-(N(J341)+N(L341)+N(N341))*F341)-N(Q341))</f>
        <v/>
      </c>
      <c r="V341" s="9">
        <f>IF(OR(B341="",P341=""),"",U341/S341)</f>
        <v/>
      </c>
      <c r="W341">
        <f>IF(OR(B341="",P341=""),"",NETWORKDAYS(C341,P341)-1)</f>
        <v/>
      </c>
      <c r="X341">
        <f>IF(B341="","",IF(P341="","Aberto","Fechado"))</f>
        <v/>
      </c>
    </row>
    <row r="342">
      <c r="C342" s="6" t="n"/>
      <c r="E342" s="7" t="n"/>
      <c r="F342" s="8" t="n"/>
      <c r="G342" s="8" t="n"/>
      <c r="H342" s="8" t="n"/>
      <c r="J342" s="7" t="n"/>
      <c r="K342" s="8" t="n"/>
      <c r="L342" s="7" t="n"/>
      <c r="M342" s="8" t="n"/>
      <c r="N342" s="7" t="n"/>
      <c r="O342" s="8" t="n"/>
      <c r="P342" s="6" t="n"/>
      <c r="Q342" s="8" t="n"/>
      <c r="S342" s="8">
        <f>IF(B342="","",E342*F342)</f>
        <v/>
      </c>
      <c r="T342" s="8">
        <f>IF(OR(B342="",N(G342)=0),"",ABS(F342-G342)*E342)</f>
        <v/>
      </c>
      <c r="U342" s="8">
        <f>IF(OR(B342="",P342=""),"",IF(D342="Venda",-1,1)*((N(J342)*N(K342)+N(L342)*N(M342)+N(N342)*N(O342))-(N(J342)+N(L342)+N(N342))*F342)-N(Q342))</f>
        <v/>
      </c>
      <c r="V342" s="9">
        <f>IF(OR(B342="",P342=""),"",U342/S342)</f>
        <v/>
      </c>
      <c r="W342">
        <f>IF(OR(B342="",P342=""),"",NETWORKDAYS(C342,P342)-1)</f>
        <v/>
      </c>
      <c r="X342">
        <f>IF(B342="","",IF(P342="","Aberto","Fechado"))</f>
        <v/>
      </c>
    </row>
    <row r="343">
      <c r="C343" s="6" t="n"/>
      <c r="E343" s="7" t="n"/>
      <c r="F343" s="8" t="n"/>
      <c r="G343" s="8" t="n"/>
      <c r="H343" s="8" t="n"/>
      <c r="J343" s="7" t="n"/>
      <c r="K343" s="8" t="n"/>
      <c r="L343" s="7" t="n"/>
      <c r="M343" s="8" t="n"/>
      <c r="N343" s="7" t="n"/>
      <c r="O343" s="8" t="n"/>
      <c r="P343" s="6" t="n"/>
      <c r="Q343" s="8" t="n"/>
      <c r="S343" s="8">
        <f>IF(B343="","",E343*F343)</f>
        <v/>
      </c>
      <c r="T343" s="8">
        <f>IF(OR(B343="",N(G343)=0),"",ABS(F343-G343)*E343)</f>
        <v/>
      </c>
      <c r="U343" s="8">
        <f>IF(OR(B343="",P343=""),"",IF(D343="Venda",-1,1)*((N(J343)*N(K343)+N(L343)*N(M343)+N(N343)*N(O343))-(N(J343)+N(L343)+N(N343))*F343)-N(Q343))</f>
        <v/>
      </c>
      <c r="V343" s="9">
        <f>IF(OR(B343="",P343=""),"",U343/S343)</f>
        <v/>
      </c>
      <c r="W343">
        <f>IF(OR(B343="",P343=""),"",NETWORKDAYS(C343,P343)-1)</f>
        <v/>
      </c>
      <c r="X343">
        <f>IF(B343="","",IF(P343="","Aberto","Fechado"))</f>
        <v/>
      </c>
    </row>
    <row r="344">
      <c r="C344" s="6" t="n"/>
      <c r="E344" s="7" t="n"/>
      <c r="F344" s="8" t="n"/>
      <c r="G344" s="8" t="n"/>
      <c r="H344" s="8" t="n"/>
      <c r="J344" s="7" t="n"/>
      <c r="K344" s="8" t="n"/>
      <c r="L344" s="7" t="n"/>
      <c r="M344" s="8" t="n"/>
      <c r="N344" s="7" t="n"/>
      <c r="O344" s="8" t="n"/>
      <c r="P344" s="6" t="n"/>
      <c r="Q344" s="8" t="n"/>
      <c r="S344" s="8">
        <f>IF(B344="","",E344*F344)</f>
        <v/>
      </c>
      <c r="T344" s="8">
        <f>IF(OR(B344="",N(G344)=0),"",ABS(F344-G344)*E344)</f>
        <v/>
      </c>
      <c r="U344" s="8">
        <f>IF(OR(B344="",P344=""),"",IF(D344="Venda",-1,1)*((N(J344)*N(K344)+N(L344)*N(M344)+N(N344)*N(O344))-(N(J344)+N(L344)+N(N344))*F344)-N(Q344))</f>
        <v/>
      </c>
      <c r="V344" s="9">
        <f>IF(OR(B344="",P344=""),"",U344/S344)</f>
        <v/>
      </c>
      <c r="W344">
        <f>IF(OR(B344="",P344=""),"",NETWORKDAYS(C344,P344)-1)</f>
        <v/>
      </c>
      <c r="X344">
        <f>IF(B344="","",IF(P344="","Aberto","Fechado"))</f>
        <v/>
      </c>
    </row>
    <row r="345">
      <c r="C345" s="6" t="n"/>
      <c r="E345" s="7" t="n"/>
      <c r="F345" s="8" t="n"/>
      <c r="G345" s="8" t="n"/>
      <c r="H345" s="8" t="n"/>
      <c r="J345" s="7" t="n"/>
      <c r="K345" s="8" t="n"/>
      <c r="L345" s="7" t="n"/>
      <c r="M345" s="8" t="n"/>
      <c r="N345" s="7" t="n"/>
      <c r="O345" s="8" t="n"/>
      <c r="P345" s="6" t="n"/>
      <c r="Q345" s="8" t="n"/>
      <c r="S345" s="8">
        <f>IF(B345="","",E345*F345)</f>
        <v/>
      </c>
      <c r="T345" s="8">
        <f>IF(OR(B345="",N(G345)=0),"",ABS(F345-G345)*E345)</f>
        <v/>
      </c>
      <c r="U345" s="8">
        <f>IF(OR(B345="",P345=""),"",IF(D345="Venda",-1,1)*((N(J345)*N(K345)+N(L345)*N(M345)+N(N345)*N(O345))-(N(J345)+N(L345)+N(N345))*F345)-N(Q345))</f>
        <v/>
      </c>
      <c r="V345" s="9">
        <f>IF(OR(B345="",P345=""),"",U345/S345)</f>
        <v/>
      </c>
      <c r="W345">
        <f>IF(OR(B345="",P345=""),"",NETWORKDAYS(C345,P345)-1)</f>
        <v/>
      </c>
      <c r="X345">
        <f>IF(B345="","",IF(P345="","Aberto","Fechado"))</f>
        <v/>
      </c>
    </row>
    <row r="346">
      <c r="C346" s="6" t="n"/>
      <c r="E346" s="7" t="n"/>
      <c r="F346" s="8" t="n"/>
      <c r="G346" s="8" t="n"/>
      <c r="H346" s="8" t="n"/>
      <c r="J346" s="7" t="n"/>
      <c r="K346" s="8" t="n"/>
      <c r="L346" s="7" t="n"/>
      <c r="M346" s="8" t="n"/>
      <c r="N346" s="7" t="n"/>
      <c r="O346" s="8" t="n"/>
      <c r="P346" s="6" t="n"/>
      <c r="Q346" s="8" t="n"/>
      <c r="S346" s="8">
        <f>IF(B346="","",E346*F346)</f>
        <v/>
      </c>
      <c r="T346" s="8">
        <f>IF(OR(B346="",N(G346)=0),"",ABS(F346-G346)*E346)</f>
        <v/>
      </c>
      <c r="U346" s="8">
        <f>IF(OR(B346="",P346=""),"",IF(D346="Venda",-1,1)*((N(J346)*N(K346)+N(L346)*N(M346)+N(N346)*N(O346))-(N(J346)+N(L346)+N(N346))*F346)-N(Q346))</f>
        <v/>
      </c>
      <c r="V346" s="9">
        <f>IF(OR(B346="",P346=""),"",U346/S346)</f>
        <v/>
      </c>
      <c r="W346">
        <f>IF(OR(B346="",P346=""),"",NETWORKDAYS(C346,P346)-1)</f>
        <v/>
      </c>
      <c r="X346">
        <f>IF(B346="","",IF(P346="","Aberto","Fechado"))</f>
        <v/>
      </c>
    </row>
    <row r="347">
      <c r="C347" s="6" t="n"/>
      <c r="E347" s="7" t="n"/>
      <c r="F347" s="8" t="n"/>
      <c r="G347" s="8" t="n"/>
      <c r="H347" s="8" t="n"/>
      <c r="J347" s="7" t="n"/>
      <c r="K347" s="8" t="n"/>
      <c r="L347" s="7" t="n"/>
      <c r="M347" s="8" t="n"/>
      <c r="N347" s="7" t="n"/>
      <c r="O347" s="8" t="n"/>
      <c r="P347" s="6" t="n"/>
      <c r="Q347" s="8" t="n"/>
      <c r="S347" s="8">
        <f>IF(B347="","",E347*F347)</f>
        <v/>
      </c>
      <c r="T347" s="8">
        <f>IF(OR(B347="",N(G347)=0),"",ABS(F347-G347)*E347)</f>
        <v/>
      </c>
      <c r="U347" s="8">
        <f>IF(OR(B347="",P347=""),"",IF(D347="Venda",-1,1)*((N(J347)*N(K347)+N(L347)*N(M347)+N(N347)*N(O347))-(N(J347)+N(L347)+N(N347))*F347)-N(Q347))</f>
        <v/>
      </c>
      <c r="V347" s="9">
        <f>IF(OR(B347="",P347=""),"",U347/S347)</f>
        <v/>
      </c>
      <c r="W347">
        <f>IF(OR(B347="",P347=""),"",NETWORKDAYS(C347,P347)-1)</f>
        <v/>
      </c>
      <c r="X347">
        <f>IF(B347="","",IF(P347="","Aberto","Fechado"))</f>
        <v/>
      </c>
    </row>
    <row r="348">
      <c r="C348" s="6" t="n"/>
      <c r="E348" s="7" t="n"/>
      <c r="F348" s="8" t="n"/>
      <c r="G348" s="8" t="n"/>
      <c r="H348" s="8" t="n"/>
      <c r="J348" s="7" t="n"/>
      <c r="K348" s="8" t="n"/>
      <c r="L348" s="7" t="n"/>
      <c r="M348" s="8" t="n"/>
      <c r="N348" s="7" t="n"/>
      <c r="O348" s="8" t="n"/>
      <c r="P348" s="6" t="n"/>
      <c r="Q348" s="8" t="n"/>
      <c r="S348" s="8">
        <f>IF(B348="","",E348*F348)</f>
        <v/>
      </c>
      <c r="T348" s="8">
        <f>IF(OR(B348="",N(G348)=0),"",ABS(F348-G348)*E348)</f>
        <v/>
      </c>
      <c r="U348" s="8">
        <f>IF(OR(B348="",P348=""),"",IF(D348="Venda",-1,1)*((N(J348)*N(K348)+N(L348)*N(M348)+N(N348)*N(O348))-(N(J348)+N(L348)+N(N348))*F348)-N(Q348))</f>
        <v/>
      </c>
      <c r="V348" s="9">
        <f>IF(OR(B348="",P348=""),"",U348/S348)</f>
        <v/>
      </c>
      <c r="W348">
        <f>IF(OR(B348="",P348=""),"",NETWORKDAYS(C348,P348)-1)</f>
        <v/>
      </c>
      <c r="X348">
        <f>IF(B348="","",IF(P348="","Aberto","Fechado"))</f>
        <v/>
      </c>
    </row>
    <row r="349">
      <c r="C349" s="6" t="n"/>
      <c r="E349" s="7" t="n"/>
      <c r="F349" s="8" t="n"/>
      <c r="G349" s="8" t="n"/>
      <c r="H349" s="8" t="n"/>
      <c r="J349" s="7" t="n"/>
      <c r="K349" s="8" t="n"/>
      <c r="L349" s="7" t="n"/>
      <c r="M349" s="8" t="n"/>
      <c r="N349" s="7" t="n"/>
      <c r="O349" s="8" t="n"/>
      <c r="P349" s="6" t="n"/>
      <c r="Q349" s="8" t="n"/>
      <c r="S349" s="8">
        <f>IF(B349="","",E349*F349)</f>
        <v/>
      </c>
      <c r="T349" s="8">
        <f>IF(OR(B349="",N(G349)=0),"",ABS(F349-G349)*E349)</f>
        <v/>
      </c>
      <c r="U349" s="8">
        <f>IF(OR(B349="",P349=""),"",IF(D349="Venda",-1,1)*((N(J349)*N(K349)+N(L349)*N(M349)+N(N349)*N(O349))-(N(J349)+N(L349)+N(N349))*F349)-N(Q349))</f>
        <v/>
      </c>
      <c r="V349" s="9">
        <f>IF(OR(B349="",P349=""),"",U349/S349)</f>
        <v/>
      </c>
      <c r="W349">
        <f>IF(OR(B349="",P349=""),"",NETWORKDAYS(C349,P349)-1)</f>
        <v/>
      </c>
      <c r="X349">
        <f>IF(B349="","",IF(P349="","Aberto","Fechado"))</f>
        <v/>
      </c>
    </row>
    <row r="350">
      <c r="C350" s="6" t="n"/>
      <c r="E350" s="7" t="n"/>
      <c r="F350" s="8" t="n"/>
      <c r="G350" s="8" t="n"/>
      <c r="H350" s="8" t="n"/>
      <c r="J350" s="7" t="n"/>
      <c r="K350" s="8" t="n"/>
      <c r="L350" s="7" t="n"/>
      <c r="M350" s="8" t="n"/>
      <c r="N350" s="7" t="n"/>
      <c r="O350" s="8" t="n"/>
      <c r="P350" s="6" t="n"/>
      <c r="Q350" s="8" t="n"/>
      <c r="S350" s="8">
        <f>IF(B350="","",E350*F350)</f>
        <v/>
      </c>
      <c r="T350" s="8">
        <f>IF(OR(B350="",N(G350)=0),"",ABS(F350-G350)*E350)</f>
        <v/>
      </c>
      <c r="U350" s="8">
        <f>IF(OR(B350="",P350=""),"",IF(D350="Venda",-1,1)*((N(J350)*N(K350)+N(L350)*N(M350)+N(N350)*N(O350))-(N(J350)+N(L350)+N(N350))*F350)-N(Q350))</f>
        <v/>
      </c>
      <c r="V350" s="9">
        <f>IF(OR(B350="",P350=""),"",U350/S350)</f>
        <v/>
      </c>
      <c r="W350">
        <f>IF(OR(B350="",P350=""),"",NETWORKDAYS(C350,P350)-1)</f>
        <v/>
      </c>
      <c r="X350">
        <f>IF(B350="","",IF(P350="","Aberto","Fechado"))</f>
        <v/>
      </c>
    </row>
    <row r="351">
      <c r="C351" s="6" t="n"/>
      <c r="E351" s="7" t="n"/>
      <c r="F351" s="8" t="n"/>
      <c r="G351" s="8" t="n"/>
      <c r="H351" s="8" t="n"/>
      <c r="J351" s="7" t="n"/>
      <c r="K351" s="8" t="n"/>
      <c r="L351" s="7" t="n"/>
      <c r="M351" s="8" t="n"/>
      <c r="N351" s="7" t="n"/>
      <c r="O351" s="8" t="n"/>
      <c r="P351" s="6" t="n"/>
      <c r="Q351" s="8" t="n"/>
      <c r="S351" s="8">
        <f>IF(B351="","",E351*F351)</f>
        <v/>
      </c>
      <c r="T351" s="8">
        <f>IF(OR(B351="",N(G351)=0),"",ABS(F351-G351)*E351)</f>
        <v/>
      </c>
      <c r="U351" s="8">
        <f>IF(OR(B351="",P351=""),"",IF(D351="Venda",-1,1)*((N(J351)*N(K351)+N(L351)*N(M351)+N(N351)*N(O351))-(N(J351)+N(L351)+N(N351))*F351)-N(Q351))</f>
        <v/>
      </c>
      <c r="V351" s="9">
        <f>IF(OR(B351="",P351=""),"",U351/S351)</f>
        <v/>
      </c>
      <c r="W351">
        <f>IF(OR(B351="",P351=""),"",NETWORKDAYS(C351,P351)-1)</f>
        <v/>
      </c>
      <c r="X351">
        <f>IF(B351="","",IF(P351="","Aberto","Fechado"))</f>
        <v/>
      </c>
    </row>
    <row r="352">
      <c r="C352" s="6" t="n"/>
      <c r="E352" s="7" t="n"/>
      <c r="F352" s="8" t="n"/>
      <c r="G352" s="8" t="n"/>
      <c r="H352" s="8" t="n"/>
      <c r="J352" s="7" t="n"/>
      <c r="K352" s="8" t="n"/>
      <c r="L352" s="7" t="n"/>
      <c r="M352" s="8" t="n"/>
      <c r="N352" s="7" t="n"/>
      <c r="O352" s="8" t="n"/>
      <c r="P352" s="6" t="n"/>
      <c r="Q352" s="8" t="n"/>
      <c r="S352" s="8">
        <f>IF(B352="","",E352*F352)</f>
        <v/>
      </c>
      <c r="T352" s="8">
        <f>IF(OR(B352="",N(G352)=0),"",ABS(F352-G352)*E352)</f>
        <v/>
      </c>
      <c r="U352" s="8">
        <f>IF(OR(B352="",P352=""),"",IF(D352="Venda",-1,1)*((N(J352)*N(K352)+N(L352)*N(M352)+N(N352)*N(O352))-(N(J352)+N(L352)+N(N352))*F352)-N(Q352))</f>
        <v/>
      </c>
      <c r="V352" s="9">
        <f>IF(OR(B352="",P352=""),"",U352/S352)</f>
        <v/>
      </c>
      <c r="W352">
        <f>IF(OR(B352="",P352=""),"",NETWORKDAYS(C352,P352)-1)</f>
        <v/>
      </c>
      <c r="X352">
        <f>IF(B352="","",IF(P352="","Aberto","Fechado"))</f>
        <v/>
      </c>
    </row>
    <row r="353">
      <c r="C353" s="6" t="n"/>
      <c r="E353" s="7" t="n"/>
      <c r="F353" s="8" t="n"/>
      <c r="G353" s="8" t="n"/>
      <c r="H353" s="8" t="n"/>
      <c r="J353" s="7" t="n"/>
      <c r="K353" s="8" t="n"/>
      <c r="L353" s="7" t="n"/>
      <c r="M353" s="8" t="n"/>
      <c r="N353" s="7" t="n"/>
      <c r="O353" s="8" t="n"/>
      <c r="P353" s="6" t="n"/>
      <c r="Q353" s="8" t="n"/>
      <c r="S353" s="8">
        <f>IF(B353="","",E353*F353)</f>
        <v/>
      </c>
      <c r="T353" s="8">
        <f>IF(OR(B353="",N(G353)=0),"",ABS(F353-G353)*E353)</f>
        <v/>
      </c>
      <c r="U353" s="8">
        <f>IF(OR(B353="",P353=""),"",IF(D353="Venda",-1,1)*((N(J353)*N(K353)+N(L353)*N(M353)+N(N353)*N(O353))-(N(J353)+N(L353)+N(N353))*F353)-N(Q353))</f>
        <v/>
      </c>
      <c r="V353" s="9">
        <f>IF(OR(B353="",P353=""),"",U353/S353)</f>
        <v/>
      </c>
      <c r="W353">
        <f>IF(OR(B353="",P353=""),"",NETWORKDAYS(C353,P353)-1)</f>
        <v/>
      </c>
      <c r="X353">
        <f>IF(B353="","",IF(P353="","Aberto","Fechado"))</f>
        <v/>
      </c>
    </row>
    <row r="354">
      <c r="C354" s="6" t="n"/>
      <c r="E354" s="7" t="n"/>
      <c r="F354" s="8" t="n"/>
      <c r="G354" s="8" t="n"/>
      <c r="H354" s="8" t="n"/>
      <c r="J354" s="7" t="n"/>
      <c r="K354" s="8" t="n"/>
      <c r="L354" s="7" t="n"/>
      <c r="M354" s="8" t="n"/>
      <c r="N354" s="7" t="n"/>
      <c r="O354" s="8" t="n"/>
      <c r="P354" s="6" t="n"/>
      <c r="Q354" s="8" t="n"/>
      <c r="S354" s="8">
        <f>IF(B354="","",E354*F354)</f>
        <v/>
      </c>
      <c r="T354" s="8">
        <f>IF(OR(B354="",N(G354)=0),"",ABS(F354-G354)*E354)</f>
        <v/>
      </c>
      <c r="U354" s="8">
        <f>IF(OR(B354="",P354=""),"",IF(D354="Venda",-1,1)*((N(J354)*N(K354)+N(L354)*N(M354)+N(N354)*N(O354))-(N(J354)+N(L354)+N(N354))*F354)-N(Q354))</f>
        <v/>
      </c>
      <c r="V354" s="9">
        <f>IF(OR(B354="",P354=""),"",U354/S354)</f>
        <v/>
      </c>
      <c r="W354">
        <f>IF(OR(B354="",P354=""),"",NETWORKDAYS(C354,P354)-1)</f>
        <v/>
      </c>
      <c r="X354">
        <f>IF(B354="","",IF(P354="","Aberto","Fechado"))</f>
        <v/>
      </c>
    </row>
    <row r="355">
      <c r="C355" s="6" t="n"/>
      <c r="E355" s="7" t="n"/>
      <c r="F355" s="8" t="n"/>
      <c r="G355" s="8" t="n"/>
      <c r="H355" s="8" t="n"/>
      <c r="J355" s="7" t="n"/>
      <c r="K355" s="8" t="n"/>
      <c r="L355" s="7" t="n"/>
      <c r="M355" s="8" t="n"/>
      <c r="N355" s="7" t="n"/>
      <c r="O355" s="8" t="n"/>
      <c r="P355" s="6" t="n"/>
      <c r="Q355" s="8" t="n"/>
      <c r="S355" s="8">
        <f>IF(B355="","",E355*F355)</f>
        <v/>
      </c>
      <c r="T355" s="8">
        <f>IF(OR(B355="",N(G355)=0),"",ABS(F355-G355)*E355)</f>
        <v/>
      </c>
      <c r="U355" s="8">
        <f>IF(OR(B355="",P355=""),"",IF(D355="Venda",-1,1)*((N(J355)*N(K355)+N(L355)*N(M355)+N(N355)*N(O355))-(N(J355)+N(L355)+N(N355))*F355)-N(Q355))</f>
        <v/>
      </c>
      <c r="V355" s="9">
        <f>IF(OR(B355="",P355=""),"",U355/S355)</f>
        <v/>
      </c>
      <c r="W355">
        <f>IF(OR(B355="",P355=""),"",NETWORKDAYS(C355,P355)-1)</f>
        <v/>
      </c>
      <c r="X355">
        <f>IF(B355="","",IF(P355="","Aberto","Fechado"))</f>
        <v/>
      </c>
    </row>
    <row r="356">
      <c r="C356" s="6" t="n"/>
      <c r="E356" s="7" t="n"/>
      <c r="F356" s="8" t="n"/>
      <c r="G356" s="8" t="n"/>
      <c r="H356" s="8" t="n"/>
      <c r="J356" s="7" t="n"/>
      <c r="K356" s="8" t="n"/>
      <c r="L356" s="7" t="n"/>
      <c r="M356" s="8" t="n"/>
      <c r="N356" s="7" t="n"/>
      <c r="O356" s="8" t="n"/>
      <c r="P356" s="6" t="n"/>
      <c r="Q356" s="8" t="n"/>
      <c r="S356" s="8">
        <f>IF(B356="","",E356*F356)</f>
        <v/>
      </c>
      <c r="T356" s="8">
        <f>IF(OR(B356="",N(G356)=0),"",ABS(F356-G356)*E356)</f>
        <v/>
      </c>
      <c r="U356" s="8">
        <f>IF(OR(B356="",P356=""),"",IF(D356="Venda",-1,1)*((N(J356)*N(K356)+N(L356)*N(M356)+N(N356)*N(O356))-(N(J356)+N(L356)+N(N356))*F356)-N(Q356))</f>
        <v/>
      </c>
      <c r="V356" s="9">
        <f>IF(OR(B356="",P356=""),"",U356/S356)</f>
        <v/>
      </c>
      <c r="W356">
        <f>IF(OR(B356="",P356=""),"",NETWORKDAYS(C356,P356)-1)</f>
        <v/>
      </c>
      <c r="X356">
        <f>IF(B356="","",IF(P356="","Aberto","Fechado"))</f>
        <v/>
      </c>
    </row>
    <row r="357">
      <c r="C357" s="6" t="n"/>
      <c r="E357" s="7" t="n"/>
      <c r="F357" s="8" t="n"/>
      <c r="G357" s="8" t="n"/>
      <c r="H357" s="8" t="n"/>
      <c r="J357" s="7" t="n"/>
      <c r="K357" s="8" t="n"/>
      <c r="L357" s="7" t="n"/>
      <c r="M357" s="8" t="n"/>
      <c r="N357" s="7" t="n"/>
      <c r="O357" s="8" t="n"/>
      <c r="P357" s="6" t="n"/>
      <c r="Q357" s="8" t="n"/>
      <c r="S357" s="8">
        <f>IF(B357="","",E357*F357)</f>
        <v/>
      </c>
      <c r="T357" s="8">
        <f>IF(OR(B357="",N(G357)=0),"",ABS(F357-G357)*E357)</f>
        <v/>
      </c>
      <c r="U357" s="8">
        <f>IF(OR(B357="",P357=""),"",IF(D357="Venda",-1,1)*((N(J357)*N(K357)+N(L357)*N(M357)+N(N357)*N(O357))-(N(J357)+N(L357)+N(N357))*F357)-N(Q357))</f>
        <v/>
      </c>
      <c r="V357" s="9">
        <f>IF(OR(B357="",P357=""),"",U357/S357)</f>
        <v/>
      </c>
      <c r="W357">
        <f>IF(OR(B357="",P357=""),"",NETWORKDAYS(C357,P357)-1)</f>
        <v/>
      </c>
      <c r="X357">
        <f>IF(B357="","",IF(P357="","Aberto","Fechado"))</f>
        <v/>
      </c>
    </row>
    <row r="358">
      <c r="C358" s="6" t="n"/>
      <c r="E358" s="7" t="n"/>
      <c r="F358" s="8" t="n"/>
      <c r="G358" s="8" t="n"/>
      <c r="H358" s="8" t="n"/>
      <c r="J358" s="7" t="n"/>
      <c r="K358" s="8" t="n"/>
      <c r="L358" s="7" t="n"/>
      <c r="M358" s="8" t="n"/>
      <c r="N358" s="7" t="n"/>
      <c r="O358" s="8" t="n"/>
      <c r="P358" s="6" t="n"/>
      <c r="Q358" s="8" t="n"/>
      <c r="S358" s="8">
        <f>IF(B358="","",E358*F358)</f>
        <v/>
      </c>
      <c r="T358" s="8">
        <f>IF(OR(B358="",N(G358)=0),"",ABS(F358-G358)*E358)</f>
        <v/>
      </c>
      <c r="U358" s="8">
        <f>IF(OR(B358="",P358=""),"",IF(D358="Venda",-1,1)*((N(J358)*N(K358)+N(L358)*N(M358)+N(N358)*N(O358))-(N(J358)+N(L358)+N(N358))*F358)-N(Q358))</f>
        <v/>
      </c>
      <c r="V358" s="9">
        <f>IF(OR(B358="",P358=""),"",U358/S358)</f>
        <v/>
      </c>
      <c r="W358">
        <f>IF(OR(B358="",P358=""),"",NETWORKDAYS(C358,P358)-1)</f>
        <v/>
      </c>
      <c r="X358">
        <f>IF(B358="","",IF(P358="","Aberto","Fechado"))</f>
        <v/>
      </c>
    </row>
    <row r="359">
      <c r="C359" s="6" t="n"/>
      <c r="E359" s="7" t="n"/>
      <c r="F359" s="8" t="n"/>
      <c r="G359" s="8" t="n"/>
      <c r="H359" s="8" t="n"/>
      <c r="J359" s="7" t="n"/>
      <c r="K359" s="8" t="n"/>
      <c r="L359" s="7" t="n"/>
      <c r="M359" s="8" t="n"/>
      <c r="N359" s="7" t="n"/>
      <c r="O359" s="8" t="n"/>
      <c r="P359" s="6" t="n"/>
      <c r="Q359" s="8" t="n"/>
      <c r="S359" s="8">
        <f>IF(B359="","",E359*F359)</f>
        <v/>
      </c>
      <c r="T359" s="8">
        <f>IF(OR(B359="",N(G359)=0),"",ABS(F359-G359)*E359)</f>
        <v/>
      </c>
      <c r="U359" s="8">
        <f>IF(OR(B359="",P359=""),"",IF(D359="Venda",-1,1)*((N(J359)*N(K359)+N(L359)*N(M359)+N(N359)*N(O359))-(N(J359)+N(L359)+N(N359))*F359)-N(Q359))</f>
        <v/>
      </c>
      <c r="V359" s="9">
        <f>IF(OR(B359="",P359=""),"",U359/S359)</f>
        <v/>
      </c>
      <c r="W359">
        <f>IF(OR(B359="",P359=""),"",NETWORKDAYS(C359,P359)-1)</f>
        <v/>
      </c>
      <c r="X359">
        <f>IF(B359="","",IF(P359="","Aberto","Fechado"))</f>
        <v/>
      </c>
    </row>
    <row r="360">
      <c r="C360" s="6" t="n"/>
      <c r="E360" s="7" t="n"/>
      <c r="F360" s="8" t="n"/>
      <c r="G360" s="8" t="n"/>
      <c r="H360" s="8" t="n"/>
      <c r="J360" s="7" t="n"/>
      <c r="K360" s="8" t="n"/>
      <c r="L360" s="7" t="n"/>
      <c r="M360" s="8" t="n"/>
      <c r="N360" s="7" t="n"/>
      <c r="O360" s="8" t="n"/>
      <c r="P360" s="6" t="n"/>
      <c r="Q360" s="8" t="n"/>
      <c r="S360" s="8">
        <f>IF(B360="","",E360*F360)</f>
        <v/>
      </c>
      <c r="T360" s="8">
        <f>IF(OR(B360="",N(G360)=0),"",ABS(F360-G360)*E360)</f>
        <v/>
      </c>
      <c r="U360" s="8">
        <f>IF(OR(B360="",P360=""),"",IF(D360="Venda",-1,1)*((N(J360)*N(K360)+N(L360)*N(M360)+N(N360)*N(O360))-(N(J360)+N(L360)+N(N360))*F360)-N(Q360))</f>
        <v/>
      </c>
      <c r="V360" s="9">
        <f>IF(OR(B360="",P360=""),"",U360/S360)</f>
        <v/>
      </c>
      <c r="W360">
        <f>IF(OR(B360="",P360=""),"",NETWORKDAYS(C360,P360)-1)</f>
        <v/>
      </c>
      <c r="X360">
        <f>IF(B360="","",IF(P360="","Aberto","Fechado"))</f>
        <v/>
      </c>
    </row>
    <row r="361">
      <c r="C361" s="6" t="n"/>
      <c r="E361" s="7" t="n"/>
      <c r="F361" s="8" t="n"/>
      <c r="G361" s="8" t="n"/>
      <c r="H361" s="8" t="n"/>
      <c r="J361" s="7" t="n"/>
      <c r="K361" s="8" t="n"/>
      <c r="L361" s="7" t="n"/>
      <c r="M361" s="8" t="n"/>
      <c r="N361" s="7" t="n"/>
      <c r="O361" s="8" t="n"/>
      <c r="P361" s="6" t="n"/>
      <c r="Q361" s="8" t="n"/>
      <c r="S361" s="8">
        <f>IF(B361="","",E361*F361)</f>
        <v/>
      </c>
      <c r="T361" s="8">
        <f>IF(OR(B361="",N(G361)=0),"",ABS(F361-G361)*E361)</f>
        <v/>
      </c>
      <c r="U361" s="8">
        <f>IF(OR(B361="",P361=""),"",IF(D361="Venda",-1,1)*((N(J361)*N(K361)+N(L361)*N(M361)+N(N361)*N(O361))-(N(J361)+N(L361)+N(N361))*F361)-N(Q361))</f>
        <v/>
      </c>
      <c r="V361" s="9">
        <f>IF(OR(B361="",P361=""),"",U361/S361)</f>
        <v/>
      </c>
      <c r="W361">
        <f>IF(OR(B361="",P361=""),"",NETWORKDAYS(C361,P361)-1)</f>
        <v/>
      </c>
      <c r="X361">
        <f>IF(B361="","",IF(P361="","Aberto","Fechado"))</f>
        <v/>
      </c>
    </row>
    <row r="362">
      <c r="C362" s="6" t="n"/>
      <c r="E362" s="7" t="n"/>
      <c r="F362" s="8" t="n"/>
      <c r="G362" s="8" t="n"/>
      <c r="H362" s="8" t="n"/>
      <c r="J362" s="7" t="n"/>
      <c r="K362" s="8" t="n"/>
      <c r="L362" s="7" t="n"/>
      <c r="M362" s="8" t="n"/>
      <c r="N362" s="7" t="n"/>
      <c r="O362" s="8" t="n"/>
      <c r="P362" s="6" t="n"/>
      <c r="Q362" s="8" t="n"/>
      <c r="S362" s="8">
        <f>IF(B362="","",E362*F362)</f>
        <v/>
      </c>
      <c r="T362" s="8">
        <f>IF(OR(B362="",N(G362)=0),"",ABS(F362-G362)*E362)</f>
        <v/>
      </c>
      <c r="U362" s="8">
        <f>IF(OR(B362="",P362=""),"",IF(D362="Venda",-1,1)*((N(J362)*N(K362)+N(L362)*N(M362)+N(N362)*N(O362))-(N(J362)+N(L362)+N(N362))*F362)-N(Q362))</f>
        <v/>
      </c>
      <c r="V362" s="9">
        <f>IF(OR(B362="",P362=""),"",U362/S362)</f>
        <v/>
      </c>
      <c r="W362">
        <f>IF(OR(B362="",P362=""),"",NETWORKDAYS(C362,P362)-1)</f>
        <v/>
      </c>
      <c r="X362">
        <f>IF(B362="","",IF(P362="","Aberto","Fechado"))</f>
        <v/>
      </c>
    </row>
    <row r="363">
      <c r="C363" s="6" t="n"/>
      <c r="E363" s="7" t="n"/>
      <c r="F363" s="8" t="n"/>
      <c r="G363" s="8" t="n"/>
      <c r="H363" s="8" t="n"/>
      <c r="J363" s="7" t="n"/>
      <c r="K363" s="8" t="n"/>
      <c r="L363" s="7" t="n"/>
      <c r="M363" s="8" t="n"/>
      <c r="N363" s="7" t="n"/>
      <c r="O363" s="8" t="n"/>
      <c r="P363" s="6" t="n"/>
      <c r="Q363" s="8" t="n"/>
      <c r="S363" s="8">
        <f>IF(B363="","",E363*F363)</f>
        <v/>
      </c>
      <c r="T363" s="8">
        <f>IF(OR(B363="",N(G363)=0),"",ABS(F363-G363)*E363)</f>
        <v/>
      </c>
      <c r="U363" s="8">
        <f>IF(OR(B363="",P363=""),"",IF(D363="Venda",-1,1)*((N(J363)*N(K363)+N(L363)*N(M363)+N(N363)*N(O363))-(N(J363)+N(L363)+N(N363))*F363)-N(Q363))</f>
        <v/>
      </c>
      <c r="V363" s="9">
        <f>IF(OR(B363="",P363=""),"",U363/S363)</f>
        <v/>
      </c>
      <c r="W363">
        <f>IF(OR(B363="",P363=""),"",NETWORKDAYS(C363,P363)-1)</f>
        <v/>
      </c>
      <c r="X363">
        <f>IF(B363="","",IF(P363="","Aberto","Fechado"))</f>
        <v/>
      </c>
    </row>
    <row r="364">
      <c r="C364" s="6" t="n"/>
      <c r="E364" s="7" t="n"/>
      <c r="F364" s="8" t="n"/>
      <c r="G364" s="8" t="n"/>
      <c r="H364" s="8" t="n"/>
      <c r="J364" s="7" t="n"/>
      <c r="K364" s="8" t="n"/>
      <c r="L364" s="7" t="n"/>
      <c r="M364" s="8" t="n"/>
      <c r="N364" s="7" t="n"/>
      <c r="O364" s="8" t="n"/>
      <c r="P364" s="6" t="n"/>
      <c r="Q364" s="8" t="n"/>
      <c r="S364" s="8">
        <f>IF(B364="","",E364*F364)</f>
        <v/>
      </c>
      <c r="T364" s="8">
        <f>IF(OR(B364="",N(G364)=0),"",ABS(F364-G364)*E364)</f>
        <v/>
      </c>
      <c r="U364" s="8">
        <f>IF(OR(B364="",P364=""),"",IF(D364="Venda",-1,1)*((N(J364)*N(K364)+N(L364)*N(M364)+N(N364)*N(O364))-(N(J364)+N(L364)+N(N364))*F364)-N(Q364))</f>
        <v/>
      </c>
      <c r="V364" s="9">
        <f>IF(OR(B364="",P364=""),"",U364/S364)</f>
        <v/>
      </c>
      <c r="W364">
        <f>IF(OR(B364="",P364=""),"",NETWORKDAYS(C364,P364)-1)</f>
        <v/>
      </c>
      <c r="X364">
        <f>IF(B364="","",IF(P364="","Aberto","Fechado"))</f>
        <v/>
      </c>
    </row>
    <row r="365">
      <c r="C365" s="6" t="n"/>
      <c r="E365" s="7" t="n"/>
      <c r="F365" s="8" t="n"/>
      <c r="G365" s="8" t="n"/>
      <c r="H365" s="8" t="n"/>
      <c r="J365" s="7" t="n"/>
      <c r="K365" s="8" t="n"/>
      <c r="L365" s="7" t="n"/>
      <c r="M365" s="8" t="n"/>
      <c r="N365" s="7" t="n"/>
      <c r="O365" s="8" t="n"/>
      <c r="P365" s="6" t="n"/>
      <c r="Q365" s="8" t="n"/>
      <c r="S365" s="8">
        <f>IF(B365="","",E365*F365)</f>
        <v/>
      </c>
      <c r="T365" s="8">
        <f>IF(OR(B365="",N(G365)=0),"",ABS(F365-G365)*E365)</f>
        <v/>
      </c>
      <c r="U365" s="8">
        <f>IF(OR(B365="",P365=""),"",IF(D365="Venda",-1,1)*((N(J365)*N(K365)+N(L365)*N(M365)+N(N365)*N(O365))-(N(J365)+N(L365)+N(N365))*F365)-N(Q365))</f>
        <v/>
      </c>
      <c r="V365" s="9">
        <f>IF(OR(B365="",P365=""),"",U365/S365)</f>
        <v/>
      </c>
      <c r="W365">
        <f>IF(OR(B365="",P365=""),"",NETWORKDAYS(C365,P365)-1)</f>
        <v/>
      </c>
      <c r="X365">
        <f>IF(B365="","",IF(P365="","Aberto","Fechado"))</f>
        <v/>
      </c>
    </row>
    <row r="366">
      <c r="C366" s="6" t="n"/>
      <c r="E366" s="7" t="n"/>
      <c r="F366" s="8" t="n"/>
      <c r="G366" s="8" t="n"/>
      <c r="H366" s="8" t="n"/>
      <c r="J366" s="7" t="n"/>
      <c r="K366" s="8" t="n"/>
      <c r="L366" s="7" t="n"/>
      <c r="M366" s="8" t="n"/>
      <c r="N366" s="7" t="n"/>
      <c r="O366" s="8" t="n"/>
      <c r="P366" s="6" t="n"/>
      <c r="Q366" s="8" t="n"/>
      <c r="S366" s="8">
        <f>IF(B366="","",E366*F366)</f>
        <v/>
      </c>
      <c r="T366" s="8">
        <f>IF(OR(B366="",N(G366)=0),"",ABS(F366-G366)*E366)</f>
        <v/>
      </c>
      <c r="U366" s="8">
        <f>IF(OR(B366="",P366=""),"",IF(D366="Venda",-1,1)*((N(J366)*N(K366)+N(L366)*N(M366)+N(N366)*N(O366))-(N(J366)+N(L366)+N(N366))*F366)-N(Q366))</f>
        <v/>
      </c>
      <c r="V366" s="9">
        <f>IF(OR(B366="",P366=""),"",U366/S366)</f>
        <v/>
      </c>
      <c r="W366">
        <f>IF(OR(B366="",P366=""),"",NETWORKDAYS(C366,P366)-1)</f>
        <v/>
      </c>
      <c r="X366">
        <f>IF(B366="","",IF(P366="","Aberto","Fechado"))</f>
        <v/>
      </c>
    </row>
    <row r="367">
      <c r="C367" s="6" t="n"/>
      <c r="E367" s="7" t="n"/>
      <c r="F367" s="8" t="n"/>
      <c r="G367" s="8" t="n"/>
      <c r="H367" s="8" t="n"/>
      <c r="J367" s="7" t="n"/>
      <c r="K367" s="8" t="n"/>
      <c r="L367" s="7" t="n"/>
      <c r="M367" s="8" t="n"/>
      <c r="N367" s="7" t="n"/>
      <c r="O367" s="8" t="n"/>
      <c r="P367" s="6" t="n"/>
      <c r="Q367" s="8" t="n"/>
      <c r="S367" s="8">
        <f>IF(B367="","",E367*F367)</f>
        <v/>
      </c>
      <c r="T367" s="8">
        <f>IF(OR(B367="",N(G367)=0),"",ABS(F367-G367)*E367)</f>
        <v/>
      </c>
      <c r="U367" s="8">
        <f>IF(OR(B367="",P367=""),"",IF(D367="Venda",-1,1)*((N(J367)*N(K367)+N(L367)*N(M367)+N(N367)*N(O367))-(N(J367)+N(L367)+N(N367))*F367)-N(Q367))</f>
        <v/>
      </c>
      <c r="V367" s="9">
        <f>IF(OR(B367="",P367=""),"",U367/S367)</f>
        <v/>
      </c>
      <c r="W367">
        <f>IF(OR(B367="",P367=""),"",NETWORKDAYS(C367,P367)-1)</f>
        <v/>
      </c>
      <c r="X367">
        <f>IF(B367="","",IF(P367="","Aberto","Fechado"))</f>
        <v/>
      </c>
    </row>
    <row r="368">
      <c r="C368" s="6" t="n"/>
      <c r="E368" s="7" t="n"/>
      <c r="F368" s="8" t="n"/>
      <c r="G368" s="8" t="n"/>
      <c r="H368" s="8" t="n"/>
      <c r="J368" s="7" t="n"/>
      <c r="K368" s="8" t="n"/>
      <c r="L368" s="7" t="n"/>
      <c r="M368" s="8" t="n"/>
      <c r="N368" s="7" t="n"/>
      <c r="O368" s="8" t="n"/>
      <c r="P368" s="6" t="n"/>
      <c r="Q368" s="8" t="n"/>
      <c r="S368" s="8">
        <f>IF(B368="","",E368*F368)</f>
        <v/>
      </c>
      <c r="T368" s="8">
        <f>IF(OR(B368="",N(G368)=0),"",ABS(F368-G368)*E368)</f>
        <v/>
      </c>
      <c r="U368" s="8">
        <f>IF(OR(B368="",P368=""),"",IF(D368="Venda",-1,1)*((N(J368)*N(K368)+N(L368)*N(M368)+N(N368)*N(O368))-(N(J368)+N(L368)+N(N368))*F368)-N(Q368))</f>
        <v/>
      </c>
      <c r="V368" s="9">
        <f>IF(OR(B368="",P368=""),"",U368/S368)</f>
        <v/>
      </c>
      <c r="W368">
        <f>IF(OR(B368="",P368=""),"",NETWORKDAYS(C368,P368)-1)</f>
        <v/>
      </c>
      <c r="X368">
        <f>IF(B368="","",IF(P368="","Aberto","Fechado"))</f>
        <v/>
      </c>
    </row>
    <row r="369">
      <c r="C369" s="6" t="n"/>
      <c r="E369" s="7" t="n"/>
      <c r="F369" s="8" t="n"/>
      <c r="G369" s="8" t="n"/>
      <c r="H369" s="8" t="n"/>
      <c r="J369" s="7" t="n"/>
      <c r="K369" s="8" t="n"/>
      <c r="L369" s="7" t="n"/>
      <c r="M369" s="8" t="n"/>
      <c r="N369" s="7" t="n"/>
      <c r="O369" s="8" t="n"/>
      <c r="P369" s="6" t="n"/>
      <c r="Q369" s="8" t="n"/>
      <c r="S369" s="8">
        <f>IF(B369="","",E369*F369)</f>
        <v/>
      </c>
      <c r="T369" s="8">
        <f>IF(OR(B369="",N(G369)=0),"",ABS(F369-G369)*E369)</f>
        <v/>
      </c>
      <c r="U369" s="8">
        <f>IF(OR(B369="",P369=""),"",IF(D369="Venda",-1,1)*((N(J369)*N(K369)+N(L369)*N(M369)+N(N369)*N(O369))-(N(J369)+N(L369)+N(N369))*F369)-N(Q369))</f>
        <v/>
      </c>
      <c r="V369" s="9">
        <f>IF(OR(B369="",P369=""),"",U369/S369)</f>
        <v/>
      </c>
      <c r="W369">
        <f>IF(OR(B369="",P369=""),"",NETWORKDAYS(C369,P369)-1)</f>
        <v/>
      </c>
      <c r="X369">
        <f>IF(B369="","",IF(P369="","Aberto","Fechado"))</f>
        <v/>
      </c>
    </row>
    <row r="370">
      <c r="C370" s="6" t="n"/>
      <c r="E370" s="7" t="n"/>
      <c r="F370" s="8" t="n"/>
      <c r="G370" s="8" t="n"/>
      <c r="H370" s="8" t="n"/>
      <c r="J370" s="7" t="n"/>
      <c r="K370" s="8" t="n"/>
      <c r="L370" s="7" t="n"/>
      <c r="M370" s="8" t="n"/>
      <c r="N370" s="7" t="n"/>
      <c r="O370" s="8" t="n"/>
      <c r="P370" s="6" t="n"/>
      <c r="Q370" s="8" t="n"/>
      <c r="S370" s="8">
        <f>IF(B370="","",E370*F370)</f>
        <v/>
      </c>
      <c r="T370" s="8">
        <f>IF(OR(B370="",N(G370)=0),"",ABS(F370-G370)*E370)</f>
        <v/>
      </c>
      <c r="U370" s="8">
        <f>IF(OR(B370="",P370=""),"",IF(D370="Venda",-1,1)*((N(J370)*N(K370)+N(L370)*N(M370)+N(N370)*N(O370))-(N(J370)+N(L370)+N(N370))*F370)-N(Q370))</f>
        <v/>
      </c>
      <c r="V370" s="9">
        <f>IF(OR(B370="",P370=""),"",U370/S370)</f>
        <v/>
      </c>
      <c r="W370">
        <f>IF(OR(B370="",P370=""),"",NETWORKDAYS(C370,P370)-1)</f>
        <v/>
      </c>
      <c r="X370">
        <f>IF(B370="","",IF(P370="","Aberto","Fechado"))</f>
        <v/>
      </c>
    </row>
    <row r="371">
      <c r="C371" s="6" t="n"/>
      <c r="E371" s="7" t="n"/>
      <c r="F371" s="8" t="n"/>
      <c r="G371" s="8" t="n"/>
      <c r="H371" s="8" t="n"/>
      <c r="J371" s="7" t="n"/>
      <c r="K371" s="8" t="n"/>
      <c r="L371" s="7" t="n"/>
      <c r="M371" s="8" t="n"/>
      <c r="N371" s="7" t="n"/>
      <c r="O371" s="8" t="n"/>
      <c r="P371" s="6" t="n"/>
      <c r="Q371" s="8" t="n"/>
      <c r="S371" s="8">
        <f>IF(B371="","",E371*F371)</f>
        <v/>
      </c>
      <c r="T371" s="8">
        <f>IF(OR(B371="",N(G371)=0),"",ABS(F371-G371)*E371)</f>
        <v/>
      </c>
      <c r="U371" s="8">
        <f>IF(OR(B371="",P371=""),"",IF(D371="Venda",-1,1)*((N(J371)*N(K371)+N(L371)*N(M371)+N(N371)*N(O371))-(N(J371)+N(L371)+N(N371))*F371)-N(Q371))</f>
        <v/>
      </c>
      <c r="V371" s="9">
        <f>IF(OR(B371="",P371=""),"",U371/S371)</f>
        <v/>
      </c>
      <c r="W371">
        <f>IF(OR(B371="",P371=""),"",NETWORKDAYS(C371,P371)-1)</f>
        <v/>
      </c>
      <c r="X371">
        <f>IF(B371="","",IF(P371="","Aberto","Fechado"))</f>
        <v/>
      </c>
    </row>
    <row r="372">
      <c r="C372" s="6" t="n"/>
      <c r="E372" s="7" t="n"/>
      <c r="F372" s="8" t="n"/>
      <c r="G372" s="8" t="n"/>
      <c r="H372" s="8" t="n"/>
      <c r="J372" s="7" t="n"/>
      <c r="K372" s="8" t="n"/>
      <c r="L372" s="7" t="n"/>
      <c r="M372" s="8" t="n"/>
      <c r="N372" s="7" t="n"/>
      <c r="O372" s="8" t="n"/>
      <c r="P372" s="6" t="n"/>
      <c r="Q372" s="8" t="n"/>
      <c r="S372" s="8">
        <f>IF(B372="","",E372*F372)</f>
        <v/>
      </c>
      <c r="T372" s="8">
        <f>IF(OR(B372="",N(G372)=0),"",ABS(F372-G372)*E372)</f>
        <v/>
      </c>
      <c r="U372" s="8">
        <f>IF(OR(B372="",P372=""),"",IF(D372="Venda",-1,1)*((N(J372)*N(K372)+N(L372)*N(M372)+N(N372)*N(O372))-(N(J372)+N(L372)+N(N372))*F372)-N(Q372))</f>
        <v/>
      </c>
      <c r="V372" s="9">
        <f>IF(OR(B372="",P372=""),"",U372/S372)</f>
        <v/>
      </c>
      <c r="W372">
        <f>IF(OR(B372="",P372=""),"",NETWORKDAYS(C372,P372)-1)</f>
        <v/>
      </c>
      <c r="X372">
        <f>IF(B372="","",IF(P372="","Aberto","Fechado"))</f>
        <v/>
      </c>
    </row>
    <row r="373">
      <c r="C373" s="6" t="n"/>
      <c r="E373" s="7" t="n"/>
      <c r="F373" s="8" t="n"/>
      <c r="G373" s="8" t="n"/>
      <c r="H373" s="8" t="n"/>
      <c r="J373" s="7" t="n"/>
      <c r="K373" s="8" t="n"/>
      <c r="L373" s="7" t="n"/>
      <c r="M373" s="8" t="n"/>
      <c r="N373" s="7" t="n"/>
      <c r="O373" s="8" t="n"/>
      <c r="P373" s="6" t="n"/>
      <c r="Q373" s="8" t="n"/>
      <c r="S373" s="8">
        <f>IF(B373="","",E373*F373)</f>
        <v/>
      </c>
      <c r="T373" s="8">
        <f>IF(OR(B373="",N(G373)=0),"",ABS(F373-G373)*E373)</f>
        <v/>
      </c>
      <c r="U373" s="8">
        <f>IF(OR(B373="",P373=""),"",IF(D373="Venda",-1,1)*((N(J373)*N(K373)+N(L373)*N(M373)+N(N373)*N(O373))-(N(J373)+N(L373)+N(N373))*F373)-N(Q373))</f>
        <v/>
      </c>
      <c r="V373" s="9">
        <f>IF(OR(B373="",P373=""),"",U373/S373)</f>
        <v/>
      </c>
      <c r="W373">
        <f>IF(OR(B373="",P373=""),"",NETWORKDAYS(C373,P373)-1)</f>
        <v/>
      </c>
      <c r="X373">
        <f>IF(B373="","",IF(P373="","Aberto","Fechado"))</f>
        <v/>
      </c>
    </row>
    <row r="374">
      <c r="C374" s="6" t="n"/>
      <c r="E374" s="7" t="n"/>
      <c r="F374" s="8" t="n"/>
      <c r="G374" s="8" t="n"/>
      <c r="H374" s="8" t="n"/>
      <c r="J374" s="7" t="n"/>
      <c r="K374" s="8" t="n"/>
      <c r="L374" s="7" t="n"/>
      <c r="M374" s="8" t="n"/>
      <c r="N374" s="7" t="n"/>
      <c r="O374" s="8" t="n"/>
      <c r="P374" s="6" t="n"/>
      <c r="Q374" s="8" t="n"/>
      <c r="S374" s="8">
        <f>IF(B374="","",E374*F374)</f>
        <v/>
      </c>
      <c r="T374" s="8">
        <f>IF(OR(B374="",N(G374)=0),"",ABS(F374-G374)*E374)</f>
        <v/>
      </c>
      <c r="U374" s="8">
        <f>IF(OR(B374="",P374=""),"",IF(D374="Venda",-1,1)*((N(J374)*N(K374)+N(L374)*N(M374)+N(N374)*N(O374))-(N(J374)+N(L374)+N(N374))*F374)-N(Q374))</f>
        <v/>
      </c>
      <c r="V374" s="9">
        <f>IF(OR(B374="",P374=""),"",U374/S374)</f>
        <v/>
      </c>
      <c r="W374">
        <f>IF(OR(B374="",P374=""),"",NETWORKDAYS(C374,P374)-1)</f>
        <v/>
      </c>
      <c r="X374">
        <f>IF(B374="","",IF(P374="","Aberto","Fechado"))</f>
        <v/>
      </c>
    </row>
    <row r="375">
      <c r="C375" s="6" t="n"/>
      <c r="E375" s="7" t="n"/>
      <c r="F375" s="8" t="n"/>
      <c r="G375" s="8" t="n"/>
      <c r="H375" s="8" t="n"/>
      <c r="J375" s="7" t="n"/>
      <c r="K375" s="8" t="n"/>
      <c r="L375" s="7" t="n"/>
      <c r="M375" s="8" t="n"/>
      <c r="N375" s="7" t="n"/>
      <c r="O375" s="8" t="n"/>
      <c r="P375" s="6" t="n"/>
      <c r="Q375" s="8" t="n"/>
      <c r="S375" s="8">
        <f>IF(B375="","",E375*F375)</f>
        <v/>
      </c>
      <c r="T375" s="8">
        <f>IF(OR(B375="",N(G375)=0),"",ABS(F375-G375)*E375)</f>
        <v/>
      </c>
      <c r="U375" s="8">
        <f>IF(OR(B375="",P375=""),"",IF(D375="Venda",-1,1)*((N(J375)*N(K375)+N(L375)*N(M375)+N(N375)*N(O375))-(N(J375)+N(L375)+N(N375))*F375)-N(Q375))</f>
        <v/>
      </c>
      <c r="V375" s="9">
        <f>IF(OR(B375="",P375=""),"",U375/S375)</f>
        <v/>
      </c>
      <c r="W375">
        <f>IF(OR(B375="",P375=""),"",NETWORKDAYS(C375,P375)-1)</f>
        <v/>
      </c>
      <c r="X375">
        <f>IF(B375="","",IF(P375="","Aberto","Fechado"))</f>
        <v/>
      </c>
    </row>
    <row r="376">
      <c r="C376" s="6" t="n"/>
      <c r="E376" s="7" t="n"/>
      <c r="F376" s="8" t="n"/>
      <c r="G376" s="8" t="n"/>
      <c r="H376" s="8" t="n"/>
      <c r="J376" s="7" t="n"/>
      <c r="K376" s="8" t="n"/>
      <c r="L376" s="7" t="n"/>
      <c r="M376" s="8" t="n"/>
      <c r="N376" s="7" t="n"/>
      <c r="O376" s="8" t="n"/>
      <c r="P376" s="6" t="n"/>
      <c r="Q376" s="8" t="n"/>
      <c r="S376" s="8">
        <f>IF(B376="","",E376*F376)</f>
        <v/>
      </c>
      <c r="T376" s="8">
        <f>IF(OR(B376="",N(G376)=0),"",ABS(F376-G376)*E376)</f>
        <v/>
      </c>
      <c r="U376" s="8">
        <f>IF(OR(B376="",P376=""),"",IF(D376="Venda",-1,1)*((N(J376)*N(K376)+N(L376)*N(M376)+N(N376)*N(O376))-(N(J376)+N(L376)+N(N376))*F376)-N(Q376))</f>
        <v/>
      </c>
      <c r="V376" s="9">
        <f>IF(OR(B376="",P376=""),"",U376/S376)</f>
        <v/>
      </c>
      <c r="W376">
        <f>IF(OR(B376="",P376=""),"",NETWORKDAYS(C376,P376)-1)</f>
        <v/>
      </c>
      <c r="X376">
        <f>IF(B376="","",IF(P376="","Aberto","Fechado"))</f>
        <v/>
      </c>
    </row>
    <row r="377">
      <c r="C377" s="6" t="n"/>
      <c r="E377" s="7" t="n"/>
      <c r="F377" s="8" t="n"/>
      <c r="G377" s="8" t="n"/>
      <c r="H377" s="8" t="n"/>
      <c r="J377" s="7" t="n"/>
      <c r="K377" s="8" t="n"/>
      <c r="L377" s="7" t="n"/>
      <c r="M377" s="8" t="n"/>
      <c r="N377" s="7" t="n"/>
      <c r="O377" s="8" t="n"/>
      <c r="P377" s="6" t="n"/>
      <c r="Q377" s="8" t="n"/>
      <c r="S377" s="8">
        <f>IF(B377="","",E377*F377)</f>
        <v/>
      </c>
      <c r="T377" s="8">
        <f>IF(OR(B377="",N(G377)=0),"",ABS(F377-G377)*E377)</f>
        <v/>
      </c>
      <c r="U377" s="8">
        <f>IF(OR(B377="",P377=""),"",IF(D377="Venda",-1,1)*((N(J377)*N(K377)+N(L377)*N(M377)+N(N377)*N(O377))-(N(J377)+N(L377)+N(N377))*F377)-N(Q377))</f>
        <v/>
      </c>
      <c r="V377" s="9">
        <f>IF(OR(B377="",P377=""),"",U377/S377)</f>
        <v/>
      </c>
      <c r="W377">
        <f>IF(OR(B377="",P377=""),"",NETWORKDAYS(C377,P377)-1)</f>
        <v/>
      </c>
      <c r="X377">
        <f>IF(B377="","",IF(P377="","Aberto","Fechado"))</f>
        <v/>
      </c>
    </row>
    <row r="378">
      <c r="C378" s="6" t="n"/>
      <c r="E378" s="7" t="n"/>
      <c r="F378" s="8" t="n"/>
      <c r="G378" s="8" t="n"/>
      <c r="H378" s="8" t="n"/>
      <c r="J378" s="7" t="n"/>
      <c r="K378" s="8" t="n"/>
      <c r="L378" s="7" t="n"/>
      <c r="M378" s="8" t="n"/>
      <c r="N378" s="7" t="n"/>
      <c r="O378" s="8" t="n"/>
      <c r="P378" s="6" t="n"/>
      <c r="Q378" s="8" t="n"/>
      <c r="S378" s="8">
        <f>IF(B378="","",E378*F378)</f>
        <v/>
      </c>
      <c r="T378" s="8">
        <f>IF(OR(B378="",N(G378)=0),"",ABS(F378-G378)*E378)</f>
        <v/>
      </c>
      <c r="U378" s="8">
        <f>IF(OR(B378="",P378=""),"",IF(D378="Venda",-1,1)*((N(J378)*N(K378)+N(L378)*N(M378)+N(N378)*N(O378))-(N(J378)+N(L378)+N(N378))*F378)-N(Q378))</f>
        <v/>
      </c>
      <c r="V378" s="9">
        <f>IF(OR(B378="",P378=""),"",U378/S378)</f>
        <v/>
      </c>
      <c r="W378">
        <f>IF(OR(B378="",P378=""),"",NETWORKDAYS(C378,P378)-1)</f>
        <v/>
      </c>
      <c r="X378">
        <f>IF(B378="","",IF(P378="","Aberto","Fechado"))</f>
        <v/>
      </c>
    </row>
    <row r="379">
      <c r="C379" s="6" t="n"/>
      <c r="E379" s="7" t="n"/>
      <c r="F379" s="8" t="n"/>
      <c r="G379" s="8" t="n"/>
      <c r="H379" s="8" t="n"/>
      <c r="J379" s="7" t="n"/>
      <c r="K379" s="8" t="n"/>
      <c r="L379" s="7" t="n"/>
      <c r="M379" s="8" t="n"/>
      <c r="N379" s="7" t="n"/>
      <c r="O379" s="8" t="n"/>
      <c r="P379" s="6" t="n"/>
      <c r="Q379" s="8" t="n"/>
      <c r="S379" s="8">
        <f>IF(B379="","",E379*F379)</f>
        <v/>
      </c>
      <c r="T379" s="8">
        <f>IF(OR(B379="",N(G379)=0),"",ABS(F379-G379)*E379)</f>
        <v/>
      </c>
      <c r="U379" s="8">
        <f>IF(OR(B379="",P379=""),"",IF(D379="Venda",-1,1)*((N(J379)*N(K379)+N(L379)*N(M379)+N(N379)*N(O379))-(N(J379)+N(L379)+N(N379))*F379)-N(Q379))</f>
        <v/>
      </c>
      <c r="V379" s="9">
        <f>IF(OR(B379="",P379=""),"",U379/S379)</f>
        <v/>
      </c>
      <c r="W379">
        <f>IF(OR(B379="",P379=""),"",NETWORKDAYS(C379,P379)-1)</f>
        <v/>
      </c>
      <c r="X379">
        <f>IF(B379="","",IF(P379="","Aberto","Fechado"))</f>
        <v/>
      </c>
    </row>
    <row r="380">
      <c r="C380" s="6" t="n"/>
      <c r="E380" s="7" t="n"/>
      <c r="F380" s="8" t="n"/>
      <c r="G380" s="8" t="n"/>
      <c r="H380" s="8" t="n"/>
      <c r="J380" s="7" t="n"/>
      <c r="K380" s="8" t="n"/>
      <c r="L380" s="7" t="n"/>
      <c r="M380" s="8" t="n"/>
      <c r="N380" s="7" t="n"/>
      <c r="O380" s="8" t="n"/>
      <c r="P380" s="6" t="n"/>
      <c r="Q380" s="8" t="n"/>
      <c r="S380" s="8">
        <f>IF(B380="","",E380*F380)</f>
        <v/>
      </c>
      <c r="T380" s="8">
        <f>IF(OR(B380="",N(G380)=0),"",ABS(F380-G380)*E380)</f>
        <v/>
      </c>
      <c r="U380" s="8">
        <f>IF(OR(B380="",P380=""),"",IF(D380="Venda",-1,1)*((N(J380)*N(K380)+N(L380)*N(M380)+N(N380)*N(O380))-(N(J380)+N(L380)+N(N380))*F380)-N(Q380))</f>
        <v/>
      </c>
      <c r="V380" s="9">
        <f>IF(OR(B380="",P380=""),"",U380/S380)</f>
        <v/>
      </c>
      <c r="W380">
        <f>IF(OR(B380="",P380=""),"",NETWORKDAYS(C380,P380)-1)</f>
        <v/>
      </c>
      <c r="X380">
        <f>IF(B380="","",IF(P380="","Aberto","Fechado"))</f>
        <v/>
      </c>
    </row>
    <row r="381">
      <c r="C381" s="6" t="n"/>
      <c r="E381" s="7" t="n"/>
      <c r="F381" s="8" t="n"/>
      <c r="G381" s="8" t="n"/>
      <c r="H381" s="8" t="n"/>
      <c r="J381" s="7" t="n"/>
      <c r="K381" s="8" t="n"/>
      <c r="L381" s="7" t="n"/>
      <c r="M381" s="8" t="n"/>
      <c r="N381" s="7" t="n"/>
      <c r="O381" s="8" t="n"/>
      <c r="P381" s="6" t="n"/>
      <c r="Q381" s="8" t="n"/>
      <c r="S381" s="8">
        <f>IF(B381="","",E381*F381)</f>
        <v/>
      </c>
      <c r="T381" s="8">
        <f>IF(OR(B381="",N(G381)=0),"",ABS(F381-G381)*E381)</f>
        <v/>
      </c>
      <c r="U381" s="8">
        <f>IF(OR(B381="",P381=""),"",IF(D381="Venda",-1,1)*((N(J381)*N(K381)+N(L381)*N(M381)+N(N381)*N(O381))-(N(J381)+N(L381)+N(N381))*F381)-N(Q381))</f>
        <v/>
      </c>
      <c r="V381" s="9">
        <f>IF(OR(B381="",P381=""),"",U381/S381)</f>
        <v/>
      </c>
      <c r="W381">
        <f>IF(OR(B381="",P381=""),"",NETWORKDAYS(C381,P381)-1)</f>
        <v/>
      </c>
      <c r="X381">
        <f>IF(B381="","",IF(P381="","Aberto","Fechado"))</f>
        <v/>
      </c>
    </row>
    <row r="382">
      <c r="C382" s="6" t="n"/>
      <c r="E382" s="7" t="n"/>
      <c r="F382" s="8" t="n"/>
      <c r="G382" s="8" t="n"/>
      <c r="H382" s="8" t="n"/>
      <c r="J382" s="7" t="n"/>
      <c r="K382" s="8" t="n"/>
      <c r="L382" s="7" t="n"/>
      <c r="M382" s="8" t="n"/>
      <c r="N382" s="7" t="n"/>
      <c r="O382" s="8" t="n"/>
      <c r="P382" s="6" t="n"/>
      <c r="Q382" s="8" t="n"/>
      <c r="S382" s="8">
        <f>IF(B382="","",E382*F382)</f>
        <v/>
      </c>
      <c r="T382" s="8">
        <f>IF(OR(B382="",N(G382)=0),"",ABS(F382-G382)*E382)</f>
        <v/>
      </c>
      <c r="U382" s="8">
        <f>IF(OR(B382="",P382=""),"",IF(D382="Venda",-1,1)*((N(J382)*N(K382)+N(L382)*N(M382)+N(N382)*N(O382))-(N(J382)+N(L382)+N(N382))*F382)-N(Q382))</f>
        <v/>
      </c>
      <c r="V382" s="9">
        <f>IF(OR(B382="",P382=""),"",U382/S382)</f>
        <v/>
      </c>
      <c r="W382">
        <f>IF(OR(B382="",P382=""),"",NETWORKDAYS(C382,P382)-1)</f>
        <v/>
      </c>
      <c r="X382">
        <f>IF(B382="","",IF(P382="","Aberto","Fechado"))</f>
        <v/>
      </c>
    </row>
    <row r="383">
      <c r="C383" s="6" t="n"/>
      <c r="E383" s="7" t="n"/>
      <c r="F383" s="8" t="n"/>
      <c r="G383" s="8" t="n"/>
      <c r="H383" s="8" t="n"/>
      <c r="J383" s="7" t="n"/>
      <c r="K383" s="8" t="n"/>
      <c r="L383" s="7" t="n"/>
      <c r="M383" s="8" t="n"/>
      <c r="N383" s="7" t="n"/>
      <c r="O383" s="8" t="n"/>
      <c r="P383" s="6" t="n"/>
      <c r="Q383" s="8" t="n"/>
      <c r="S383" s="8">
        <f>IF(B383="","",E383*F383)</f>
        <v/>
      </c>
      <c r="T383" s="8">
        <f>IF(OR(B383="",N(G383)=0),"",ABS(F383-G383)*E383)</f>
        <v/>
      </c>
      <c r="U383" s="8">
        <f>IF(OR(B383="",P383=""),"",IF(D383="Venda",-1,1)*((N(J383)*N(K383)+N(L383)*N(M383)+N(N383)*N(O383))-(N(J383)+N(L383)+N(N383))*F383)-N(Q383))</f>
        <v/>
      </c>
      <c r="V383" s="9">
        <f>IF(OR(B383="",P383=""),"",U383/S383)</f>
        <v/>
      </c>
      <c r="W383">
        <f>IF(OR(B383="",P383=""),"",NETWORKDAYS(C383,P383)-1)</f>
        <v/>
      </c>
      <c r="X383">
        <f>IF(B383="","",IF(P383="","Aberto","Fechado"))</f>
        <v/>
      </c>
    </row>
    <row r="384">
      <c r="C384" s="6" t="n"/>
      <c r="E384" s="7" t="n"/>
      <c r="F384" s="8" t="n"/>
      <c r="G384" s="8" t="n"/>
      <c r="H384" s="8" t="n"/>
      <c r="J384" s="7" t="n"/>
      <c r="K384" s="8" t="n"/>
      <c r="L384" s="7" t="n"/>
      <c r="M384" s="8" t="n"/>
      <c r="N384" s="7" t="n"/>
      <c r="O384" s="8" t="n"/>
      <c r="P384" s="6" t="n"/>
      <c r="Q384" s="8" t="n"/>
      <c r="S384" s="8">
        <f>IF(B384="","",E384*F384)</f>
        <v/>
      </c>
      <c r="T384" s="8">
        <f>IF(OR(B384="",N(G384)=0),"",ABS(F384-G384)*E384)</f>
        <v/>
      </c>
      <c r="U384" s="8">
        <f>IF(OR(B384="",P384=""),"",IF(D384="Venda",-1,1)*((N(J384)*N(K384)+N(L384)*N(M384)+N(N384)*N(O384))-(N(J384)+N(L384)+N(N384))*F384)-N(Q384))</f>
        <v/>
      </c>
      <c r="V384" s="9">
        <f>IF(OR(B384="",P384=""),"",U384/S384)</f>
        <v/>
      </c>
      <c r="W384">
        <f>IF(OR(B384="",P384=""),"",NETWORKDAYS(C384,P384)-1)</f>
        <v/>
      </c>
      <c r="X384">
        <f>IF(B384="","",IF(P384="","Aberto","Fechado"))</f>
        <v/>
      </c>
    </row>
    <row r="385">
      <c r="C385" s="6" t="n"/>
      <c r="E385" s="7" t="n"/>
      <c r="F385" s="8" t="n"/>
      <c r="G385" s="8" t="n"/>
      <c r="H385" s="8" t="n"/>
      <c r="J385" s="7" t="n"/>
      <c r="K385" s="8" t="n"/>
      <c r="L385" s="7" t="n"/>
      <c r="M385" s="8" t="n"/>
      <c r="N385" s="7" t="n"/>
      <c r="O385" s="8" t="n"/>
      <c r="P385" s="6" t="n"/>
      <c r="Q385" s="8" t="n"/>
      <c r="S385" s="8">
        <f>IF(B385="","",E385*F385)</f>
        <v/>
      </c>
      <c r="T385" s="8">
        <f>IF(OR(B385="",N(G385)=0),"",ABS(F385-G385)*E385)</f>
        <v/>
      </c>
      <c r="U385" s="8">
        <f>IF(OR(B385="",P385=""),"",IF(D385="Venda",-1,1)*((N(J385)*N(K385)+N(L385)*N(M385)+N(N385)*N(O385))-(N(J385)+N(L385)+N(N385))*F385)-N(Q385))</f>
        <v/>
      </c>
      <c r="V385" s="9">
        <f>IF(OR(B385="",P385=""),"",U385/S385)</f>
        <v/>
      </c>
      <c r="W385">
        <f>IF(OR(B385="",P385=""),"",NETWORKDAYS(C385,P385)-1)</f>
        <v/>
      </c>
      <c r="X385">
        <f>IF(B385="","",IF(P385="","Aberto","Fechado"))</f>
        <v/>
      </c>
    </row>
    <row r="386">
      <c r="C386" s="6" t="n"/>
      <c r="E386" s="7" t="n"/>
      <c r="F386" s="8" t="n"/>
      <c r="G386" s="8" t="n"/>
      <c r="H386" s="8" t="n"/>
      <c r="J386" s="7" t="n"/>
      <c r="K386" s="8" t="n"/>
      <c r="L386" s="7" t="n"/>
      <c r="M386" s="8" t="n"/>
      <c r="N386" s="7" t="n"/>
      <c r="O386" s="8" t="n"/>
      <c r="P386" s="6" t="n"/>
      <c r="Q386" s="8" t="n"/>
      <c r="S386" s="8">
        <f>IF(B386="","",E386*F386)</f>
        <v/>
      </c>
      <c r="T386" s="8">
        <f>IF(OR(B386="",N(G386)=0),"",ABS(F386-G386)*E386)</f>
        <v/>
      </c>
      <c r="U386" s="8">
        <f>IF(OR(B386="",P386=""),"",IF(D386="Venda",-1,1)*((N(J386)*N(K386)+N(L386)*N(M386)+N(N386)*N(O386))-(N(J386)+N(L386)+N(N386))*F386)-N(Q386))</f>
        <v/>
      </c>
      <c r="V386" s="9">
        <f>IF(OR(B386="",P386=""),"",U386/S386)</f>
        <v/>
      </c>
      <c r="W386">
        <f>IF(OR(B386="",P386=""),"",NETWORKDAYS(C386,P386)-1)</f>
        <v/>
      </c>
      <c r="X386">
        <f>IF(B386="","",IF(P386="","Aberto","Fechado"))</f>
        <v/>
      </c>
    </row>
    <row r="387">
      <c r="C387" s="6" t="n"/>
      <c r="E387" s="7" t="n"/>
      <c r="F387" s="8" t="n"/>
      <c r="G387" s="8" t="n"/>
      <c r="H387" s="8" t="n"/>
      <c r="J387" s="7" t="n"/>
      <c r="K387" s="8" t="n"/>
      <c r="L387" s="7" t="n"/>
      <c r="M387" s="8" t="n"/>
      <c r="N387" s="7" t="n"/>
      <c r="O387" s="8" t="n"/>
      <c r="P387" s="6" t="n"/>
      <c r="Q387" s="8" t="n"/>
      <c r="S387" s="8">
        <f>IF(B387="","",E387*F387)</f>
        <v/>
      </c>
      <c r="T387" s="8">
        <f>IF(OR(B387="",N(G387)=0),"",ABS(F387-G387)*E387)</f>
        <v/>
      </c>
      <c r="U387" s="8">
        <f>IF(OR(B387="",P387=""),"",IF(D387="Venda",-1,1)*((N(J387)*N(K387)+N(L387)*N(M387)+N(N387)*N(O387))-(N(J387)+N(L387)+N(N387))*F387)-N(Q387))</f>
        <v/>
      </c>
      <c r="V387" s="9">
        <f>IF(OR(B387="",P387=""),"",U387/S387)</f>
        <v/>
      </c>
      <c r="W387">
        <f>IF(OR(B387="",P387=""),"",NETWORKDAYS(C387,P387)-1)</f>
        <v/>
      </c>
      <c r="X387">
        <f>IF(B387="","",IF(P387="","Aberto","Fechado"))</f>
        <v/>
      </c>
    </row>
    <row r="388">
      <c r="C388" s="6" t="n"/>
      <c r="E388" s="7" t="n"/>
      <c r="F388" s="8" t="n"/>
      <c r="G388" s="8" t="n"/>
      <c r="H388" s="8" t="n"/>
      <c r="J388" s="7" t="n"/>
      <c r="K388" s="8" t="n"/>
      <c r="L388" s="7" t="n"/>
      <c r="M388" s="8" t="n"/>
      <c r="N388" s="7" t="n"/>
      <c r="O388" s="8" t="n"/>
      <c r="P388" s="6" t="n"/>
      <c r="Q388" s="8" t="n"/>
      <c r="S388" s="8">
        <f>IF(B388="","",E388*F388)</f>
        <v/>
      </c>
      <c r="T388" s="8">
        <f>IF(OR(B388="",N(G388)=0),"",ABS(F388-G388)*E388)</f>
        <v/>
      </c>
      <c r="U388" s="8">
        <f>IF(OR(B388="",P388=""),"",IF(D388="Venda",-1,1)*((N(J388)*N(K388)+N(L388)*N(M388)+N(N388)*N(O388))-(N(J388)+N(L388)+N(N388))*F388)-N(Q388))</f>
        <v/>
      </c>
      <c r="V388" s="9">
        <f>IF(OR(B388="",P388=""),"",U388/S388)</f>
        <v/>
      </c>
      <c r="W388">
        <f>IF(OR(B388="",P388=""),"",NETWORKDAYS(C388,P388)-1)</f>
        <v/>
      </c>
      <c r="X388">
        <f>IF(B388="","",IF(P388="","Aberto","Fechado"))</f>
        <v/>
      </c>
    </row>
    <row r="389">
      <c r="C389" s="6" t="n"/>
      <c r="E389" s="7" t="n"/>
      <c r="F389" s="8" t="n"/>
      <c r="G389" s="8" t="n"/>
      <c r="H389" s="8" t="n"/>
      <c r="J389" s="7" t="n"/>
      <c r="K389" s="8" t="n"/>
      <c r="L389" s="7" t="n"/>
      <c r="M389" s="8" t="n"/>
      <c r="N389" s="7" t="n"/>
      <c r="O389" s="8" t="n"/>
      <c r="P389" s="6" t="n"/>
      <c r="Q389" s="8" t="n"/>
      <c r="S389" s="8">
        <f>IF(B389="","",E389*F389)</f>
        <v/>
      </c>
      <c r="T389" s="8">
        <f>IF(OR(B389="",N(G389)=0),"",ABS(F389-G389)*E389)</f>
        <v/>
      </c>
      <c r="U389" s="8">
        <f>IF(OR(B389="",P389=""),"",IF(D389="Venda",-1,1)*((N(J389)*N(K389)+N(L389)*N(M389)+N(N389)*N(O389))-(N(J389)+N(L389)+N(N389))*F389)-N(Q389))</f>
        <v/>
      </c>
      <c r="V389" s="9">
        <f>IF(OR(B389="",P389=""),"",U389/S389)</f>
        <v/>
      </c>
      <c r="W389">
        <f>IF(OR(B389="",P389=""),"",NETWORKDAYS(C389,P389)-1)</f>
        <v/>
      </c>
      <c r="X389">
        <f>IF(B389="","",IF(P389="","Aberto","Fechado"))</f>
        <v/>
      </c>
    </row>
    <row r="390">
      <c r="C390" s="6" t="n"/>
      <c r="E390" s="7" t="n"/>
      <c r="F390" s="8" t="n"/>
      <c r="G390" s="8" t="n"/>
      <c r="H390" s="8" t="n"/>
      <c r="J390" s="7" t="n"/>
      <c r="K390" s="8" t="n"/>
      <c r="L390" s="7" t="n"/>
      <c r="M390" s="8" t="n"/>
      <c r="N390" s="7" t="n"/>
      <c r="O390" s="8" t="n"/>
      <c r="P390" s="6" t="n"/>
      <c r="Q390" s="8" t="n"/>
      <c r="S390" s="8">
        <f>IF(B390="","",E390*F390)</f>
        <v/>
      </c>
      <c r="T390" s="8">
        <f>IF(OR(B390="",N(G390)=0),"",ABS(F390-G390)*E390)</f>
        <v/>
      </c>
      <c r="U390" s="8">
        <f>IF(OR(B390="",P390=""),"",IF(D390="Venda",-1,1)*((N(J390)*N(K390)+N(L390)*N(M390)+N(N390)*N(O390))-(N(J390)+N(L390)+N(N390))*F390)-N(Q390))</f>
        <v/>
      </c>
      <c r="V390" s="9">
        <f>IF(OR(B390="",P390=""),"",U390/S390)</f>
        <v/>
      </c>
      <c r="W390">
        <f>IF(OR(B390="",P390=""),"",NETWORKDAYS(C390,P390)-1)</f>
        <v/>
      </c>
      <c r="X390">
        <f>IF(B390="","",IF(P390="","Aberto","Fechado"))</f>
        <v/>
      </c>
    </row>
    <row r="391">
      <c r="C391" s="6" t="n"/>
      <c r="E391" s="7" t="n"/>
      <c r="F391" s="8" t="n"/>
      <c r="G391" s="8" t="n"/>
      <c r="H391" s="8" t="n"/>
      <c r="J391" s="7" t="n"/>
      <c r="K391" s="8" t="n"/>
      <c r="L391" s="7" t="n"/>
      <c r="M391" s="8" t="n"/>
      <c r="N391" s="7" t="n"/>
      <c r="O391" s="8" t="n"/>
      <c r="P391" s="6" t="n"/>
      <c r="Q391" s="8" t="n"/>
      <c r="S391" s="8">
        <f>IF(B391="","",E391*F391)</f>
        <v/>
      </c>
      <c r="T391" s="8">
        <f>IF(OR(B391="",N(G391)=0),"",ABS(F391-G391)*E391)</f>
        <v/>
      </c>
      <c r="U391" s="8">
        <f>IF(OR(B391="",P391=""),"",IF(D391="Venda",-1,1)*((N(J391)*N(K391)+N(L391)*N(M391)+N(N391)*N(O391))-(N(J391)+N(L391)+N(N391))*F391)-N(Q391))</f>
        <v/>
      </c>
      <c r="V391" s="9">
        <f>IF(OR(B391="",P391=""),"",U391/S391)</f>
        <v/>
      </c>
      <c r="W391">
        <f>IF(OR(B391="",P391=""),"",NETWORKDAYS(C391,P391)-1)</f>
        <v/>
      </c>
      <c r="X391">
        <f>IF(B391="","",IF(P391="","Aberto","Fechado"))</f>
        <v/>
      </c>
    </row>
    <row r="392">
      <c r="C392" s="6" t="n"/>
      <c r="E392" s="7" t="n"/>
      <c r="F392" s="8" t="n"/>
      <c r="G392" s="8" t="n"/>
      <c r="H392" s="8" t="n"/>
      <c r="J392" s="7" t="n"/>
      <c r="K392" s="8" t="n"/>
      <c r="L392" s="7" t="n"/>
      <c r="M392" s="8" t="n"/>
      <c r="N392" s="7" t="n"/>
      <c r="O392" s="8" t="n"/>
      <c r="P392" s="6" t="n"/>
      <c r="Q392" s="8" t="n"/>
      <c r="S392" s="8">
        <f>IF(B392="","",E392*F392)</f>
        <v/>
      </c>
      <c r="T392" s="8">
        <f>IF(OR(B392="",N(G392)=0),"",ABS(F392-G392)*E392)</f>
        <v/>
      </c>
      <c r="U392" s="8">
        <f>IF(OR(B392="",P392=""),"",IF(D392="Venda",-1,1)*((N(J392)*N(K392)+N(L392)*N(M392)+N(N392)*N(O392))-(N(J392)+N(L392)+N(N392))*F392)-N(Q392))</f>
        <v/>
      </c>
      <c r="V392" s="9">
        <f>IF(OR(B392="",P392=""),"",U392/S392)</f>
        <v/>
      </c>
      <c r="W392">
        <f>IF(OR(B392="",P392=""),"",NETWORKDAYS(C392,P392)-1)</f>
        <v/>
      </c>
      <c r="X392">
        <f>IF(B392="","",IF(P392="","Aberto","Fechado"))</f>
        <v/>
      </c>
    </row>
    <row r="393">
      <c r="C393" s="6" t="n"/>
      <c r="E393" s="7" t="n"/>
      <c r="F393" s="8" t="n"/>
      <c r="G393" s="8" t="n"/>
      <c r="H393" s="8" t="n"/>
      <c r="J393" s="7" t="n"/>
      <c r="K393" s="8" t="n"/>
      <c r="L393" s="7" t="n"/>
      <c r="M393" s="8" t="n"/>
      <c r="N393" s="7" t="n"/>
      <c r="O393" s="8" t="n"/>
      <c r="P393" s="6" t="n"/>
      <c r="Q393" s="8" t="n"/>
      <c r="S393" s="8">
        <f>IF(B393="","",E393*F393)</f>
        <v/>
      </c>
      <c r="T393" s="8">
        <f>IF(OR(B393="",N(G393)=0),"",ABS(F393-G393)*E393)</f>
        <v/>
      </c>
      <c r="U393" s="8">
        <f>IF(OR(B393="",P393=""),"",IF(D393="Venda",-1,1)*((N(J393)*N(K393)+N(L393)*N(M393)+N(N393)*N(O393))-(N(J393)+N(L393)+N(N393))*F393)-N(Q393))</f>
        <v/>
      </c>
      <c r="V393" s="9">
        <f>IF(OR(B393="",P393=""),"",U393/S393)</f>
        <v/>
      </c>
      <c r="W393">
        <f>IF(OR(B393="",P393=""),"",NETWORKDAYS(C393,P393)-1)</f>
        <v/>
      </c>
      <c r="X393">
        <f>IF(B393="","",IF(P393="","Aberto","Fechado"))</f>
        <v/>
      </c>
    </row>
    <row r="394">
      <c r="C394" s="6" t="n"/>
      <c r="E394" s="7" t="n"/>
      <c r="F394" s="8" t="n"/>
      <c r="G394" s="8" t="n"/>
      <c r="H394" s="8" t="n"/>
      <c r="J394" s="7" t="n"/>
      <c r="K394" s="8" t="n"/>
      <c r="L394" s="7" t="n"/>
      <c r="M394" s="8" t="n"/>
      <c r="N394" s="7" t="n"/>
      <c r="O394" s="8" t="n"/>
      <c r="P394" s="6" t="n"/>
      <c r="Q394" s="8" t="n"/>
      <c r="S394" s="8">
        <f>IF(B394="","",E394*F394)</f>
        <v/>
      </c>
      <c r="T394" s="8">
        <f>IF(OR(B394="",N(G394)=0),"",ABS(F394-G394)*E394)</f>
        <v/>
      </c>
      <c r="U394" s="8">
        <f>IF(OR(B394="",P394=""),"",IF(D394="Venda",-1,1)*((N(J394)*N(K394)+N(L394)*N(M394)+N(N394)*N(O394))-(N(J394)+N(L394)+N(N394))*F394)-N(Q394))</f>
        <v/>
      </c>
      <c r="V394" s="9">
        <f>IF(OR(B394="",P394=""),"",U394/S394)</f>
        <v/>
      </c>
      <c r="W394">
        <f>IF(OR(B394="",P394=""),"",NETWORKDAYS(C394,P394)-1)</f>
        <v/>
      </c>
      <c r="X394">
        <f>IF(B394="","",IF(P394="","Aberto","Fechado"))</f>
        <v/>
      </c>
    </row>
    <row r="395">
      <c r="C395" s="6" t="n"/>
      <c r="E395" s="7" t="n"/>
      <c r="F395" s="8" t="n"/>
      <c r="G395" s="8" t="n"/>
      <c r="H395" s="8" t="n"/>
      <c r="J395" s="7" t="n"/>
      <c r="K395" s="8" t="n"/>
      <c r="L395" s="7" t="n"/>
      <c r="M395" s="8" t="n"/>
      <c r="N395" s="7" t="n"/>
      <c r="O395" s="8" t="n"/>
      <c r="P395" s="6" t="n"/>
      <c r="Q395" s="8" t="n"/>
      <c r="S395" s="8">
        <f>IF(B395="","",E395*F395)</f>
        <v/>
      </c>
      <c r="T395" s="8">
        <f>IF(OR(B395="",N(G395)=0),"",ABS(F395-G395)*E395)</f>
        <v/>
      </c>
      <c r="U395" s="8">
        <f>IF(OR(B395="",P395=""),"",IF(D395="Venda",-1,1)*((N(J395)*N(K395)+N(L395)*N(M395)+N(N395)*N(O395))-(N(J395)+N(L395)+N(N395))*F395)-N(Q395))</f>
        <v/>
      </c>
      <c r="V395" s="9">
        <f>IF(OR(B395="",P395=""),"",U395/S395)</f>
        <v/>
      </c>
      <c r="W395">
        <f>IF(OR(B395="",P395=""),"",NETWORKDAYS(C395,P395)-1)</f>
        <v/>
      </c>
      <c r="X395">
        <f>IF(B395="","",IF(P395="","Aberto","Fechado"))</f>
        <v/>
      </c>
    </row>
    <row r="396">
      <c r="C396" s="6" t="n"/>
      <c r="E396" s="7" t="n"/>
      <c r="F396" s="8" t="n"/>
      <c r="G396" s="8" t="n"/>
      <c r="H396" s="8" t="n"/>
      <c r="J396" s="7" t="n"/>
      <c r="K396" s="8" t="n"/>
      <c r="L396" s="7" t="n"/>
      <c r="M396" s="8" t="n"/>
      <c r="N396" s="7" t="n"/>
      <c r="O396" s="8" t="n"/>
      <c r="P396" s="6" t="n"/>
      <c r="Q396" s="8" t="n"/>
      <c r="S396" s="8">
        <f>IF(B396="","",E396*F396)</f>
        <v/>
      </c>
      <c r="T396" s="8">
        <f>IF(OR(B396="",N(G396)=0),"",ABS(F396-G396)*E396)</f>
        <v/>
      </c>
      <c r="U396" s="8">
        <f>IF(OR(B396="",P396=""),"",IF(D396="Venda",-1,1)*((N(J396)*N(K396)+N(L396)*N(M396)+N(N396)*N(O396))-(N(J396)+N(L396)+N(N396))*F396)-N(Q396))</f>
        <v/>
      </c>
      <c r="V396" s="9">
        <f>IF(OR(B396="",P396=""),"",U396/S396)</f>
        <v/>
      </c>
      <c r="W396">
        <f>IF(OR(B396="",P396=""),"",NETWORKDAYS(C396,P396)-1)</f>
        <v/>
      </c>
      <c r="X396">
        <f>IF(B396="","",IF(P396="","Aberto","Fechado"))</f>
        <v/>
      </c>
    </row>
    <row r="397">
      <c r="C397" s="6" t="n"/>
      <c r="E397" s="7" t="n"/>
      <c r="F397" s="8" t="n"/>
      <c r="G397" s="8" t="n"/>
      <c r="H397" s="8" t="n"/>
      <c r="J397" s="7" t="n"/>
      <c r="K397" s="8" t="n"/>
      <c r="L397" s="7" t="n"/>
      <c r="M397" s="8" t="n"/>
      <c r="N397" s="7" t="n"/>
      <c r="O397" s="8" t="n"/>
      <c r="P397" s="6" t="n"/>
      <c r="Q397" s="8" t="n"/>
      <c r="S397" s="8">
        <f>IF(B397="","",E397*F397)</f>
        <v/>
      </c>
      <c r="T397" s="8">
        <f>IF(OR(B397="",N(G397)=0),"",ABS(F397-G397)*E397)</f>
        <v/>
      </c>
      <c r="U397" s="8">
        <f>IF(OR(B397="",P397=""),"",IF(D397="Venda",-1,1)*((N(J397)*N(K397)+N(L397)*N(M397)+N(N397)*N(O397))-(N(J397)+N(L397)+N(N397))*F397)-N(Q397))</f>
        <v/>
      </c>
      <c r="V397" s="9">
        <f>IF(OR(B397="",P397=""),"",U397/S397)</f>
        <v/>
      </c>
      <c r="W397">
        <f>IF(OR(B397="",P397=""),"",NETWORKDAYS(C397,P397)-1)</f>
        <v/>
      </c>
      <c r="X397">
        <f>IF(B397="","",IF(P397="","Aberto","Fechado"))</f>
        <v/>
      </c>
    </row>
    <row r="398">
      <c r="C398" s="6" t="n"/>
      <c r="E398" s="7" t="n"/>
      <c r="F398" s="8" t="n"/>
      <c r="G398" s="8" t="n"/>
      <c r="H398" s="8" t="n"/>
      <c r="J398" s="7" t="n"/>
      <c r="K398" s="8" t="n"/>
      <c r="L398" s="7" t="n"/>
      <c r="M398" s="8" t="n"/>
      <c r="N398" s="7" t="n"/>
      <c r="O398" s="8" t="n"/>
      <c r="P398" s="6" t="n"/>
      <c r="Q398" s="8" t="n"/>
      <c r="S398" s="8">
        <f>IF(B398="","",E398*F398)</f>
        <v/>
      </c>
      <c r="T398" s="8">
        <f>IF(OR(B398="",N(G398)=0),"",ABS(F398-G398)*E398)</f>
        <v/>
      </c>
      <c r="U398" s="8">
        <f>IF(OR(B398="",P398=""),"",IF(D398="Venda",-1,1)*((N(J398)*N(K398)+N(L398)*N(M398)+N(N398)*N(O398))-(N(J398)+N(L398)+N(N398))*F398)-N(Q398))</f>
        <v/>
      </c>
      <c r="V398" s="9">
        <f>IF(OR(B398="",P398=""),"",U398/S398)</f>
        <v/>
      </c>
      <c r="W398">
        <f>IF(OR(B398="",P398=""),"",NETWORKDAYS(C398,P398)-1)</f>
        <v/>
      </c>
      <c r="X398">
        <f>IF(B398="","",IF(P398="","Aberto","Fechado"))</f>
        <v/>
      </c>
    </row>
    <row r="399">
      <c r="C399" s="6" t="n"/>
      <c r="E399" s="7" t="n"/>
      <c r="F399" s="8" t="n"/>
      <c r="G399" s="8" t="n"/>
      <c r="H399" s="8" t="n"/>
      <c r="J399" s="7" t="n"/>
      <c r="K399" s="8" t="n"/>
      <c r="L399" s="7" t="n"/>
      <c r="M399" s="8" t="n"/>
      <c r="N399" s="7" t="n"/>
      <c r="O399" s="8" t="n"/>
      <c r="P399" s="6" t="n"/>
      <c r="Q399" s="8" t="n"/>
      <c r="S399" s="8">
        <f>IF(B399="","",E399*F399)</f>
        <v/>
      </c>
      <c r="T399" s="8">
        <f>IF(OR(B399="",N(G399)=0),"",ABS(F399-G399)*E399)</f>
        <v/>
      </c>
      <c r="U399" s="8">
        <f>IF(OR(B399="",P399=""),"",IF(D399="Venda",-1,1)*((N(J399)*N(K399)+N(L399)*N(M399)+N(N399)*N(O399))-(N(J399)+N(L399)+N(N399))*F399)-N(Q399))</f>
        <v/>
      </c>
      <c r="V399" s="9">
        <f>IF(OR(B399="",P399=""),"",U399/S399)</f>
        <v/>
      </c>
      <c r="W399">
        <f>IF(OR(B399="",P399=""),"",NETWORKDAYS(C399,P399)-1)</f>
        <v/>
      </c>
      <c r="X399">
        <f>IF(B399="","",IF(P399="","Aberto","Fechado"))</f>
        <v/>
      </c>
    </row>
    <row r="400">
      <c r="C400" s="6" t="n"/>
      <c r="E400" s="7" t="n"/>
      <c r="F400" s="8" t="n"/>
      <c r="G400" s="8" t="n"/>
      <c r="H400" s="8" t="n"/>
      <c r="J400" s="7" t="n"/>
      <c r="K400" s="8" t="n"/>
      <c r="L400" s="7" t="n"/>
      <c r="M400" s="8" t="n"/>
      <c r="N400" s="7" t="n"/>
      <c r="O400" s="8" t="n"/>
      <c r="P400" s="6" t="n"/>
      <c r="Q400" s="8" t="n"/>
      <c r="S400" s="8">
        <f>IF(B400="","",E400*F400)</f>
        <v/>
      </c>
      <c r="T400" s="8">
        <f>IF(OR(B400="",N(G400)=0),"",ABS(F400-G400)*E400)</f>
        <v/>
      </c>
      <c r="U400" s="8">
        <f>IF(OR(B400="",P400=""),"",IF(D400="Venda",-1,1)*((N(J400)*N(K400)+N(L400)*N(M400)+N(N400)*N(O400))-(N(J400)+N(L400)+N(N400))*F400)-N(Q400))</f>
        <v/>
      </c>
      <c r="V400" s="9">
        <f>IF(OR(B400="",P400=""),"",U400/S400)</f>
        <v/>
      </c>
      <c r="W400">
        <f>IF(OR(B400="",P400=""),"",NETWORKDAYS(C400,P400)-1)</f>
        <v/>
      </c>
      <c r="X400">
        <f>IF(B400="","",IF(P400="","Aberto","Fechado"))</f>
        <v/>
      </c>
    </row>
    <row r="401">
      <c r="C401" s="6" t="n"/>
      <c r="E401" s="7" t="n"/>
      <c r="F401" s="8" t="n"/>
      <c r="G401" s="8" t="n"/>
      <c r="H401" s="8" t="n"/>
      <c r="J401" s="7" t="n"/>
      <c r="K401" s="8" t="n"/>
      <c r="L401" s="7" t="n"/>
      <c r="M401" s="8" t="n"/>
      <c r="N401" s="7" t="n"/>
      <c r="O401" s="8" t="n"/>
      <c r="P401" s="6" t="n"/>
      <c r="Q401" s="8" t="n"/>
      <c r="S401" s="8">
        <f>IF(B401="","",E401*F401)</f>
        <v/>
      </c>
      <c r="T401" s="8">
        <f>IF(OR(B401="",N(G401)=0),"",ABS(F401-G401)*E401)</f>
        <v/>
      </c>
      <c r="U401" s="8">
        <f>IF(OR(B401="",P401=""),"",IF(D401="Venda",-1,1)*((N(J401)*N(K401)+N(L401)*N(M401)+N(N401)*N(O401))-(N(J401)+N(L401)+N(N401))*F401)-N(Q401))</f>
        <v/>
      </c>
      <c r="V401" s="9">
        <f>IF(OR(B401="",P401=""),"",U401/S401)</f>
        <v/>
      </c>
      <c r="W401">
        <f>IF(OR(B401="",P401=""),"",NETWORKDAYS(C401,P401)-1)</f>
        <v/>
      </c>
      <c r="X401">
        <f>IF(B401="","",IF(P401="","Aberto","Fechado"))</f>
        <v/>
      </c>
    </row>
    <row r="402">
      <c r="C402" s="6" t="n"/>
      <c r="E402" s="7" t="n"/>
      <c r="F402" s="8" t="n"/>
      <c r="G402" s="8" t="n"/>
      <c r="H402" s="8" t="n"/>
      <c r="J402" s="7" t="n"/>
      <c r="K402" s="8" t="n"/>
      <c r="L402" s="7" t="n"/>
      <c r="M402" s="8" t="n"/>
      <c r="N402" s="7" t="n"/>
      <c r="O402" s="8" t="n"/>
      <c r="P402" s="6" t="n"/>
      <c r="Q402" s="8" t="n"/>
      <c r="S402" s="8">
        <f>IF(B402="","",E402*F402)</f>
        <v/>
      </c>
      <c r="T402" s="8">
        <f>IF(OR(B402="",N(G402)=0),"",ABS(F402-G402)*E402)</f>
        <v/>
      </c>
      <c r="U402" s="8">
        <f>IF(OR(B402="",P402=""),"",IF(D402="Venda",-1,1)*((N(J402)*N(K402)+N(L402)*N(M402)+N(N402)*N(O402))-(N(J402)+N(L402)+N(N402))*F402)-N(Q402))</f>
        <v/>
      </c>
      <c r="V402" s="9">
        <f>IF(OR(B402="",P402=""),"",U402/S402)</f>
        <v/>
      </c>
      <c r="W402">
        <f>IF(OR(B402="",P402=""),"",NETWORKDAYS(C402,P402)-1)</f>
        <v/>
      </c>
      <c r="X402">
        <f>IF(B402="","",IF(P402="","Aberto","Fechado"))</f>
        <v/>
      </c>
    </row>
    <row r="403">
      <c r="C403" s="6" t="n"/>
      <c r="E403" s="7" t="n"/>
      <c r="F403" s="8" t="n"/>
      <c r="G403" s="8" t="n"/>
      <c r="H403" s="8" t="n"/>
      <c r="J403" s="7" t="n"/>
      <c r="K403" s="8" t="n"/>
      <c r="L403" s="7" t="n"/>
      <c r="M403" s="8" t="n"/>
      <c r="N403" s="7" t="n"/>
      <c r="O403" s="8" t="n"/>
      <c r="P403" s="6" t="n"/>
      <c r="Q403" s="8" t="n"/>
      <c r="S403" s="8">
        <f>IF(B403="","",E403*F403)</f>
        <v/>
      </c>
      <c r="T403" s="8">
        <f>IF(OR(B403="",N(G403)=0),"",ABS(F403-G403)*E403)</f>
        <v/>
      </c>
      <c r="U403" s="8">
        <f>IF(OR(B403="",P403=""),"",IF(D403="Venda",-1,1)*((N(J403)*N(K403)+N(L403)*N(M403)+N(N403)*N(O403))-(N(J403)+N(L403)+N(N403))*F403)-N(Q403))</f>
        <v/>
      </c>
      <c r="V403" s="9">
        <f>IF(OR(B403="",P403=""),"",U403/S403)</f>
        <v/>
      </c>
      <c r="W403">
        <f>IF(OR(B403="",P403=""),"",NETWORKDAYS(C403,P403)-1)</f>
        <v/>
      </c>
      <c r="X403">
        <f>IF(B403="","",IF(P403="","Aberto","Fechado"))</f>
        <v/>
      </c>
    </row>
    <row r="404">
      <c r="C404" s="6" t="n"/>
      <c r="E404" s="7" t="n"/>
      <c r="F404" s="8" t="n"/>
      <c r="G404" s="8" t="n"/>
      <c r="H404" s="8" t="n"/>
      <c r="J404" s="7" t="n"/>
      <c r="K404" s="8" t="n"/>
      <c r="L404" s="7" t="n"/>
      <c r="M404" s="8" t="n"/>
      <c r="N404" s="7" t="n"/>
      <c r="O404" s="8" t="n"/>
      <c r="P404" s="6" t="n"/>
      <c r="Q404" s="8" t="n"/>
      <c r="S404" s="8">
        <f>IF(B404="","",E404*F404)</f>
        <v/>
      </c>
      <c r="T404" s="8">
        <f>IF(OR(B404="",N(G404)=0),"",ABS(F404-G404)*E404)</f>
        <v/>
      </c>
      <c r="U404" s="8">
        <f>IF(OR(B404="",P404=""),"",IF(D404="Venda",-1,1)*((N(J404)*N(K404)+N(L404)*N(M404)+N(N404)*N(O404))-(N(J404)+N(L404)+N(N404))*F404)-N(Q404))</f>
        <v/>
      </c>
      <c r="V404" s="9">
        <f>IF(OR(B404="",P404=""),"",U404/S404)</f>
        <v/>
      </c>
      <c r="W404">
        <f>IF(OR(B404="",P404=""),"",NETWORKDAYS(C404,P404)-1)</f>
        <v/>
      </c>
      <c r="X404">
        <f>IF(B404="","",IF(P404="","Aberto","Fechado"))</f>
        <v/>
      </c>
    </row>
    <row r="405">
      <c r="C405" s="6" t="n"/>
      <c r="E405" s="7" t="n"/>
      <c r="F405" s="8" t="n"/>
      <c r="G405" s="8" t="n"/>
      <c r="H405" s="8" t="n"/>
      <c r="J405" s="7" t="n"/>
      <c r="K405" s="8" t="n"/>
      <c r="L405" s="7" t="n"/>
      <c r="M405" s="8" t="n"/>
      <c r="N405" s="7" t="n"/>
      <c r="O405" s="8" t="n"/>
      <c r="P405" s="6" t="n"/>
      <c r="Q405" s="8" t="n"/>
      <c r="S405" s="8">
        <f>IF(B405="","",E405*F405)</f>
        <v/>
      </c>
      <c r="T405" s="8">
        <f>IF(OR(B405="",N(G405)=0),"",ABS(F405-G405)*E405)</f>
        <v/>
      </c>
      <c r="U405" s="8">
        <f>IF(OR(B405="",P405=""),"",IF(D405="Venda",-1,1)*((N(J405)*N(K405)+N(L405)*N(M405)+N(N405)*N(O405))-(N(J405)+N(L405)+N(N405))*F405)-N(Q405))</f>
        <v/>
      </c>
      <c r="V405" s="9">
        <f>IF(OR(B405="",P405=""),"",U405/S405)</f>
        <v/>
      </c>
      <c r="W405">
        <f>IF(OR(B405="",P405=""),"",NETWORKDAYS(C405,P405)-1)</f>
        <v/>
      </c>
      <c r="X405">
        <f>IF(B405="","",IF(P405="","Aberto","Fechado"))</f>
        <v/>
      </c>
    </row>
    <row r="406">
      <c r="C406" s="6" t="n"/>
      <c r="E406" s="7" t="n"/>
      <c r="F406" s="8" t="n"/>
      <c r="G406" s="8" t="n"/>
      <c r="H406" s="8" t="n"/>
      <c r="J406" s="7" t="n"/>
      <c r="K406" s="8" t="n"/>
      <c r="L406" s="7" t="n"/>
      <c r="M406" s="8" t="n"/>
      <c r="N406" s="7" t="n"/>
      <c r="O406" s="8" t="n"/>
      <c r="P406" s="6" t="n"/>
      <c r="Q406" s="8" t="n"/>
      <c r="S406" s="8">
        <f>IF(B406="","",E406*F406)</f>
        <v/>
      </c>
      <c r="T406" s="8">
        <f>IF(OR(B406="",N(G406)=0),"",ABS(F406-G406)*E406)</f>
        <v/>
      </c>
      <c r="U406" s="8">
        <f>IF(OR(B406="",P406=""),"",IF(D406="Venda",-1,1)*((N(J406)*N(K406)+N(L406)*N(M406)+N(N406)*N(O406))-(N(J406)+N(L406)+N(N406))*F406)-N(Q406))</f>
        <v/>
      </c>
      <c r="V406" s="9">
        <f>IF(OR(B406="",P406=""),"",U406/S406)</f>
        <v/>
      </c>
      <c r="W406">
        <f>IF(OR(B406="",P406=""),"",NETWORKDAYS(C406,P406)-1)</f>
        <v/>
      </c>
      <c r="X406">
        <f>IF(B406="","",IF(P406="","Aberto","Fechado"))</f>
        <v/>
      </c>
    </row>
    <row r="407">
      <c r="C407" s="6" t="n"/>
      <c r="E407" s="7" t="n"/>
      <c r="F407" s="8" t="n"/>
      <c r="G407" s="8" t="n"/>
      <c r="H407" s="8" t="n"/>
      <c r="J407" s="7" t="n"/>
      <c r="K407" s="8" t="n"/>
      <c r="L407" s="7" t="n"/>
      <c r="M407" s="8" t="n"/>
      <c r="N407" s="7" t="n"/>
      <c r="O407" s="8" t="n"/>
      <c r="P407" s="6" t="n"/>
      <c r="Q407" s="8" t="n"/>
      <c r="S407" s="8">
        <f>IF(B407="","",E407*F407)</f>
        <v/>
      </c>
      <c r="T407" s="8">
        <f>IF(OR(B407="",N(G407)=0),"",ABS(F407-G407)*E407)</f>
        <v/>
      </c>
      <c r="U407" s="8">
        <f>IF(OR(B407="",P407=""),"",IF(D407="Venda",-1,1)*((N(J407)*N(K407)+N(L407)*N(M407)+N(N407)*N(O407))-(N(J407)+N(L407)+N(N407))*F407)-N(Q407))</f>
        <v/>
      </c>
      <c r="V407" s="9">
        <f>IF(OR(B407="",P407=""),"",U407/S407)</f>
        <v/>
      </c>
      <c r="W407">
        <f>IF(OR(B407="",P407=""),"",NETWORKDAYS(C407,P407)-1)</f>
        <v/>
      </c>
      <c r="X407">
        <f>IF(B407="","",IF(P407="","Aberto","Fechado"))</f>
        <v/>
      </c>
    </row>
    <row r="408">
      <c r="C408" s="6" t="n"/>
      <c r="E408" s="7" t="n"/>
      <c r="F408" s="8" t="n"/>
      <c r="G408" s="8" t="n"/>
      <c r="H408" s="8" t="n"/>
      <c r="J408" s="7" t="n"/>
      <c r="K408" s="8" t="n"/>
      <c r="L408" s="7" t="n"/>
      <c r="M408" s="8" t="n"/>
      <c r="N408" s="7" t="n"/>
      <c r="O408" s="8" t="n"/>
      <c r="P408" s="6" t="n"/>
      <c r="Q408" s="8" t="n"/>
      <c r="S408" s="8">
        <f>IF(B408="","",E408*F408)</f>
        <v/>
      </c>
      <c r="T408" s="8">
        <f>IF(OR(B408="",N(G408)=0),"",ABS(F408-G408)*E408)</f>
        <v/>
      </c>
      <c r="U408" s="8">
        <f>IF(OR(B408="",P408=""),"",IF(D408="Venda",-1,1)*((N(J408)*N(K408)+N(L408)*N(M408)+N(N408)*N(O408))-(N(J408)+N(L408)+N(N408))*F408)-N(Q408))</f>
        <v/>
      </c>
      <c r="V408" s="9">
        <f>IF(OR(B408="",P408=""),"",U408/S408)</f>
        <v/>
      </c>
      <c r="W408">
        <f>IF(OR(B408="",P408=""),"",NETWORKDAYS(C408,P408)-1)</f>
        <v/>
      </c>
      <c r="X408">
        <f>IF(B408="","",IF(P408="","Aberto","Fechado"))</f>
        <v/>
      </c>
    </row>
    <row r="409">
      <c r="C409" s="6" t="n"/>
      <c r="E409" s="7" t="n"/>
      <c r="F409" s="8" t="n"/>
      <c r="G409" s="8" t="n"/>
      <c r="H409" s="8" t="n"/>
      <c r="J409" s="7" t="n"/>
      <c r="K409" s="8" t="n"/>
      <c r="L409" s="7" t="n"/>
      <c r="M409" s="8" t="n"/>
      <c r="N409" s="7" t="n"/>
      <c r="O409" s="8" t="n"/>
      <c r="P409" s="6" t="n"/>
      <c r="Q409" s="8" t="n"/>
      <c r="S409" s="8">
        <f>IF(B409="","",E409*F409)</f>
        <v/>
      </c>
      <c r="T409" s="8">
        <f>IF(OR(B409="",N(G409)=0),"",ABS(F409-G409)*E409)</f>
        <v/>
      </c>
      <c r="U409" s="8">
        <f>IF(OR(B409="",P409=""),"",IF(D409="Venda",-1,1)*((N(J409)*N(K409)+N(L409)*N(M409)+N(N409)*N(O409))-(N(J409)+N(L409)+N(N409))*F409)-N(Q409))</f>
        <v/>
      </c>
      <c r="V409" s="9">
        <f>IF(OR(B409="",P409=""),"",U409/S409)</f>
        <v/>
      </c>
      <c r="W409">
        <f>IF(OR(B409="",P409=""),"",NETWORKDAYS(C409,P409)-1)</f>
        <v/>
      </c>
      <c r="X409">
        <f>IF(B409="","",IF(P409="","Aberto","Fechado"))</f>
        <v/>
      </c>
    </row>
    <row r="410">
      <c r="C410" s="6" t="n"/>
      <c r="E410" s="7" t="n"/>
      <c r="F410" s="8" t="n"/>
      <c r="G410" s="8" t="n"/>
      <c r="H410" s="8" t="n"/>
      <c r="J410" s="7" t="n"/>
      <c r="K410" s="8" t="n"/>
      <c r="L410" s="7" t="n"/>
      <c r="M410" s="8" t="n"/>
      <c r="N410" s="7" t="n"/>
      <c r="O410" s="8" t="n"/>
      <c r="P410" s="6" t="n"/>
      <c r="Q410" s="8" t="n"/>
      <c r="S410" s="8">
        <f>IF(B410="","",E410*F410)</f>
        <v/>
      </c>
      <c r="T410" s="8">
        <f>IF(OR(B410="",N(G410)=0),"",ABS(F410-G410)*E410)</f>
        <v/>
      </c>
      <c r="U410" s="8">
        <f>IF(OR(B410="",P410=""),"",IF(D410="Venda",-1,1)*((N(J410)*N(K410)+N(L410)*N(M410)+N(N410)*N(O410))-(N(J410)+N(L410)+N(N410))*F410)-N(Q410))</f>
        <v/>
      </c>
      <c r="V410" s="9">
        <f>IF(OR(B410="",P410=""),"",U410/S410)</f>
        <v/>
      </c>
      <c r="W410">
        <f>IF(OR(B410="",P410=""),"",NETWORKDAYS(C410,P410)-1)</f>
        <v/>
      </c>
      <c r="X410">
        <f>IF(B410="","",IF(P410="","Aberto","Fechado"))</f>
        <v/>
      </c>
    </row>
    <row r="411">
      <c r="C411" s="6" t="n"/>
      <c r="E411" s="7" t="n"/>
      <c r="F411" s="8" t="n"/>
      <c r="G411" s="8" t="n"/>
      <c r="H411" s="8" t="n"/>
      <c r="J411" s="7" t="n"/>
      <c r="K411" s="8" t="n"/>
      <c r="L411" s="7" t="n"/>
      <c r="M411" s="8" t="n"/>
      <c r="N411" s="7" t="n"/>
      <c r="O411" s="8" t="n"/>
      <c r="P411" s="6" t="n"/>
      <c r="Q411" s="8" t="n"/>
      <c r="S411" s="8">
        <f>IF(B411="","",E411*F411)</f>
        <v/>
      </c>
      <c r="T411" s="8">
        <f>IF(OR(B411="",N(G411)=0),"",ABS(F411-G411)*E411)</f>
        <v/>
      </c>
      <c r="U411" s="8">
        <f>IF(OR(B411="",P411=""),"",IF(D411="Venda",-1,1)*((N(J411)*N(K411)+N(L411)*N(M411)+N(N411)*N(O411))-(N(J411)+N(L411)+N(N411))*F411)-N(Q411))</f>
        <v/>
      </c>
      <c r="V411" s="9">
        <f>IF(OR(B411="",P411=""),"",U411/S411)</f>
        <v/>
      </c>
      <c r="W411">
        <f>IF(OR(B411="",P411=""),"",NETWORKDAYS(C411,P411)-1)</f>
        <v/>
      </c>
      <c r="X411">
        <f>IF(B411="","",IF(P411="","Aberto","Fechado"))</f>
        <v/>
      </c>
    </row>
    <row r="412">
      <c r="C412" s="6" t="n"/>
      <c r="E412" s="7" t="n"/>
      <c r="F412" s="8" t="n"/>
      <c r="G412" s="8" t="n"/>
      <c r="H412" s="8" t="n"/>
      <c r="J412" s="7" t="n"/>
      <c r="K412" s="8" t="n"/>
      <c r="L412" s="7" t="n"/>
      <c r="M412" s="8" t="n"/>
      <c r="N412" s="7" t="n"/>
      <c r="O412" s="8" t="n"/>
      <c r="P412" s="6" t="n"/>
      <c r="Q412" s="8" t="n"/>
      <c r="S412" s="8">
        <f>IF(B412="","",E412*F412)</f>
        <v/>
      </c>
      <c r="T412" s="8">
        <f>IF(OR(B412="",N(G412)=0),"",ABS(F412-G412)*E412)</f>
        <v/>
      </c>
      <c r="U412" s="8">
        <f>IF(OR(B412="",P412=""),"",IF(D412="Venda",-1,1)*((N(J412)*N(K412)+N(L412)*N(M412)+N(N412)*N(O412))-(N(J412)+N(L412)+N(N412))*F412)-N(Q412))</f>
        <v/>
      </c>
      <c r="V412" s="9">
        <f>IF(OR(B412="",P412=""),"",U412/S412)</f>
        <v/>
      </c>
      <c r="W412">
        <f>IF(OR(B412="",P412=""),"",NETWORKDAYS(C412,P412)-1)</f>
        <v/>
      </c>
      <c r="X412">
        <f>IF(B412="","",IF(P412="","Aberto","Fechado"))</f>
        <v/>
      </c>
    </row>
    <row r="413">
      <c r="C413" s="6" t="n"/>
      <c r="E413" s="7" t="n"/>
      <c r="F413" s="8" t="n"/>
      <c r="G413" s="8" t="n"/>
      <c r="H413" s="8" t="n"/>
      <c r="J413" s="7" t="n"/>
      <c r="K413" s="8" t="n"/>
      <c r="L413" s="7" t="n"/>
      <c r="M413" s="8" t="n"/>
      <c r="N413" s="7" t="n"/>
      <c r="O413" s="8" t="n"/>
      <c r="P413" s="6" t="n"/>
      <c r="Q413" s="8" t="n"/>
      <c r="S413" s="8">
        <f>IF(B413="","",E413*F413)</f>
        <v/>
      </c>
      <c r="T413" s="8">
        <f>IF(OR(B413="",N(G413)=0),"",ABS(F413-G413)*E413)</f>
        <v/>
      </c>
      <c r="U413" s="8">
        <f>IF(OR(B413="",P413=""),"",IF(D413="Venda",-1,1)*((N(J413)*N(K413)+N(L413)*N(M413)+N(N413)*N(O413))-(N(J413)+N(L413)+N(N413))*F413)-N(Q413))</f>
        <v/>
      </c>
      <c r="V413" s="9">
        <f>IF(OR(B413="",P413=""),"",U413/S413)</f>
        <v/>
      </c>
      <c r="W413">
        <f>IF(OR(B413="",P413=""),"",NETWORKDAYS(C413,P413)-1)</f>
        <v/>
      </c>
      <c r="X413">
        <f>IF(B413="","",IF(P413="","Aberto","Fechado"))</f>
        <v/>
      </c>
    </row>
    <row r="414">
      <c r="C414" s="6" t="n"/>
      <c r="E414" s="7" t="n"/>
      <c r="F414" s="8" t="n"/>
      <c r="G414" s="8" t="n"/>
      <c r="H414" s="8" t="n"/>
      <c r="J414" s="7" t="n"/>
      <c r="K414" s="8" t="n"/>
      <c r="L414" s="7" t="n"/>
      <c r="M414" s="8" t="n"/>
      <c r="N414" s="7" t="n"/>
      <c r="O414" s="8" t="n"/>
      <c r="P414" s="6" t="n"/>
      <c r="Q414" s="8" t="n"/>
      <c r="S414" s="8">
        <f>IF(B414="","",E414*F414)</f>
        <v/>
      </c>
      <c r="T414" s="8">
        <f>IF(OR(B414="",N(G414)=0),"",ABS(F414-G414)*E414)</f>
        <v/>
      </c>
      <c r="U414" s="8">
        <f>IF(OR(B414="",P414=""),"",IF(D414="Venda",-1,1)*((N(J414)*N(K414)+N(L414)*N(M414)+N(N414)*N(O414))-(N(J414)+N(L414)+N(N414))*F414)-N(Q414))</f>
        <v/>
      </c>
      <c r="V414" s="9">
        <f>IF(OR(B414="",P414=""),"",U414/S414)</f>
        <v/>
      </c>
      <c r="W414">
        <f>IF(OR(B414="",P414=""),"",NETWORKDAYS(C414,P414)-1)</f>
        <v/>
      </c>
      <c r="X414">
        <f>IF(B414="","",IF(P414="","Aberto","Fechado"))</f>
        <v/>
      </c>
    </row>
    <row r="415">
      <c r="C415" s="6" t="n"/>
      <c r="E415" s="7" t="n"/>
      <c r="F415" s="8" t="n"/>
      <c r="G415" s="8" t="n"/>
      <c r="H415" s="8" t="n"/>
      <c r="J415" s="7" t="n"/>
      <c r="K415" s="8" t="n"/>
      <c r="L415" s="7" t="n"/>
      <c r="M415" s="8" t="n"/>
      <c r="N415" s="7" t="n"/>
      <c r="O415" s="8" t="n"/>
      <c r="P415" s="6" t="n"/>
      <c r="Q415" s="8" t="n"/>
      <c r="S415" s="8">
        <f>IF(B415="","",E415*F415)</f>
        <v/>
      </c>
      <c r="T415" s="8">
        <f>IF(OR(B415="",N(G415)=0),"",ABS(F415-G415)*E415)</f>
        <v/>
      </c>
      <c r="U415" s="8">
        <f>IF(OR(B415="",P415=""),"",IF(D415="Venda",-1,1)*((N(J415)*N(K415)+N(L415)*N(M415)+N(N415)*N(O415))-(N(J415)+N(L415)+N(N415))*F415)-N(Q415))</f>
        <v/>
      </c>
      <c r="V415" s="9">
        <f>IF(OR(B415="",P415=""),"",U415/S415)</f>
        <v/>
      </c>
      <c r="W415">
        <f>IF(OR(B415="",P415=""),"",NETWORKDAYS(C415,P415)-1)</f>
        <v/>
      </c>
      <c r="X415">
        <f>IF(B415="","",IF(P415="","Aberto","Fechado"))</f>
        <v/>
      </c>
    </row>
    <row r="416">
      <c r="C416" s="6" t="n"/>
      <c r="E416" s="7" t="n"/>
      <c r="F416" s="8" t="n"/>
      <c r="G416" s="8" t="n"/>
      <c r="H416" s="8" t="n"/>
      <c r="J416" s="7" t="n"/>
      <c r="K416" s="8" t="n"/>
      <c r="L416" s="7" t="n"/>
      <c r="M416" s="8" t="n"/>
      <c r="N416" s="7" t="n"/>
      <c r="O416" s="8" t="n"/>
      <c r="P416" s="6" t="n"/>
      <c r="Q416" s="8" t="n"/>
      <c r="S416" s="8">
        <f>IF(B416="","",E416*F416)</f>
        <v/>
      </c>
      <c r="T416" s="8">
        <f>IF(OR(B416="",N(G416)=0),"",ABS(F416-G416)*E416)</f>
        <v/>
      </c>
      <c r="U416" s="8">
        <f>IF(OR(B416="",P416=""),"",IF(D416="Venda",-1,1)*((N(J416)*N(K416)+N(L416)*N(M416)+N(N416)*N(O416))-(N(J416)+N(L416)+N(N416))*F416)-N(Q416))</f>
        <v/>
      </c>
      <c r="V416" s="9">
        <f>IF(OR(B416="",P416=""),"",U416/S416)</f>
        <v/>
      </c>
      <c r="W416">
        <f>IF(OR(B416="",P416=""),"",NETWORKDAYS(C416,P416)-1)</f>
        <v/>
      </c>
      <c r="X416">
        <f>IF(B416="","",IF(P416="","Aberto","Fechado"))</f>
        <v/>
      </c>
    </row>
    <row r="417">
      <c r="C417" s="6" t="n"/>
      <c r="E417" s="7" t="n"/>
      <c r="F417" s="8" t="n"/>
      <c r="G417" s="8" t="n"/>
      <c r="H417" s="8" t="n"/>
      <c r="J417" s="7" t="n"/>
      <c r="K417" s="8" t="n"/>
      <c r="L417" s="7" t="n"/>
      <c r="M417" s="8" t="n"/>
      <c r="N417" s="7" t="n"/>
      <c r="O417" s="8" t="n"/>
      <c r="P417" s="6" t="n"/>
      <c r="Q417" s="8" t="n"/>
      <c r="S417" s="8">
        <f>IF(B417="","",E417*F417)</f>
        <v/>
      </c>
      <c r="T417" s="8">
        <f>IF(OR(B417="",N(G417)=0),"",ABS(F417-G417)*E417)</f>
        <v/>
      </c>
      <c r="U417" s="8">
        <f>IF(OR(B417="",P417=""),"",IF(D417="Venda",-1,1)*((N(J417)*N(K417)+N(L417)*N(M417)+N(N417)*N(O417))-(N(J417)+N(L417)+N(N417))*F417)-N(Q417))</f>
        <v/>
      </c>
      <c r="V417" s="9">
        <f>IF(OR(B417="",P417=""),"",U417/S417)</f>
        <v/>
      </c>
      <c r="W417">
        <f>IF(OR(B417="",P417=""),"",NETWORKDAYS(C417,P417)-1)</f>
        <v/>
      </c>
      <c r="X417">
        <f>IF(B417="","",IF(P417="","Aberto","Fechado"))</f>
        <v/>
      </c>
    </row>
    <row r="418">
      <c r="C418" s="6" t="n"/>
      <c r="E418" s="7" t="n"/>
      <c r="F418" s="8" t="n"/>
      <c r="G418" s="8" t="n"/>
      <c r="H418" s="8" t="n"/>
      <c r="J418" s="7" t="n"/>
      <c r="K418" s="8" t="n"/>
      <c r="L418" s="7" t="n"/>
      <c r="M418" s="8" t="n"/>
      <c r="N418" s="7" t="n"/>
      <c r="O418" s="8" t="n"/>
      <c r="P418" s="6" t="n"/>
      <c r="Q418" s="8" t="n"/>
      <c r="S418" s="8">
        <f>IF(B418="","",E418*F418)</f>
        <v/>
      </c>
      <c r="T418" s="8">
        <f>IF(OR(B418="",N(G418)=0),"",ABS(F418-G418)*E418)</f>
        <v/>
      </c>
      <c r="U418" s="8">
        <f>IF(OR(B418="",P418=""),"",IF(D418="Venda",-1,1)*((N(J418)*N(K418)+N(L418)*N(M418)+N(N418)*N(O418))-(N(J418)+N(L418)+N(N418))*F418)-N(Q418))</f>
        <v/>
      </c>
      <c r="V418" s="9">
        <f>IF(OR(B418="",P418=""),"",U418/S418)</f>
        <v/>
      </c>
      <c r="W418">
        <f>IF(OR(B418="",P418=""),"",NETWORKDAYS(C418,P418)-1)</f>
        <v/>
      </c>
      <c r="X418">
        <f>IF(B418="","",IF(P418="","Aberto","Fechado"))</f>
        <v/>
      </c>
    </row>
    <row r="419">
      <c r="C419" s="6" t="n"/>
      <c r="E419" s="7" t="n"/>
      <c r="F419" s="8" t="n"/>
      <c r="G419" s="8" t="n"/>
      <c r="H419" s="8" t="n"/>
      <c r="J419" s="7" t="n"/>
      <c r="K419" s="8" t="n"/>
      <c r="L419" s="7" t="n"/>
      <c r="M419" s="8" t="n"/>
      <c r="N419" s="7" t="n"/>
      <c r="O419" s="8" t="n"/>
      <c r="P419" s="6" t="n"/>
      <c r="Q419" s="8" t="n"/>
      <c r="S419" s="8">
        <f>IF(B419="","",E419*F419)</f>
        <v/>
      </c>
      <c r="T419" s="8">
        <f>IF(OR(B419="",N(G419)=0),"",ABS(F419-G419)*E419)</f>
        <v/>
      </c>
      <c r="U419" s="8">
        <f>IF(OR(B419="",P419=""),"",IF(D419="Venda",-1,1)*((N(J419)*N(K419)+N(L419)*N(M419)+N(N419)*N(O419))-(N(J419)+N(L419)+N(N419))*F419)-N(Q419))</f>
        <v/>
      </c>
      <c r="V419" s="9">
        <f>IF(OR(B419="",P419=""),"",U419/S419)</f>
        <v/>
      </c>
      <c r="W419">
        <f>IF(OR(B419="",P419=""),"",NETWORKDAYS(C419,P419)-1)</f>
        <v/>
      </c>
      <c r="X419">
        <f>IF(B419="","",IF(P419="","Aberto","Fechado"))</f>
        <v/>
      </c>
    </row>
    <row r="420">
      <c r="C420" s="6" t="n"/>
      <c r="E420" s="7" t="n"/>
      <c r="F420" s="8" t="n"/>
      <c r="G420" s="8" t="n"/>
      <c r="H420" s="8" t="n"/>
      <c r="J420" s="7" t="n"/>
      <c r="K420" s="8" t="n"/>
      <c r="L420" s="7" t="n"/>
      <c r="M420" s="8" t="n"/>
      <c r="N420" s="7" t="n"/>
      <c r="O420" s="8" t="n"/>
      <c r="P420" s="6" t="n"/>
      <c r="Q420" s="8" t="n"/>
      <c r="S420" s="8">
        <f>IF(B420="","",E420*F420)</f>
        <v/>
      </c>
      <c r="T420" s="8">
        <f>IF(OR(B420="",N(G420)=0),"",ABS(F420-G420)*E420)</f>
        <v/>
      </c>
      <c r="U420" s="8">
        <f>IF(OR(B420="",P420=""),"",IF(D420="Venda",-1,1)*((N(J420)*N(K420)+N(L420)*N(M420)+N(N420)*N(O420))-(N(J420)+N(L420)+N(N420))*F420)-N(Q420))</f>
        <v/>
      </c>
      <c r="V420" s="9">
        <f>IF(OR(B420="",P420=""),"",U420/S420)</f>
        <v/>
      </c>
      <c r="W420">
        <f>IF(OR(B420="",P420=""),"",NETWORKDAYS(C420,P420)-1)</f>
        <v/>
      </c>
      <c r="X420">
        <f>IF(B420="","",IF(P420="","Aberto","Fechado"))</f>
        <v/>
      </c>
    </row>
    <row r="421">
      <c r="C421" s="6" t="n"/>
      <c r="E421" s="7" t="n"/>
      <c r="F421" s="8" t="n"/>
      <c r="G421" s="8" t="n"/>
      <c r="H421" s="8" t="n"/>
      <c r="J421" s="7" t="n"/>
      <c r="K421" s="8" t="n"/>
      <c r="L421" s="7" t="n"/>
      <c r="M421" s="8" t="n"/>
      <c r="N421" s="7" t="n"/>
      <c r="O421" s="8" t="n"/>
      <c r="P421" s="6" t="n"/>
      <c r="Q421" s="8" t="n"/>
      <c r="S421" s="8">
        <f>IF(B421="","",E421*F421)</f>
        <v/>
      </c>
      <c r="T421" s="8">
        <f>IF(OR(B421="",N(G421)=0),"",ABS(F421-G421)*E421)</f>
        <v/>
      </c>
      <c r="U421" s="8">
        <f>IF(OR(B421="",P421=""),"",IF(D421="Venda",-1,1)*((N(J421)*N(K421)+N(L421)*N(M421)+N(N421)*N(O421))-(N(J421)+N(L421)+N(N421))*F421)-N(Q421))</f>
        <v/>
      </c>
      <c r="V421" s="9">
        <f>IF(OR(B421="",P421=""),"",U421/S421)</f>
        <v/>
      </c>
      <c r="W421">
        <f>IF(OR(B421="",P421=""),"",NETWORKDAYS(C421,P421)-1)</f>
        <v/>
      </c>
      <c r="X421">
        <f>IF(B421="","",IF(P421="","Aberto","Fechado"))</f>
        <v/>
      </c>
    </row>
    <row r="422">
      <c r="C422" s="6" t="n"/>
      <c r="E422" s="7" t="n"/>
      <c r="F422" s="8" t="n"/>
      <c r="G422" s="8" t="n"/>
      <c r="H422" s="8" t="n"/>
      <c r="J422" s="7" t="n"/>
      <c r="K422" s="8" t="n"/>
      <c r="L422" s="7" t="n"/>
      <c r="M422" s="8" t="n"/>
      <c r="N422" s="7" t="n"/>
      <c r="O422" s="8" t="n"/>
      <c r="P422" s="6" t="n"/>
      <c r="Q422" s="8" t="n"/>
      <c r="S422" s="8">
        <f>IF(B422="","",E422*F422)</f>
        <v/>
      </c>
      <c r="T422" s="8">
        <f>IF(OR(B422="",N(G422)=0),"",ABS(F422-G422)*E422)</f>
        <v/>
      </c>
      <c r="U422" s="8">
        <f>IF(OR(B422="",P422=""),"",IF(D422="Venda",-1,1)*((N(J422)*N(K422)+N(L422)*N(M422)+N(N422)*N(O422))-(N(J422)+N(L422)+N(N422))*F422)-N(Q422))</f>
        <v/>
      </c>
      <c r="V422" s="9">
        <f>IF(OR(B422="",P422=""),"",U422/S422)</f>
        <v/>
      </c>
      <c r="W422">
        <f>IF(OR(B422="",P422=""),"",NETWORKDAYS(C422,P422)-1)</f>
        <v/>
      </c>
      <c r="X422">
        <f>IF(B422="","",IF(P422="","Aberto","Fechado"))</f>
        <v/>
      </c>
    </row>
    <row r="423">
      <c r="C423" s="6" t="n"/>
      <c r="E423" s="7" t="n"/>
      <c r="F423" s="8" t="n"/>
      <c r="G423" s="8" t="n"/>
      <c r="H423" s="8" t="n"/>
      <c r="J423" s="7" t="n"/>
      <c r="K423" s="8" t="n"/>
      <c r="L423" s="7" t="n"/>
      <c r="M423" s="8" t="n"/>
      <c r="N423" s="7" t="n"/>
      <c r="O423" s="8" t="n"/>
      <c r="P423" s="6" t="n"/>
      <c r="Q423" s="8" t="n"/>
      <c r="S423" s="8">
        <f>IF(B423="","",E423*F423)</f>
        <v/>
      </c>
      <c r="T423" s="8">
        <f>IF(OR(B423="",N(G423)=0),"",ABS(F423-G423)*E423)</f>
        <v/>
      </c>
      <c r="U423" s="8">
        <f>IF(OR(B423="",P423=""),"",IF(D423="Venda",-1,1)*((N(J423)*N(K423)+N(L423)*N(M423)+N(N423)*N(O423))-(N(J423)+N(L423)+N(N423))*F423)-N(Q423))</f>
        <v/>
      </c>
      <c r="V423" s="9">
        <f>IF(OR(B423="",P423=""),"",U423/S423)</f>
        <v/>
      </c>
      <c r="W423">
        <f>IF(OR(B423="",P423=""),"",NETWORKDAYS(C423,P423)-1)</f>
        <v/>
      </c>
      <c r="X423">
        <f>IF(B423="","",IF(P423="","Aberto","Fechado"))</f>
        <v/>
      </c>
    </row>
    <row r="424">
      <c r="C424" s="6" t="n"/>
      <c r="E424" s="7" t="n"/>
      <c r="F424" s="8" t="n"/>
      <c r="G424" s="8" t="n"/>
      <c r="H424" s="8" t="n"/>
      <c r="J424" s="7" t="n"/>
      <c r="K424" s="8" t="n"/>
      <c r="L424" s="7" t="n"/>
      <c r="M424" s="8" t="n"/>
      <c r="N424" s="7" t="n"/>
      <c r="O424" s="8" t="n"/>
      <c r="P424" s="6" t="n"/>
      <c r="Q424" s="8" t="n"/>
      <c r="S424" s="8">
        <f>IF(B424="","",E424*F424)</f>
        <v/>
      </c>
      <c r="T424" s="8">
        <f>IF(OR(B424="",N(G424)=0),"",ABS(F424-G424)*E424)</f>
        <v/>
      </c>
      <c r="U424" s="8">
        <f>IF(OR(B424="",P424=""),"",IF(D424="Venda",-1,1)*((N(J424)*N(K424)+N(L424)*N(M424)+N(N424)*N(O424))-(N(J424)+N(L424)+N(N424))*F424)-N(Q424))</f>
        <v/>
      </c>
      <c r="V424" s="9">
        <f>IF(OR(B424="",P424=""),"",U424/S424)</f>
        <v/>
      </c>
      <c r="W424">
        <f>IF(OR(B424="",P424=""),"",NETWORKDAYS(C424,P424)-1)</f>
        <v/>
      </c>
      <c r="X424">
        <f>IF(B424="","",IF(P424="","Aberto","Fechado"))</f>
        <v/>
      </c>
    </row>
    <row r="425">
      <c r="C425" s="6" t="n"/>
      <c r="E425" s="7" t="n"/>
      <c r="F425" s="8" t="n"/>
      <c r="G425" s="8" t="n"/>
      <c r="H425" s="8" t="n"/>
      <c r="J425" s="7" t="n"/>
      <c r="K425" s="8" t="n"/>
      <c r="L425" s="7" t="n"/>
      <c r="M425" s="8" t="n"/>
      <c r="N425" s="7" t="n"/>
      <c r="O425" s="8" t="n"/>
      <c r="P425" s="6" t="n"/>
      <c r="Q425" s="8" t="n"/>
      <c r="S425" s="8">
        <f>IF(B425="","",E425*F425)</f>
        <v/>
      </c>
      <c r="T425" s="8">
        <f>IF(OR(B425="",N(G425)=0),"",ABS(F425-G425)*E425)</f>
        <v/>
      </c>
      <c r="U425" s="8">
        <f>IF(OR(B425="",P425=""),"",IF(D425="Venda",-1,1)*((N(J425)*N(K425)+N(L425)*N(M425)+N(N425)*N(O425))-(N(J425)+N(L425)+N(N425))*F425)-N(Q425))</f>
        <v/>
      </c>
      <c r="V425" s="9">
        <f>IF(OR(B425="",P425=""),"",U425/S425)</f>
        <v/>
      </c>
      <c r="W425">
        <f>IF(OR(B425="",P425=""),"",NETWORKDAYS(C425,P425)-1)</f>
        <v/>
      </c>
      <c r="X425">
        <f>IF(B425="","",IF(P425="","Aberto","Fechado"))</f>
        <v/>
      </c>
    </row>
    <row r="426">
      <c r="C426" s="6" t="n"/>
      <c r="E426" s="7" t="n"/>
      <c r="F426" s="8" t="n"/>
      <c r="G426" s="8" t="n"/>
      <c r="H426" s="8" t="n"/>
      <c r="J426" s="7" t="n"/>
      <c r="K426" s="8" t="n"/>
      <c r="L426" s="7" t="n"/>
      <c r="M426" s="8" t="n"/>
      <c r="N426" s="7" t="n"/>
      <c r="O426" s="8" t="n"/>
      <c r="P426" s="6" t="n"/>
      <c r="Q426" s="8" t="n"/>
      <c r="S426" s="8">
        <f>IF(B426="","",E426*F426)</f>
        <v/>
      </c>
      <c r="T426" s="8">
        <f>IF(OR(B426="",N(G426)=0),"",ABS(F426-G426)*E426)</f>
        <v/>
      </c>
      <c r="U426" s="8">
        <f>IF(OR(B426="",P426=""),"",IF(D426="Venda",-1,1)*((N(J426)*N(K426)+N(L426)*N(M426)+N(N426)*N(O426))-(N(J426)+N(L426)+N(N426))*F426)-N(Q426))</f>
        <v/>
      </c>
      <c r="V426" s="9">
        <f>IF(OR(B426="",P426=""),"",U426/S426)</f>
        <v/>
      </c>
      <c r="W426">
        <f>IF(OR(B426="",P426=""),"",NETWORKDAYS(C426,P426)-1)</f>
        <v/>
      </c>
      <c r="X426">
        <f>IF(B426="","",IF(P426="","Aberto","Fechado"))</f>
        <v/>
      </c>
    </row>
    <row r="427">
      <c r="C427" s="6" t="n"/>
      <c r="E427" s="7" t="n"/>
      <c r="F427" s="8" t="n"/>
      <c r="G427" s="8" t="n"/>
      <c r="H427" s="8" t="n"/>
      <c r="J427" s="7" t="n"/>
      <c r="K427" s="8" t="n"/>
      <c r="L427" s="7" t="n"/>
      <c r="M427" s="8" t="n"/>
      <c r="N427" s="7" t="n"/>
      <c r="O427" s="8" t="n"/>
      <c r="P427" s="6" t="n"/>
      <c r="Q427" s="8" t="n"/>
      <c r="S427" s="8">
        <f>IF(B427="","",E427*F427)</f>
        <v/>
      </c>
      <c r="T427" s="8">
        <f>IF(OR(B427="",N(G427)=0),"",ABS(F427-G427)*E427)</f>
        <v/>
      </c>
      <c r="U427" s="8">
        <f>IF(OR(B427="",P427=""),"",IF(D427="Venda",-1,1)*((N(J427)*N(K427)+N(L427)*N(M427)+N(N427)*N(O427))-(N(J427)+N(L427)+N(N427))*F427)-N(Q427))</f>
        <v/>
      </c>
      <c r="V427" s="9">
        <f>IF(OR(B427="",P427=""),"",U427/S427)</f>
        <v/>
      </c>
      <c r="W427">
        <f>IF(OR(B427="",P427=""),"",NETWORKDAYS(C427,P427)-1)</f>
        <v/>
      </c>
      <c r="X427">
        <f>IF(B427="","",IF(P427="","Aberto","Fechado"))</f>
        <v/>
      </c>
    </row>
    <row r="428">
      <c r="C428" s="6" t="n"/>
      <c r="E428" s="7" t="n"/>
      <c r="F428" s="8" t="n"/>
      <c r="G428" s="8" t="n"/>
      <c r="H428" s="8" t="n"/>
      <c r="J428" s="7" t="n"/>
      <c r="K428" s="8" t="n"/>
      <c r="L428" s="7" t="n"/>
      <c r="M428" s="8" t="n"/>
      <c r="N428" s="7" t="n"/>
      <c r="O428" s="8" t="n"/>
      <c r="P428" s="6" t="n"/>
      <c r="Q428" s="8" t="n"/>
      <c r="S428" s="8">
        <f>IF(B428="","",E428*F428)</f>
        <v/>
      </c>
      <c r="T428" s="8">
        <f>IF(OR(B428="",N(G428)=0),"",ABS(F428-G428)*E428)</f>
        <v/>
      </c>
      <c r="U428" s="8">
        <f>IF(OR(B428="",P428=""),"",IF(D428="Venda",-1,1)*((N(J428)*N(K428)+N(L428)*N(M428)+N(N428)*N(O428))-(N(J428)+N(L428)+N(N428))*F428)-N(Q428))</f>
        <v/>
      </c>
      <c r="V428" s="9">
        <f>IF(OR(B428="",P428=""),"",U428/S428)</f>
        <v/>
      </c>
      <c r="W428">
        <f>IF(OR(B428="",P428=""),"",NETWORKDAYS(C428,P428)-1)</f>
        <v/>
      </c>
      <c r="X428">
        <f>IF(B428="","",IF(P428="","Aberto","Fechado"))</f>
        <v/>
      </c>
    </row>
    <row r="429">
      <c r="C429" s="6" t="n"/>
      <c r="E429" s="7" t="n"/>
      <c r="F429" s="8" t="n"/>
      <c r="G429" s="8" t="n"/>
      <c r="H429" s="8" t="n"/>
      <c r="J429" s="7" t="n"/>
      <c r="K429" s="8" t="n"/>
      <c r="L429" s="7" t="n"/>
      <c r="M429" s="8" t="n"/>
      <c r="N429" s="7" t="n"/>
      <c r="O429" s="8" t="n"/>
      <c r="P429" s="6" t="n"/>
      <c r="Q429" s="8" t="n"/>
      <c r="S429" s="8">
        <f>IF(B429="","",E429*F429)</f>
        <v/>
      </c>
      <c r="T429" s="8">
        <f>IF(OR(B429="",N(G429)=0),"",ABS(F429-G429)*E429)</f>
        <v/>
      </c>
      <c r="U429" s="8">
        <f>IF(OR(B429="",P429=""),"",IF(D429="Venda",-1,1)*((N(J429)*N(K429)+N(L429)*N(M429)+N(N429)*N(O429))-(N(J429)+N(L429)+N(N429))*F429)-N(Q429))</f>
        <v/>
      </c>
      <c r="V429" s="9">
        <f>IF(OR(B429="",P429=""),"",U429/S429)</f>
        <v/>
      </c>
      <c r="W429">
        <f>IF(OR(B429="",P429=""),"",NETWORKDAYS(C429,P429)-1)</f>
        <v/>
      </c>
      <c r="X429">
        <f>IF(B429="","",IF(P429="","Aberto","Fechado"))</f>
        <v/>
      </c>
    </row>
    <row r="430">
      <c r="C430" s="6" t="n"/>
      <c r="E430" s="7" t="n"/>
      <c r="F430" s="8" t="n"/>
      <c r="G430" s="8" t="n"/>
      <c r="H430" s="8" t="n"/>
      <c r="J430" s="7" t="n"/>
      <c r="K430" s="8" t="n"/>
      <c r="L430" s="7" t="n"/>
      <c r="M430" s="8" t="n"/>
      <c r="N430" s="7" t="n"/>
      <c r="O430" s="8" t="n"/>
      <c r="P430" s="6" t="n"/>
      <c r="Q430" s="8" t="n"/>
      <c r="S430" s="8">
        <f>IF(B430="","",E430*F430)</f>
        <v/>
      </c>
      <c r="T430" s="8">
        <f>IF(OR(B430="",N(G430)=0),"",ABS(F430-G430)*E430)</f>
        <v/>
      </c>
      <c r="U430" s="8">
        <f>IF(OR(B430="",P430=""),"",IF(D430="Venda",-1,1)*((N(J430)*N(K430)+N(L430)*N(M430)+N(N430)*N(O430))-(N(J430)+N(L430)+N(N430))*F430)-N(Q430))</f>
        <v/>
      </c>
      <c r="V430" s="9">
        <f>IF(OR(B430="",P430=""),"",U430/S430)</f>
        <v/>
      </c>
      <c r="W430">
        <f>IF(OR(B430="",P430=""),"",NETWORKDAYS(C430,P430)-1)</f>
        <v/>
      </c>
      <c r="X430">
        <f>IF(B430="","",IF(P430="","Aberto","Fechado"))</f>
        <v/>
      </c>
    </row>
    <row r="431">
      <c r="C431" s="6" t="n"/>
      <c r="E431" s="7" t="n"/>
      <c r="F431" s="8" t="n"/>
      <c r="G431" s="8" t="n"/>
      <c r="H431" s="8" t="n"/>
      <c r="J431" s="7" t="n"/>
      <c r="K431" s="8" t="n"/>
      <c r="L431" s="7" t="n"/>
      <c r="M431" s="8" t="n"/>
      <c r="N431" s="7" t="n"/>
      <c r="O431" s="8" t="n"/>
      <c r="P431" s="6" t="n"/>
      <c r="Q431" s="8" t="n"/>
      <c r="S431" s="8">
        <f>IF(B431="","",E431*F431)</f>
        <v/>
      </c>
      <c r="T431" s="8">
        <f>IF(OR(B431="",N(G431)=0),"",ABS(F431-G431)*E431)</f>
        <v/>
      </c>
      <c r="U431" s="8">
        <f>IF(OR(B431="",P431=""),"",IF(D431="Venda",-1,1)*((N(J431)*N(K431)+N(L431)*N(M431)+N(N431)*N(O431))-(N(J431)+N(L431)+N(N431))*F431)-N(Q431))</f>
        <v/>
      </c>
      <c r="V431" s="9">
        <f>IF(OR(B431="",P431=""),"",U431/S431)</f>
        <v/>
      </c>
      <c r="W431">
        <f>IF(OR(B431="",P431=""),"",NETWORKDAYS(C431,P431)-1)</f>
        <v/>
      </c>
      <c r="X431">
        <f>IF(B431="","",IF(P431="","Aberto","Fechado"))</f>
        <v/>
      </c>
    </row>
    <row r="432">
      <c r="C432" s="6" t="n"/>
      <c r="E432" s="7" t="n"/>
      <c r="F432" s="8" t="n"/>
      <c r="G432" s="8" t="n"/>
      <c r="H432" s="8" t="n"/>
      <c r="J432" s="7" t="n"/>
      <c r="K432" s="8" t="n"/>
      <c r="L432" s="7" t="n"/>
      <c r="M432" s="8" t="n"/>
      <c r="N432" s="7" t="n"/>
      <c r="O432" s="8" t="n"/>
      <c r="P432" s="6" t="n"/>
      <c r="Q432" s="8" t="n"/>
      <c r="S432" s="8">
        <f>IF(B432="","",E432*F432)</f>
        <v/>
      </c>
      <c r="T432" s="8">
        <f>IF(OR(B432="",N(G432)=0),"",ABS(F432-G432)*E432)</f>
        <v/>
      </c>
      <c r="U432" s="8">
        <f>IF(OR(B432="",P432=""),"",IF(D432="Venda",-1,1)*((N(J432)*N(K432)+N(L432)*N(M432)+N(N432)*N(O432))-(N(J432)+N(L432)+N(N432))*F432)-N(Q432))</f>
        <v/>
      </c>
      <c r="V432" s="9">
        <f>IF(OR(B432="",P432=""),"",U432/S432)</f>
        <v/>
      </c>
      <c r="W432">
        <f>IF(OR(B432="",P432=""),"",NETWORKDAYS(C432,P432)-1)</f>
        <v/>
      </c>
      <c r="X432">
        <f>IF(B432="","",IF(P432="","Aberto","Fechado"))</f>
        <v/>
      </c>
    </row>
    <row r="433">
      <c r="C433" s="6" t="n"/>
      <c r="E433" s="7" t="n"/>
      <c r="F433" s="8" t="n"/>
      <c r="G433" s="8" t="n"/>
      <c r="H433" s="8" t="n"/>
      <c r="J433" s="7" t="n"/>
      <c r="K433" s="8" t="n"/>
      <c r="L433" s="7" t="n"/>
      <c r="M433" s="8" t="n"/>
      <c r="N433" s="7" t="n"/>
      <c r="O433" s="8" t="n"/>
      <c r="P433" s="6" t="n"/>
      <c r="Q433" s="8" t="n"/>
      <c r="S433" s="8">
        <f>IF(B433="","",E433*F433)</f>
        <v/>
      </c>
      <c r="T433" s="8">
        <f>IF(OR(B433="",N(G433)=0),"",ABS(F433-G433)*E433)</f>
        <v/>
      </c>
      <c r="U433" s="8">
        <f>IF(OR(B433="",P433=""),"",IF(D433="Venda",-1,1)*((N(J433)*N(K433)+N(L433)*N(M433)+N(N433)*N(O433))-(N(J433)+N(L433)+N(N433))*F433)-N(Q433))</f>
        <v/>
      </c>
      <c r="V433" s="9">
        <f>IF(OR(B433="",P433=""),"",U433/S433)</f>
        <v/>
      </c>
      <c r="W433">
        <f>IF(OR(B433="",P433=""),"",NETWORKDAYS(C433,P433)-1)</f>
        <v/>
      </c>
      <c r="X433">
        <f>IF(B433="","",IF(P433="","Aberto","Fechado"))</f>
        <v/>
      </c>
    </row>
    <row r="434">
      <c r="C434" s="6" t="n"/>
      <c r="E434" s="7" t="n"/>
      <c r="F434" s="8" t="n"/>
      <c r="G434" s="8" t="n"/>
      <c r="H434" s="8" t="n"/>
      <c r="J434" s="7" t="n"/>
      <c r="K434" s="8" t="n"/>
      <c r="L434" s="7" t="n"/>
      <c r="M434" s="8" t="n"/>
      <c r="N434" s="7" t="n"/>
      <c r="O434" s="8" t="n"/>
      <c r="P434" s="6" t="n"/>
      <c r="Q434" s="8" t="n"/>
      <c r="S434" s="8">
        <f>IF(B434="","",E434*F434)</f>
        <v/>
      </c>
      <c r="T434" s="8">
        <f>IF(OR(B434="",N(G434)=0),"",ABS(F434-G434)*E434)</f>
        <v/>
      </c>
      <c r="U434" s="8">
        <f>IF(OR(B434="",P434=""),"",IF(D434="Venda",-1,1)*((N(J434)*N(K434)+N(L434)*N(M434)+N(N434)*N(O434))-(N(J434)+N(L434)+N(N434))*F434)-N(Q434))</f>
        <v/>
      </c>
      <c r="V434" s="9">
        <f>IF(OR(B434="",P434=""),"",U434/S434)</f>
        <v/>
      </c>
      <c r="W434">
        <f>IF(OR(B434="",P434=""),"",NETWORKDAYS(C434,P434)-1)</f>
        <v/>
      </c>
      <c r="X434">
        <f>IF(B434="","",IF(P434="","Aberto","Fechado"))</f>
        <v/>
      </c>
    </row>
    <row r="435">
      <c r="C435" s="6" t="n"/>
      <c r="E435" s="7" t="n"/>
      <c r="F435" s="8" t="n"/>
      <c r="G435" s="8" t="n"/>
      <c r="H435" s="8" t="n"/>
      <c r="J435" s="7" t="n"/>
      <c r="K435" s="8" t="n"/>
      <c r="L435" s="7" t="n"/>
      <c r="M435" s="8" t="n"/>
      <c r="N435" s="7" t="n"/>
      <c r="O435" s="8" t="n"/>
      <c r="P435" s="6" t="n"/>
      <c r="Q435" s="8" t="n"/>
      <c r="S435" s="8">
        <f>IF(B435="","",E435*F435)</f>
        <v/>
      </c>
      <c r="T435" s="8">
        <f>IF(OR(B435="",N(G435)=0),"",ABS(F435-G435)*E435)</f>
        <v/>
      </c>
      <c r="U435" s="8">
        <f>IF(OR(B435="",P435=""),"",IF(D435="Venda",-1,1)*((N(J435)*N(K435)+N(L435)*N(M435)+N(N435)*N(O435))-(N(J435)+N(L435)+N(N435))*F435)-N(Q435))</f>
        <v/>
      </c>
      <c r="V435" s="9">
        <f>IF(OR(B435="",P435=""),"",U435/S435)</f>
        <v/>
      </c>
      <c r="W435">
        <f>IF(OR(B435="",P435=""),"",NETWORKDAYS(C435,P435)-1)</f>
        <v/>
      </c>
      <c r="X435">
        <f>IF(B435="","",IF(P435="","Aberto","Fechado"))</f>
        <v/>
      </c>
    </row>
    <row r="436">
      <c r="C436" s="6" t="n"/>
      <c r="E436" s="7" t="n"/>
      <c r="F436" s="8" t="n"/>
      <c r="G436" s="8" t="n"/>
      <c r="H436" s="8" t="n"/>
      <c r="J436" s="7" t="n"/>
      <c r="K436" s="8" t="n"/>
      <c r="L436" s="7" t="n"/>
      <c r="M436" s="8" t="n"/>
      <c r="N436" s="7" t="n"/>
      <c r="O436" s="8" t="n"/>
      <c r="P436" s="6" t="n"/>
      <c r="Q436" s="8" t="n"/>
      <c r="S436" s="8">
        <f>IF(B436="","",E436*F436)</f>
        <v/>
      </c>
      <c r="T436" s="8">
        <f>IF(OR(B436="",N(G436)=0),"",ABS(F436-G436)*E436)</f>
        <v/>
      </c>
      <c r="U436" s="8">
        <f>IF(OR(B436="",P436=""),"",IF(D436="Venda",-1,1)*((N(J436)*N(K436)+N(L436)*N(M436)+N(N436)*N(O436))-(N(J436)+N(L436)+N(N436))*F436)-N(Q436))</f>
        <v/>
      </c>
      <c r="V436" s="9">
        <f>IF(OR(B436="",P436=""),"",U436/S436)</f>
        <v/>
      </c>
      <c r="W436">
        <f>IF(OR(B436="",P436=""),"",NETWORKDAYS(C436,P436)-1)</f>
        <v/>
      </c>
      <c r="X436">
        <f>IF(B436="","",IF(P436="","Aberto","Fechado"))</f>
        <v/>
      </c>
    </row>
    <row r="437">
      <c r="C437" s="6" t="n"/>
      <c r="E437" s="7" t="n"/>
      <c r="F437" s="8" t="n"/>
      <c r="G437" s="8" t="n"/>
      <c r="H437" s="8" t="n"/>
      <c r="J437" s="7" t="n"/>
      <c r="K437" s="8" t="n"/>
      <c r="L437" s="7" t="n"/>
      <c r="M437" s="8" t="n"/>
      <c r="N437" s="7" t="n"/>
      <c r="O437" s="8" t="n"/>
      <c r="P437" s="6" t="n"/>
      <c r="Q437" s="8" t="n"/>
      <c r="S437" s="8">
        <f>IF(B437="","",E437*F437)</f>
        <v/>
      </c>
      <c r="T437" s="8">
        <f>IF(OR(B437="",N(G437)=0),"",ABS(F437-G437)*E437)</f>
        <v/>
      </c>
      <c r="U437" s="8">
        <f>IF(OR(B437="",P437=""),"",IF(D437="Venda",-1,1)*((N(J437)*N(K437)+N(L437)*N(M437)+N(N437)*N(O437))-(N(J437)+N(L437)+N(N437))*F437)-N(Q437))</f>
        <v/>
      </c>
      <c r="V437" s="9">
        <f>IF(OR(B437="",P437=""),"",U437/S437)</f>
        <v/>
      </c>
      <c r="W437">
        <f>IF(OR(B437="",P437=""),"",NETWORKDAYS(C437,P437)-1)</f>
        <v/>
      </c>
      <c r="X437">
        <f>IF(B437="","",IF(P437="","Aberto","Fechado"))</f>
        <v/>
      </c>
    </row>
    <row r="438">
      <c r="C438" s="6" t="n"/>
      <c r="E438" s="7" t="n"/>
      <c r="F438" s="8" t="n"/>
      <c r="G438" s="8" t="n"/>
      <c r="H438" s="8" t="n"/>
      <c r="J438" s="7" t="n"/>
      <c r="K438" s="8" t="n"/>
      <c r="L438" s="7" t="n"/>
      <c r="M438" s="8" t="n"/>
      <c r="N438" s="7" t="n"/>
      <c r="O438" s="8" t="n"/>
      <c r="P438" s="6" t="n"/>
      <c r="Q438" s="8" t="n"/>
      <c r="S438" s="8">
        <f>IF(B438="","",E438*F438)</f>
        <v/>
      </c>
      <c r="T438" s="8">
        <f>IF(OR(B438="",N(G438)=0),"",ABS(F438-G438)*E438)</f>
        <v/>
      </c>
      <c r="U438" s="8">
        <f>IF(OR(B438="",P438=""),"",IF(D438="Venda",-1,1)*((N(J438)*N(K438)+N(L438)*N(M438)+N(N438)*N(O438))-(N(J438)+N(L438)+N(N438))*F438)-N(Q438))</f>
        <v/>
      </c>
      <c r="V438" s="9">
        <f>IF(OR(B438="",P438=""),"",U438/S438)</f>
        <v/>
      </c>
      <c r="W438">
        <f>IF(OR(B438="",P438=""),"",NETWORKDAYS(C438,P438)-1)</f>
        <v/>
      </c>
      <c r="X438">
        <f>IF(B438="","",IF(P438="","Aberto","Fechado"))</f>
        <v/>
      </c>
    </row>
    <row r="439">
      <c r="C439" s="6" t="n"/>
      <c r="E439" s="7" t="n"/>
      <c r="F439" s="8" t="n"/>
      <c r="G439" s="8" t="n"/>
      <c r="H439" s="8" t="n"/>
      <c r="J439" s="7" t="n"/>
      <c r="K439" s="8" t="n"/>
      <c r="L439" s="7" t="n"/>
      <c r="M439" s="8" t="n"/>
      <c r="N439" s="7" t="n"/>
      <c r="O439" s="8" t="n"/>
      <c r="P439" s="6" t="n"/>
      <c r="Q439" s="8" t="n"/>
      <c r="S439" s="8">
        <f>IF(B439="","",E439*F439)</f>
        <v/>
      </c>
      <c r="T439" s="8">
        <f>IF(OR(B439="",N(G439)=0),"",ABS(F439-G439)*E439)</f>
        <v/>
      </c>
      <c r="U439" s="8">
        <f>IF(OR(B439="",P439=""),"",IF(D439="Venda",-1,1)*((N(J439)*N(K439)+N(L439)*N(M439)+N(N439)*N(O439))-(N(J439)+N(L439)+N(N439))*F439)-N(Q439))</f>
        <v/>
      </c>
      <c r="V439" s="9">
        <f>IF(OR(B439="",P439=""),"",U439/S439)</f>
        <v/>
      </c>
      <c r="W439">
        <f>IF(OR(B439="",P439=""),"",NETWORKDAYS(C439,P439)-1)</f>
        <v/>
      </c>
      <c r="X439">
        <f>IF(B439="","",IF(P439="","Aberto","Fechado"))</f>
        <v/>
      </c>
    </row>
    <row r="440">
      <c r="C440" s="6" t="n"/>
      <c r="E440" s="7" t="n"/>
      <c r="F440" s="8" t="n"/>
      <c r="G440" s="8" t="n"/>
      <c r="H440" s="8" t="n"/>
      <c r="J440" s="7" t="n"/>
      <c r="K440" s="8" t="n"/>
      <c r="L440" s="7" t="n"/>
      <c r="M440" s="8" t="n"/>
      <c r="N440" s="7" t="n"/>
      <c r="O440" s="8" t="n"/>
      <c r="P440" s="6" t="n"/>
      <c r="Q440" s="8" t="n"/>
      <c r="S440" s="8">
        <f>IF(B440="","",E440*F440)</f>
        <v/>
      </c>
      <c r="T440" s="8">
        <f>IF(OR(B440="",N(G440)=0),"",ABS(F440-G440)*E440)</f>
        <v/>
      </c>
      <c r="U440" s="8">
        <f>IF(OR(B440="",P440=""),"",IF(D440="Venda",-1,1)*((N(J440)*N(K440)+N(L440)*N(M440)+N(N440)*N(O440))-(N(J440)+N(L440)+N(N440))*F440)-N(Q440))</f>
        <v/>
      </c>
      <c r="V440" s="9">
        <f>IF(OR(B440="",P440=""),"",U440/S440)</f>
        <v/>
      </c>
      <c r="W440">
        <f>IF(OR(B440="",P440=""),"",NETWORKDAYS(C440,P440)-1)</f>
        <v/>
      </c>
      <c r="X440">
        <f>IF(B440="","",IF(P440="","Aberto","Fechado"))</f>
        <v/>
      </c>
    </row>
    <row r="441">
      <c r="C441" s="6" t="n"/>
      <c r="E441" s="7" t="n"/>
      <c r="F441" s="8" t="n"/>
      <c r="G441" s="8" t="n"/>
      <c r="H441" s="8" t="n"/>
      <c r="J441" s="7" t="n"/>
      <c r="K441" s="8" t="n"/>
      <c r="L441" s="7" t="n"/>
      <c r="M441" s="8" t="n"/>
      <c r="N441" s="7" t="n"/>
      <c r="O441" s="8" t="n"/>
      <c r="P441" s="6" t="n"/>
      <c r="Q441" s="8" t="n"/>
      <c r="S441" s="8">
        <f>IF(B441="","",E441*F441)</f>
        <v/>
      </c>
      <c r="T441" s="8">
        <f>IF(OR(B441="",N(G441)=0),"",ABS(F441-G441)*E441)</f>
        <v/>
      </c>
      <c r="U441" s="8">
        <f>IF(OR(B441="",P441=""),"",IF(D441="Venda",-1,1)*((N(J441)*N(K441)+N(L441)*N(M441)+N(N441)*N(O441))-(N(J441)+N(L441)+N(N441))*F441)-N(Q441))</f>
        <v/>
      </c>
      <c r="V441" s="9">
        <f>IF(OR(B441="",P441=""),"",U441/S441)</f>
        <v/>
      </c>
      <c r="W441">
        <f>IF(OR(B441="",P441=""),"",NETWORKDAYS(C441,P441)-1)</f>
        <v/>
      </c>
      <c r="X441">
        <f>IF(B441="","",IF(P441="","Aberto","Fechado"))</f>
        <v/>
      </c>
    </row>
    <row r="442">
      <c r="C442" s="6" t="n"/>
      <c r="E442" s="7" t="n"/>
      <c r="F442" s="8" t="n"/>
      <c r="G442" s="8" t="n"/>
      <c r="H442" s="8" t="n"/>
      <c r="J442" s="7" t="n"/>
      <c r="K442" s="8" t="n"/>
      <c r="L442" s="7" t="n"/>
      <c r="M442" s="8" t="n"/>
      <c r="N442" s="7" t="n"/>
      <c r="O442" s="8" t="n"/>
      <c r="P442" s="6" t="n"/>
      <c r="Q442" s="8" t="n"/>
      <c r="S442" s="8">
        <f>IF(B442="","",E442*F442)</f>
        <v/>
      </c>
      <c r="T442" s="8">
        <f>IF(OR(B442="",N(G442)=0),"",ABS(F442-G442)*E442)</f>
        <v/>
      </c>
      <c r="U442" s="8">
        <f>IF(OR(B442="",P442=""),"",IF(D442="Venda",-1,1)*((N(J442)*N(K442)+N(L442)*N(M442)+N(N442)*N(O442))-(N(J442)+N(L442)+N(N442))*F442)-N(Q442))</f>
        <v/>
      </c>
      <c r="V442" s="9">
        <f>IF(OR(B442="",P442=""),"",U442/S442)</f>
        <v/>
      </c>
      <c r="W442">
        <f>IF(OR(B442="",P442=""),"",NETWORKDAYS(C442,P442)-1)</f>
        <v/>
      </c>
      <c r="X442">
        <f>IF(B442="","",IF(P442="","Aberto","Fechado"))</f>
        <v/>
      </c>
    </row>
    <row r="443">
      <c r="C443" s="6" t="n"/>
      <c r="E443" s="7" t="n"/>
      <c r="F443" s="8" t="n"/>
      <c r="G443" s="8" t="n"/>
      <c r="H443" s="8" t="n"/>
      <c r="J443" s="7" t="n"/>
      <c r="K443" s="8" t="n"/>
      <c r="L443" s="7" t="n"/>
      <c r="M443" s="8" t="n"/>
      <c r="N443" s="7" t="n"/>
      <c r="O443" s="8" t="n"/>
      <c r="P443" s="6" t="n"/>
      <c r="Q443" s="8" t="n"/>
      <c r="S443" s="8">
        <f>IF(B443="","",E443*F443)</f>
        <v/>
      </c>
      <c r="T443" s="8">
        <f>IF(OR(B443="",N(G443)=0),"",ABS(F443-G443)*E443)</f>
        <v/>
      </c>
      <c r="U443" s="8">
        <f>IF(OR(B443="",P443=""),"",IF(D443="Venda",-1,1)*((N(J443)*N(K443)+N(L443)*N(M443)+N(N443)*N(O443))-(N(J443)+N(L443)+N(N443))*F443)-N(Q443))</f>
        <v/>
      </c>
      <c r="V443" s="9">
        <f>IF(OR(B443="",P443=""),"",U443/S443)</f>
        <v/>
      </c>
      <c r="W443">
        <f>IF(OR(B443="",P443=""),"",NETWORKDAYS(C443,P443)-1)</f>
        <v/>
      </c>
      <c r="X443">
        <f>IF(B443="","",IF(P443="","Aberto","Fechado"))</f>
        <v/>
      </c>
    </row>
    <row r="444">
      <c r="C444" s="6" t="n"/>
      <c r="E444" s="7" t="n"/>
      <c r="F444" s="8" t="n"/>
      <c r="G444" s="8" t="n"/>
      <c r="H444" s="8" t="n"/>
      <c r="J444" s="7" t="n"/>
      <c r="K444" s="8" t="n"/>
      <c r="L444" s="7" t="n"/>
      <c r="M444" s="8" t="n"/>
      <c r="N444" s="7" t="n"/>
      <c r="O444" s="8" t="n"/>
      <c r="P444" s="6" t="n"/>
      <c r="Q444" s="8" t="n"/>
      <c r="S444" s="8">
        <f>IF(B444="","",E444*F444)</f>
        <v/>
      </c>
      <c r="T444" s="8">
        <f>IF(OR(B444="",N(G444)=0),"",ABS(F444-G444)*E444)</f>
        <v/>
      </c>
      <c r="U444" s="8">
        <f>IF(OR(B444="",P444=""),"",IF(D444="Venda",-1,1)*((N(J444)*N(K444)+N(L444)*N(M444)+N(N444)*N(O444))-(N(J444)+N(L444)+N(N444))*F444)-N(Q444))</f>
        <v/>
      </c>
      <c r="V444" s="9">
        <f>IF(OR(B444="",P444=""),"",U444/S444)</f>
        <v/>
      </c>
      <c r="W444">
        <f>IF(OR(B444="",P444=""),"",NETWORKDAYS(C444,P444)-1)</f>
        <v/>
      </c>
      <c r="X444">
        <f>IF(B444="","",IF(P444="","Aberto","Fechado"))</f>
        <v/>
      </c>
    </row>
    <row r="445">
      <c r="C445" s="6" t="n"/>
      <c r="E445" s="7" t="n"/>
      <c r="F445" s="8" t="n"/>
      <c r="G445" s="8" t="n"/>
      <c r="H445" s="8" t="n"/>
      <c r="J445" s="7" t="n"/>
      <c r="K445" s="8" t="n"/>
      <c r="L445" s="7" t="n"/>
      <c r="M445" s="8" t="n"/>
      <c r="N445" s="7" t="n"/>
      <c r="O445" s="8" t="n"/>
      <c r="P445" s="6" t="n"/>
      <c r="Q445" s="8" t="n"/>
      <c r="S445" s="8">
        <f>IF(B445="","",E445*F445)</f>
        <v/>
      </c>
      <c r="T445" s="8">
        <f>IF(OR(B445="",N(G445)=0),"",ABS(F445-G445)*E445)</f>
        <v/>
      </c>
      <c r="U445" s="8">
        <f>IF(OR(B445="",P445=""),"",IF(D445="Venda",-1,1)*((N(J445)*N(K445)+N(L445)*N(M445)+N(N445)*N(O445))-(N(J445)+N(L445)+N(N445))*F445)-N(Q445))</f>
        <v/>
      </c>
      <c r="V445" s="9">
        <f>IF(OR(B445="",P445=""),"",U445/S445)</f>
        <v/>
      </c>
      <c r="W445">
        <f>IF(OR(B445="",P445=""),"",NETWORKDAYS(C445,P445)-1)</f>
        <v/>
      </c>
      <c r="X445">
        <f>IF(B445="","",IF(P445="","Aberto","Fechado"))</f>
        <v/>
      </c>
    </row>
    <row r="446">
      <c r="C446" s="6" t="n"/>
      <c r="E446" s="7" t="n"/>
      <c r="F446" s="8" t="n"/>
      <c r="G446" s="8" t="n"/>
      <c r="H446" s="8" t="n"/>
      <c r="J446" s="7" t="n"/>
      <c r="K446" s="8" t="n"/>
      <c r="L446" s="7" t="n"/>
      <c r="M446" s="8" t="n"/>
      <c r="N446" s="7" t="n"/>
      <c r="O446" s="8" t="n"/>
      <c r="P446" s="6" t="n"/>
      <c r="Q446" s="8" t="n"/>
      <c r="S446" s="8">
        <f>IF(B446="","",E446*F446)</f>
        <v/>
      </c>
      <c r="T446" s="8">
        <f>IF(OR(B446="",N(G446)=0),"",ABS(F446-G446)*E446)</f>
        <v/>
      </c>
      <c r="U446" s="8">
        <f>IF(OR(B446="",P446=""),"",IF(D446="Venda",-1,1)*((N(J446)*N(K446)+N(L446)*N(M446)+N(N446)*N(O446))-(N(J446)+N(L446)+N(N446))*F446)-N(Q446))</f>
        <v/>
      </c>
      <c r="V446" s="9">
        <f>IF(OR(B446="",P446=""),"",U446/S446)</f>
        <v/>
      </c>
      <c r="W446">
        <f>IF(OR(B446="",P446=""),"",NETWORKDAYS(C446,P446)-1)</f>
        <v/>
      </c>
      <c r="X446">
        <f>IF(B446="","",IF(P446="","Aberto","Fechado"))</f>
        <v/>
      </c>
    </row>
    <row r="447">
      <c r="C447" s="6" t="n"/>
      <c r="E447" s="7" t="n"/>
      <c r="F447" s="8" t="n"/>
      <c r="G447" s="8" t="n"/>
      <c r="H447" s="8" t="n"/>
      <c r="J447" s="7" t="n"/>
      <c r="K447" s="8" t="n"/>
      <c r="L447" s="7" t="n"/>
      <c r="M447" s="8" t="n"/>
      <c r="N447" s="7" t="n"/>
      <c r="O447" s="8" t="n"/>
      <c r="P447" s="6" t="n"/>
      <c r="Q447" s="8" t="n"/>
      <c r="S447" s="8">
        <f>IF(B447="","",E447*F447)</f>
        <v/>
      </c>
      <c r="T447" s="8">
        <f>IF(OR(B447="",N(G447)=0),"",ABS(F447-G447)*E447)</f>
        <v/>
      </c>
      <c r="U447" s="8">
        <f>IF(OR(B447="",P447=""),"",IF(D447="Venda",-1,1)*((N(J447)*N(K447)+N(L447)*N(M447)+N(N447)*N(O447))-(N(J447)+N(L447)+N(N447))*F447)-N(Q447))</f>
        <v/>
      </c>
      <c r="V447" s="9">
        <f>IF(OR(B447="",P447=""),"",U447/S447)</f>
        <v/>
      </c>
      <c r="W447">
        <f>IF(OR(B447="",P447=""),"",NETWORKDAYS(C447,P447)-1)</f>
        <v/>
      </c>
      <c r="X447">
        <f>IF(B447="","",IF(P447="","Aberto","Fechado"))</f>
        <v/>
      </c>
    </row>
    <row r="448">
      <c r="C448" s="6" t="n"/>
      <c r="E448" s="7" t="n"/>
      <c r="F448" s="8" t="n"/>
      <c r="G448" s="8" t="n"/>
      <c r="H448" s="8" t="n"/>
      <c r="J448" s="7" t="n"/>
      <c r="K448" s="8" t="n"/>
      <c r="L448" s="7" t="n"/>
      <c r="M448" s="8" t="n"/>
      <c r="N448" s="7" t="n"/>
      <c r="O448" s="8" t="n"/>
      <c r="P448" s="6" t="n"/>
      <c r="Q448" s="8" t="n"/>
      <c r="S448" s="8">
        <f>IF(B448="","",E448*F448)</f>
        <v/>
      </c>
      <c r="T448" s="8">
        <f>IF(OR(B448="",N(G448)=0),"",ABS(F448-G448)*E448)</f>
        <v/>
      </c>
      <c r="U448" s="8">
        <f>IF(OR(B448="",P448=""),"",IF(D448="Venda",-1,1)*((N(J448)*N(K448)+N(L448)*N(M448)+N(N448)*N(O448))-(N(J448)+N(L448)+N(N448))*F448)-N(Q448))</f>
        <v/>
      </c>
      <c r="V448" s="9">
        <f>IF(OR(B448="",P448=""),"",U448/S448)</f>
        <v/>
      </c>
      <c r="W448">
        <f>IF(OR(B448="",P448=""),"",NETWORKDAYS(C448,P448)-1)</f>
        <v/>
      </c>
      <c r="X448">
        <f>IF(B448="","",IF(P448="","Aberto","Fechado"))</f>
        <v/>
      </c>
    </row>
    <row r="449">
      <c r="C449" s="6" t="n"/>
      <c r="E449" s="7" t="n"/>
      <c r="F449" s="8" t="n"/>
      <c r="G449" s="8" t="n"/>
      <c r="H449" s="8" t="n"/>
      <c r="J449" s="7" t="n"/>
      <c r="K449" s="8" t="n"/>
      <c r="L449" s="7" t="n"/>
      <c r="M449" s="8" t="n"/>
      <c r="N449" s="7" t="n"/>
      <c r="O449" s="8" t="n"/>
      <c r="P449" s="6" t="n"/>
      <c r="Q449" s="8" t="n"/>
      <c r="S449" s="8">
        <f>IF(B449="","",E449*F449)</f>
        <v/>
      </c>
      <c r="T449" s="8">
        <f>IF(OR(B449="",N(G449)=0),"",ABS(F449-G449)*E449)</f>
        <v/>
      </c>
      <c r="U449" s="8">
        <f>IF(OR(B449="",P449=""),"",IF(D449="Venda",-1,1)*((N(J449)*N(K449)+N(L449)*N(M449)+N(N449)*N(O449))-(N(J449)+N(L449)+N(N449))*F449)-N(Q449))</f>
        <v/>
      </c>
      <c r="V449" s="9">
        <f>IF(OR(B449="",P449=""),"",U449/S449)</f>
        <v/>
      </c>
      <c r="W449">
        <f>IF(OR(B449="",P449=""),"",NETWORKDAYS(C449,P449)-1)</f>
        <v/>
      </c>
      <c r="X449">
        <f>IF(B449="","",IF(P449="","Aberto","Fechado"))</f>
        <v/>
      </c>
    </row>
    <row r="450">
      <c r="C450" s="6" t="n"/>
      <c r="E450" s="7" t="n"/>
      <c r="F450" s="8" t="n"/>
      <c r="G450" s="8" t="n"/>
      <c r="H450" s="8" t="n"/>
      <c r="J450" s="7" t="n"/>
      <c r="K450" s="8" t="n"/>
      <c r="L450" s="7" t="n"/>
      <c r="M450" s="8" t="n"/>
      <c r="N450" s="7" t="n"/>
      <c r="O450" s="8" t="n"/>
      <c r="P450" s="6" t="n"/>
      <c r="Q450" s="8" t="n"/>
      <c r="S450" s="8">
        <f>IF(B450="","",E450*F450)</f>
        <v/>
      </c>
      <c r="T450" s="8">
        <f>IF(OR(B450="",N(G450)=0),"",ABS(F450-G450)*E450)</f>
        <v/>
      </c>
      <c r="U450" s="8">
        <f>IF(OR(B450="",P450=""),"",IF(D450="Venda",-1,1)*((N(J450)*N(K450)+N(L450)*N(M450)+N(N450)*N(O450))-(N(J450)+N(L450)+N(N450))*F450)-N(Q450))</f>
        <v/>
      </c>
      <c r="V450" s="9">
        <f>IF(OR(B450="",P450=""),"",U450/S450)</f>
        <v/>
      </c>
      <c r="W450">
        <f>IF(OR(B450="",P450=""),"",NETWORKDAYS(C450,P450)-1)</f>
        <v/>
      </c>
      <c r="X450">
        <f>IF(B450="","",IF(P450="","Aberto","Fechado"))</f>
        <v/>
      </c>
    </row>
    <row r="451">
      <c r="C451" s="6" t="n"/>
      <c r="E451" s="7" t="n"/>
      <c r="F451" s="8" t="n"/>
      <c r="G451" s="8" t="n"/>
      <c r="H451" s="8" t="n"/>
      <c r="J451" s="7" t="n"/>
      <c r="K451" s="8" t="n"/>
      <c r="L451" s="7" t="n"/>
      <c r="M451" s="8" t="n"/>
      <c r="N451" s="7" t="n"/>
      <c r="O451" s="8" t="n"/>
      <c r="P451" s="6" t="n"/>
      <c r="Q451" s="8" t="n"/>
      <c r="S451" s="8">
        <f>IF(B451="","",E451*F451)</f>
        <v/>
      </c>
      <c r="T451" s="8">
        <f>IF(OR(B451="",N(G451)=0),"",ABS(F451-G451)*E451)</f>
        <v/>
      </c>
      <c r="U451" s="8">
        <f>IF(OR(B451="",P451=""),"",IF(D451="Venda",-1,1)*((N(J451)*N(K451)+N(L451)*N(M451)+N(N451)*N(O451))-(N(J451)+N(L451)+N(N451))*F451)-N(Q451))</f>
        <v/>
      </c>
      <c r="V451" s="9">
        <f>IF(OR(B451="",P451=""),"",U451/S451)</f>
        <v/>
      </c>
      <c r="W451">
        <f>IF(OR(B451="",P451=""),"",NETWORKDAYS(C451,P451)-1)</f>
        <v/>
      </c>
      <c r="X451">
        <f>IF(B451="","",IF(P451="","Aberto","Fechado"))</f>
        <v/>
      </c>
    </row>
    <row r="452">
      <c r="C452" s="6" t="n"/>
      <c r="E452" s="7" t="n"/>
      <c r="F452" s="8" t="n"/>
      <c r="G452" s="8" t="n"/>
      <c r="H452" s="8" t="n"/>
      <c r="J452" s="7" t="n"/>
      <c r="K452" s="8" t="n"/>
      <c r="L452" s="7" t="n"/>
      <c r="M452" s="8" t="n"/>
      <c r="N452" s="7" t="n"/>
      <c r="O452" s="8" t="n"/>
      <c r="P452" s="6" t="n"/>
      <c r="Q452" s="8" t="n"/>
      <c r="S452" s="8">
        <f>IF(B452="","",E452*F452)</f>
        <v/>
      </c>
      <c r="T452" s="8">
        <f>IF(OR(B452="",N(G452)=0),"",ABS(F452-G452)*E452)</f>
        <v/>
      </c>
      <c r="U452" s="8">
        <f>IF(OR(B452="",P452=""),"",IF(D452="Venda",-1,1)*((N(J452)*N(K452)+N(L452)*N(M452)+N(N452)*N(O452))-(N(J452)+N(L452)+N(N452))*F452)-N(Q452))</f>
        <v/>
      </c>
      <c r="V452" s="9">
        <f>IF(OR(B452="",P452=""),"",U452/S452)</f>
        <v/>
      </c>
      <c r="W452">
        <f>IF(OR(B452="",P452=""),"",NETWORKDAYS(C452,P452)-1)</f>
        <v/>
      </c>
      <c r="X452">
        <f>IF(B452="","",IF(P452="","Aberto","Fechado"))</f>
        <v/>
      </c>
    </row>
    <row r="453">
      <c r="C453" s="6" t="n"/>
      <c r="E453" s="7" t="n"/>
      <c r="F453" s="8" t="n"/>
      <c r="G453" s="8" t="n"/>
      <c r="H453" s="8" t="n"/>
      <c r="J453" s="7" t="n"/>
      <c r="K453" s="8" t="n"/>
      <c r="L453" s="7" t="n"/>
      <c r="M453" s="8" t="n"/>
      <c r="N453" s="7" t="n"/>
      <c r="O453" s="8" t="n"/>
      <c r="P453" s="6" t="n"/>
      <c r="Q453" s="8" t="n"/>
      <c r="S453" s="8">
        <f>IF(B453="","",E453*F453)</f>
        <v/>
      </c>
      <c r="T453" s="8">
        <f>IF(OR(B453="",N(G453)=0),"",ABS(F453-G453)*E453)</f>
        <v/>
      </c>
      <c r="U453" s="8">
        <f>IF(OR(B453="",P453=""),"",IF(D453="Venda",-1,1)*((N(J453)*N(K453)+N(L453)*N(M453)+N(N453)*N(O453))-(N(J453)+N(L453)+N(N453))*F453)-N(Q453))</f>
        <v/>
      </c>
      <c r="V453" s="9">
        <f>IF(OR(B453="",P453=""),"",U453/S453)</f>
        <v/>
      </c>
      <c r="W453">
        <f>IF(OR(B453="",P453=""),"",NETWORKDAYS(C453,P453)-1)</f>
        <v/>
      </c>
      <c r="X453">
        <f>IF(B453="","",IF(P453="","Aberto","Fechado"))</f>
        <v/>
      </c>
    </row>
    <row r="454">
      <c r="C454" s="6" t="n"/>
      <c r="E454" s="7" t="n"/>
      <c r="F454" s="8" t="n"/>
      <c r="G454" s="8" t="n"/>
      <c r="H454" s="8" t="n"/>
      <c r="J454" s="7" t="n"/>
      <c r="K454" s="8" t="n"/>
      <c r="L454" s="7" t="n"/>
      <c r="M454" s="8" t="n"/>
      <c r="N454" s="7" t="n"/>
      <c r="O454" s="8" t="n"/>
      <c r="P454" s="6" t="n"/>
      <c r="Q454" s="8" t="n"/>
      <c r="S454" s="8">
        <f>IF(B454="","",E454*F454)</f>
        <v/>
      </c>
      <c r="T454" s="8">
        <f>IF(OR(B454="",N(G454)=0),"",ABS(F454-G454)*E454)</f>
        <v/>
      </c>
      <c r="U454" s="8">
        <f>IF(OR(B454="",P454=""),"",IF(D454="Venda",-1,1)*((N(J454)*N(K454)+N(L454)*N(M454)+N(N454)*N(O454))-(N(J454)+N(L454)+N(N454))*F454)-N(Q454))</f>
        <v/>
      </c>
      <c r="V454" s="9">
        <f>IF(OR(B454="",P454=""),"",U454/S454)</f>
        <v/>
      </c>
      <c r="W454">
        <f>IF(OR(B454="",P454=""),"",NETWORKDAYS(C454,P454)-1)</f>
        <v/>
      </c>
      <c r="X454">
        <f>IF(B454="","",IF(P454="","Aberto","Fechado"))</f>
        <v/>
      </c>
    </row>
    <row r="455">
      <c r="C455" s="6" t="n"/>
      <c r="E455" s="7" t="n"/>
      <c r="F455" s="8" t="n"/>
      <c r="G455" s="8" t="n"/>
      <c r="H455" s="8" t="n"/>
      <c r="J455" s="7" t="n"/>
      <c r="K455" s="8" t="n"/>
      <c r="L455" s="7" t="n"/>
      <c r="M455" s="8" t="n"/>
      <c r="N455" s="7" t="n"/>
      <c r="O455" s="8" t="n"/>
      <c r="P455" s="6" t="n"/>
      <c r="Q455" s="8" t="n"/>
      <c r="S455" s="8">
        <f>IF(B455="","",E455*F455)</f>
        <v/>
      </c>
      <c r="T455" s="8">
        <f>IF(OR(B455="",N(G455)=0),"",ABS(F455-G455)*E455)</f>
        <v/>
      </c>
      <c r="U455" s="8">
        <f>IF(OR(B455="",P455=""),"",IF(D455="Venda",-1,1)*((N(J455)*N(K455)+N(L455)*N(M455)+N(N455)*N(O455))-(N(J455)+N(L455)+N(N455))*F455)-N(Q455))</f>
        <v/>
      </c>
      <c r="V455" s="9">
        <f>IF(OR(B455="",P455=""),"",U455/S455)</f>
        <v/>
      </c>
      <c r="W455">
        <f>IF(OR(B455="",P455=""),"",NETWORKDAYS(C455,P455)-1)</f>
        <v/>
      </c>
      <c r="X455">
        <f>IF(B455="","",IF(P455="","Aberto","Fechado"))</f>
        <v/>
      </c>
    </row>
    <row r="456">
      <c r="C456" s="6" t="n"/>
      <c r="E456" s="7" t="n"/>
      <c r="F456" s="8" t="n"/>
      <c r="G456" s="8" t="n"/>
      <c r="H456" s="8" t="n"/>
      <c r="J456" s="7" t="n"/>
      <c r="K456" s="8" t="n"/>
      <c r="L456" s="7" t="n"/>
      <c r="M456" s="8" t="n"/>
      <c r="N456" s="7" t="n"/>
      <c r="O456" s="8" t="n"/>
      <c r="P456" s="6" t="n"/>
      <c r="Q456" s="8" t="n"/>
      <c r="S456" s="8">
        <f>IF(B456="","",E456*F456)</f>
        <v/>
      </c>
      <c r="T456" s="8">
        <f>IF(OR(B456="",N(G456)=0),"",ABS(F456-G456)*E456)</f>
        <v/>
      </c>
      <c r="U456" s="8">
        <f>IF(OR(B456="",P456=""),"",IF(D456="Venda",-1,1)*((N(J456)*N(K456)+N(L456)*N(M456)+N(N456)*N(O456))-(N(J456)+N(L456)+N(N456))*F456)-N(Q456))</f>
        <v/>
      </c>
      <c r="V456" s="9">
        <f>IF(OR(B456="",P456=""),"",U456/S456)</f>
        <v/>
      </c>
      <c r="W456">
        <f>IF(OR(B456="",P456=""),"",NETWORKDAYS(C456,P456)-1)</f>
        <v/>
      </c>
      <c r="X456">
        <f>IF(B456="","",IF(P456="","Aberto","Fechado"))</f>
        <v/>
      </c>
    </row>
    <row r="457">
      <c r="C457" s="6" t="n"/>
      <c r="E457" s="7" t="n"/>
      <c r="F457" s="8" t="n"/>
      <c r="G457" s="8" t="n"/>
      <c r="H457" s="8" t="n"/>
      <c r="J457" s="7" t="n"/>
      <c r="K457" s="8" t="n"/>
      <c r="L457" s="7" t="n"/>
      <c r="M457" s="8" t="n"/>
      <c r="N457" s="7" t="n"/>
      <c r="O457" s="8" t="n"/>
      <c r="P457" s="6" t="n"/>
      <c r="Q457" s="8" t="n"/>
      <c r="S457" s="8">
        <f>IF(B457="","",E457*F457)</f>
        <v/>
      </c>
      <c r="T457" s="8">
        <f>IF(OR(B457="",N(G457)=0),"",ABS(F457-G457)*E457)</f>
        <v/>
      </c>
      <c r="U457" s="8">
        <f>IF(OR(B457="",P457=""),"",IF(D457="Venda",-1,1)*((N(J457)*N(K457)+N(L457)*N(M457)+N(N457)*N(O457))-(N(J457)+N(L457)+N(N457))*F457)-N(Q457))</f>
        <v/>
      </c>
      <c r="V457" s="9">
        <f>IF(OR(B457="",P457=""),"",U457/S457)</f>
        <v/>
      </c>
      <c r="W457">
        <f>IF(OR(B457="",P457=""),"",NETWORKDAYS(C457,P457)-1)</f>
        <v/>
      </c>
      <c r="X457">
        <f>IF(B457="","",IF(P457="","Aberto","Fechado"))</f>
        <v/>
      </c>
    </row>
    <row r="458">
      <c r="C458" s="6" t="n"/>
      <c r="E458" s="7" t="n"/>
      <c r="F458" s="8" t="n"/>
      <c r="G458" s="8" t="n"/>
      <c r="H458" s="8" t="n"/>
      <c r="J458" s="7" t="n"/>
      <c r="K458" s="8" t="n"/>
      <c r="L458" s="7" t="n"/>
      <c r="M458" s="8" t="n"/>
      <c r="N458" s="7" t="n"/>
      <c r="O458" s="8" t="n"/>
      <c r="P458" s="6" t="n"/>
      <c r="Q458" s="8" t="n"/>
      <c r="S458" s="8">
        <f>IF(B458="","",E458*F458)</f>
        <v/>
      </c>
      <c r="T458" s="8">
        <f>IF(OR(B458="",N(G458)=0),"",ABS(F458-G458)*E458)</f>
        <v/>
      </c>
      <c r="U458" s="8">
        <f>IF(OR(B458="",P458=""),"",IF(D458="Venda",-1,1)*((N(J458)*N(K458)+N(L458)*N(M458)+N(N458)*N(O458))-(N(J458)+N(L458)+N(N458))*F458)-N(Q458))</f>
        <v/>
      </c>
      <c r="V458" s="9">
        <f>IF(OR(B458="",P458=""),"",U458/S458)</f>
        <v/>
      </c>
      <c r="W458">
        <f>IF(OR(B458="",P458=""),"",NETWORKDAYS(C458,P458)-1)</f>
        <v/>
      </c>
      <c r="X458">
        <f>IF(B458="","",IF(P458="","Aberto","Fechado"))</f>
        <v/>
      </c>
    </row>
    <row r="459">
      <c r="C459" s="6" t="n"/>
      <c r="E459" s="7" t="n"/>
      <c r="F459" s="8" t="n"/>
      <c r="G459" s="8" t="n"/>
      <c r="H459" s="8" t="n"/>
      <c r="J459" s="7" t="n"/>
      <c r="K459" s="8" t="n"/>
      <c r="L459" s="7" t="n"/>
      <c r="M459" s="8" t="n"/>
      <c r="N459" s="7" t="n"/>
      <c r="O459" s="8" t="n"/>
      <c r="P459" s="6" t="n"/>
      <c r="Q459" s="8" t="n"/>
      <c r="S459" s="8">
        <f>IF(B459="","",E459*F459)</f>
        <v/>
      </c>
      <c r="T459" s="8">
        <f>IF(OR(B459="",N(G459)=0),"",ABS(F459-G459)*E459)</f>
        <v/>
      </c>
      <c r="U459" s="8">
        <f>IF(OR(B459="",P459=""),"",IF(D459="Venda",-1,1)*((N(J459)*N(K459)+N(L459)*N(M459)+N(N459)*N(O459))-(N(J459)+N(L459)+N(N459))*F459)-N(Q459))</f>
        <v/>
      </c>
      <c r="V459" s="9">
        <f>IF(OR(B459="",P459=""),"",U459/S459)</f>
        <v/>
      </c>
      <c r="W459">
        <f>IF(OR(B459="",P459=""),"",NETWORKDAYS(C459,P459)-1)</f>
        <v/>
      </c>
      <c r="X459">
        <f>IF(B459="","",IF(P459="","Aberto","Fechado"))</f>
        <v/>
      </c>
    </row>
    <row r="460">
      <c r="C460" s="6" t="n"/>
      <c r="E460" s="7" t="n"/>
      <c r="F460" s="8" t="n"/>
      <c r="G460" s="8" t="n"/>
      <c r="H460" s="8" t="n"/>
      <c r="J460" s="7" t="n"/>
      <c r="K460" s="8" t="n"/>
      <c r="L460" s="7" t="n"/>
      <c r="M460" s="8" t="n"/>
      <c r="N460" s="7" t="n"/>
      <c r="O460" s="8" t="n"/>
      <c r="P460" s="6" t="n"/>
      <c r="Q460" s="8" t="n"/>
      <c r="S460" s="8">
        <f>IF(B460="","",E460*F460)</f>
        <v/>
      </c>
      <c r="T460" s="8">
        <f>IF(OR(B460="",N(G460)=0),"",ABS(F460-G460)*E460)</f>
        <v/>
      </c>
      <c r="U460" s="8">
        <f>IF(OR(B460="",P460=""),"",IF(D460="Venda",-1,1)*((N(J460)*N(K460)+N(L460)*N(M460)+N(N460)*N(O460))-(N(J460)+N(L460)+N(N460))*F460)-N(Q460))</f>
        <v/>
      </c>
      <c r="V460" s="9">
        <f>IF(OR(B460="",P460=""),"",U460/S460)</f>
        <v/>
      </c>
      <c r="W460">
        <f>IF(OR(B460="",P460=""),"",NETWORKDAYS(C460,P460)-1)</f>
        <v/>
      </c>
      <c r="X460">
        <f>IF(B460="","",IF(P460="","Aberto","Fechado"))</f>
        <v/>
      </c>
    </row>
    <row r="461">
      <c r="C461" s="6" t="n"/>
      <c r="E461" s="7" t="n"/>
      <c r="F461" s="8" t="n"/>
      <c r="G461" s="8" t="n"/>
      <c r="H461" s="8" t="n"/>
      <c r="J461" s="7" t="n"/>
      <c r="K461" s="8" t="n"/>
      <c r="L461" s="7" t="n"/>
      <c r="M461" s="8" t="n"/>
      <c r="N461" s="7" t="n"/>
      <c r="O461" s="8" t="n"/>
      <c r="P461" s="6" t="n"/>
      <c r="Q461" s="8" t="n"/>
      <c r="S461" s="8">
        <f>IF(B461="","",E461*F461)</f>
        <v/>
      </c>
      <c r="T461" s="8">
        <f>IF(OR(B461="",N(G461)=0),"",ABS(F461-G461)*E461)</f>
        <v/>
      </c>
      <c r="U461" s="8">
        <f>IF(OR(B461="",P461=""),"",IF(D461="Venda",-1,1)*((N(J461)*N(K461)+N(L461)*N(M461)+N(N461)*N(O461))-(N(J461)+N(L461)+N(N461))*F461)-N(Q461))</f>
        <v/>
      </c>
      <c r="V461" s="9">
        <f>IF(OR(B461="",P461=""),"",U461/S461)</f>
        <v/>
      </c>
      <c r="W461">
        <f>IF(OR(B461="",P461=""),"",NETWORKDAYS(C461,P461)-1)</f>
        <v/>
      </c>
      <c r="X461">
        <f>IF(B461="","",IF(P461="","Aberto","Fechado"))</f>
        <v/>
      </c>
    </row>
    <row r="462">
      <c r="C462" s="6" t="n"/>
      <c r="E462" s="7" t="n"/>
      <c r="F462" s="8" t="n"/>
      <c r="G462" s="8" t="n"/>
      <c r="H462" s="8" t="n"/>
      <c r="J462" s="7" t="n"/>
      <c r="K462" s="8" t="n"/>
      <c r="L462" s="7" t="n"/>
      <c r="M462" s="8" t="n"/>
      <c r="N462" s="7" t="n"/>
      <c r="O462" s="8" t="n"/>
      <c r="P462" s="6" t="n"/>
      <c r="Q462" s="8" t="n"/>
      <c r="S462" s="8">
        <f>IF(B462="","",E462*F462)</f>
        <v/>
      </c>
      <c r="T462" s="8">
        <f>IF(OR(B462="",N(G462)=0),"",ABS(F462-G462)*E462)</f>
        <v/>
      </c>
      <c r="U462" s="8">
        <f>IF(OR(B462="",P462=""),"",IF(D462="Venda",-1,1)*((N(J462)*N(K462)+N(L462)*N(M462)+N(N462)*N(O462))-(N(J462)+N(L462)+N(N462))*F462)-N(Q462))</f>
        <v/>
      </c>
      <c r="V462" s="9">
        <f>IF(OR(B462="",P462=""),"",U462/S462)</f>
        <v/>
      </c>
      <c r="W462">
        <f>IF(OR(B462="",P462=""),"",NETWORKDAYS(C462,P462)-1)</f>
        <v/>
      </c>
      <c r="X462">
        <f>IF(B462="","",IF(P462="","Aberto","Fechado"))</f>
        <v/>
      </c>
    </row>
    <row r="463">
      <c r="C463" s="6" t="n"/>
      <c r="E463" s="7" t="n"/>
      <c r="F463" s="8" t="n"/>
      <c r="G463" s="8" t="n"/>
      <c r="H463" s="8" t="n"/>
      <c r="J463" s="7" t="n"/>
      <c r="K463" s="8" t="n"/>
      <c r="L463" s="7" t="n"/>
      <c r="M463" s="8" t="n"/>
      <c r="N463" s="7" t="n"/>
      <c r="O463" s="8" t="n"/>
      <c r="P463" s="6" t="n"/>
      <c r="Q463" s="8" t="n"/>
      <c r="S463" s="8">
        <f>IF(B463="","",E463*F463)</f>
        <v/>
      </c>
      <c r="T463" s="8">
        <f>IF(OR(B463="",N(G463)=0),"",ABS(F463-G463)*E463)</f>
        <v/>
      </c>
      <c r="U463" s="8">
        <f>IF(OR(B463="",P463=""),"",IF(D463="Venda",-1,1)*((N(J463)*N(K463)+N(L463)*N(M463)+N(N463)*N(O463))-(N(J463)+N(L463)+N(N463))*F463)-N(Q463))</f>
        <v/>
      </c>
      <c r="V463" s="9">
        <f>IF(OR(B463="",P463=""),"",U463/S463)</f>
        <v/>
      </c>
      <c r="W463">
        <f>IF(OR(B463="",P463=""),"",NETWORKDAYS(C463,P463)-1)</f>
        <v/>
      </c>
      <c r="X463">
        <f>IF(B463="","",IF(P463="","Aberto","Fechado"))</f>
        <v/>
      </c>
    </row>
    <row r="464">
      <c r="C464" s="6" t="n"/>
      <c r="E464" s="7" t="n"/>
      <c r="F464" s="8" t="n"/>
      <c r="G464" s="8" t="n"/>
      <c r="H464" s="8" t="n"/>
      <c r="J464" s="7" t="n"/>
      <c r="K464" s="8" t="n"/>
      <c r="L464" s="7" t="n"/>
      <c r="M464" s="8" t="n"/>
      <c r="N464" s="7" t="n"/>
      <c r="O464" s="8" t="n"/>
      <c r="P464" s="6" t="n"/>
      <c r="Q464" s="8" t="n"/>
      <c r="S464" s="8">
        <f>IF(B464="","",E464*F464)</f>
        <v/>
      </c>
      <c r="T464" s="8">
        <f>IF(OR(B464="",N(G464)=0),"",ABS(F464-G464)*E464)</f>
        <v/>
      </c>
      <c r="U464" s="8">
        <f>IF(OR(B464="",P464=""),"",IF(D464="Venda",-1,1)*((N(J464)*N(K464)+N(L464)*N(M464)+N(N464)*N(O464))-(N(J464)+N(L464)+N(N464))*F464)-N(Q464))</f>
        <v/>
      </c>
      <c r="V464" s="9">
        <f>IF(OR(B464="",P464=""),"",U464/S464)</f>
        <v/>
      </c>
      <c r="W464">
        <f>IF(OR(B464="",P464=""),"",NETWORKDAYS(C464,P464)-1)</f>
        <v/>
      </c>
      <c r="X464">
        <f>IF(B464="","",IF(P464="","Aberto","Fechado"))</f>
        <v/>
      </c>
    </row>
    <row r="465">
      <c r="C465" s="6" t="n"/>
      <c r="E465" s="7" t="n"/>
      <c r="F465" s="8" t="n"/>
      <c r="G465" s="8" t="n"/>
      <c r="H465" s="8" t="n"/>
      <c r="J465" s="7" t="n"/>
      <c r="K465" s="8" t="n"/>
      <c r="L465" s="7" t="n"/>
      <c r="M465" s="8" t="n"/>
      <c r="N465" s="7" t="n"/>
      <c r="O465" s="8" t="n"/>
      <c r="P465" s="6" t="n"/>
      <c r="Q465" s="8" t="n"/>
      <c r="S465" s="8">
        <f>IF(B465="","",E465*F465)</f>
        <v/>
      </c>
      <c r="T465" s="8">
        <f>IF(OR(B465="",N(G465)=0),"",ABS(F465-G465)*E465)</f>
        <v/>
      </c>
      <c r="U465" s="8">
        <f>IF(OR(B465="",P465=""),"",IF(D465="Venda",-1,1)*((N(J465)*N(K465)+N(L465)*N(M465)+N(N465)*N(O465))-(N(J465)+N(L465)+N(N465))*F465)-N(Q465))</f>
        <v/>
      </c>
      <c r="V465" s="9">
        <f>IF(OR(B465="",P465=""),"",U465/S465)</f>
        <v/>
      </c>
      <c r="W465">
        <f>IF(OR(B465="",P465=""),"",NETWORKDAYS(C465,P465)-1)</f>
        <v/>
      </c>
      <c r="X465">
        <f>IF(B465="","",IF(P465="","Aberto","Fechado"))</f>
        <v/>
      </c>
    </row>
    <row r="466">
      <c r="C466" s="6" t="n"/>
      <c r="E466" s="7" t="n"/>
      <c r="F466" s="8" t="n"/>
      <c r="G466" s="8" t="n"/>
      <c r="H466" s="8" t="n"/>
      <c r="J466" s="7" t="n"/>
      <c r="K466" s="8" t="n"/>
      <c r="L466" s="7" t="n"/>
      <c r="M466" s="8" t="n"/>
      <c r="N466" s="7" t="n"/>
      <c r="O466" s="8" t="n"/>
      <c r="P466" s="6" t="n"/>
      <c r="Q466" s="8" t="n"/>
      <c r="S466" s="8">
        <f>IF(B466="","",E466*F466)</f>
        <v/>
      </c>
      <c r="T466" s="8">
        <f>IF(OR(B466="",N(G466)=0),"",ABS(F466-G466)*E466)</f>
        <v/>
      </c>
      <c r="U466" s="8">
        <f>IF(OR(B466="",P466=""),"",IF(D466="Venda",-1,1)*((N(J466)*N(K466)+N(L466)*N(M466)+N(N466)*N(O466))-(N(J466)+N(L466)+N(N466))*F466)-N(Q466))</f>
        <v/>
      </c>
      <c r="V466" s="9">
        <f>IF(OR(B466="",P466=""),"",U466/S466)</f>
        <v/>
      </c>
      <c r="W466">
        <f>IF(OR(B466="",P466=""),"",NETWORKDAYS(C466,P466)-1)</f>
        <v/>
      </c>
      <c r="X466">
        <f>IF(B466="","",IF(P466="","Aberto","Fechado"))</f>
        <v/>
      </c>
    </row>
    <row r="467">
      <c r="C467" s="6" t="n"/>
      <c r="E467" s="7" t="n"/>
      <c r="F467" s="8" t="n"/>
      <c r="G467" s="8" t="n"/>
      <c r="H467" s="8" t="n"/>
      <c r="J467" s="7" t="n"/>
      <c r="K467" s="8" t="n"/>
      <c r="L467" s="7" t="n"/>
      <c r="M467" s="8" t="n"/>
      <c r="N467" s="7" t="n"/>
      <c r="O467" s="8" t="n"/>
      <c r="P467" s="6" t="n"/>
      <c r="Q467" s="8" t="n"/>
      <c r="S467" s="8">
        <f>IF(B467="","",E467*F467)</f>
        <v/>
      </c>
      <c r="T467" s="8">
        <f>IF(OR(B467="",N(G467)=0),"",ABS(F467-G467)*E467)</f>
        <v/>
      </c>
      <c r="U467" s="8">
        <f>IF(OR(B467="",P467=""),"",IF(D467="Venda",-1,1)*((N(J467)*N(K467)+N(L467)*N(M467)+N(N467)*N(O467))-(N(J467)+N(L467)+N(N467))*F467)-N(Q467))</f>
        <v/>
      </c>
      <c r="V467" s="9">
        <f>IF(OR(B467="",P467=""),"",U467/S467)</f>
        <v/>
      </c>
      <c r="W467">
        <f>IF(OR(B467="",P467=""),"",NETWORKDAYS(C467,P467)-1)</f>
        <v/>
      </c>
      <c r="X467">
        <f>IF(B467="","",IF(P467="","Aberto","Fechado"))</f>
        <v/>
      </c>
    </row>
    <row r="468">
      <c r="C468" s="6" t="n"/>
      <c r="E468" s="7" t="n"/>
      <c r="F468" s="8" t="n"/>
      <c r="G468" s="8" t="n"/>
      <c r="H468" s="8" t="n"/>
      <c r="J468" s="7" t="n"/>
      <c r="K468" s="8" t="n"/>
      <c r="L468" s="7" t="n"/>
      <c r="M468" s="8" t="n"/>
      <c r="N468" s="7" t="n"/>
      <c r="O468" s="8" t="n"/>
      <c r="P468" s="6" t="n"/>
      <c r="Q468" s="8" t="n"/>
      <c r="S468" s="8">
        <f>IF(B468="","",E468*F468)</f>
        <v/>
      </c>
      <c r="T468" s="8">
        <f>IF(OR(B468="",N(G468)=0),"",ABS(F468-G468)*E468)</f>
        <v/>
      </c>
      <c r="U468" s="8">
        <f>IF(OR(B468="",P468=""),"",IF(D468="Venda",-1,1)*((N(J468)*N(K468)+N(L468)*N(M468)+N(N468)*N(O468))-(N(J468)+N(L468)+N(N468))*F468)-N(Q468))</f>
        <v/>
      </c>
      <c r="V468" s="9">
        <f>IF(OR(B468="",P468=""),"",U468/S468)</f>
        <v/>
      </c>
      <c r="W468">
        <f>IF(OR(B468="",P468=""),"",NETWORKDAYS(C468,P468)-1)</f>
        <v/>
      </c>
      <c r="X468">
        <f>IF(B468="","",IF(P468="","Aberto","Fechado"))</f>
        <v/>
      </c>
    </row>
    <row r="469">
      <c r="C469" s="6" t="n"/>
      <c r="E469" s="7" t="n"/>
      <c r="F469" s="8" t="n"/>
      <c r="G469" s="8" t="n"/>
      <c r="H469" s="8" t="n"/>
      <c r="J469" s="7" t="n"/>
      <c r="K469" s="8" t="n"/>
      <c r="L469" s="7" t="n"/>
      <c r="M469" s="8" t="n"/>
      <c r="N469" s="7" t="n"/>
      <c r="O469" s="8" t="n"/>
      <c r="P469" s="6" t="n"/>
      <c r="Q469" s="8" t="n"/>
      <c r="S469" s="8">
        <f>IF(B469="","",E469*F469)</f>
        <v/>
      </c>
      <c r="T469" s="8">
        <f>IF(OR(B469="",N(G469)=0),"",ABS(F469-G469)*E469)</f>
        <v/>
      </c>
      <c r="U469" s="8">
        <f>IF(OR(B469="",P469=""),"",IF(D469="Venda",-1,1)*((N(J469)*N(K469)+N(L469)*N(M469)+N(N469)*N(O469))-(N(J469)+N(L469)+N(N469))*F469)-N(Q469))</f>
        <v/>
      </c>
      <c r="V469" s="9">
        <f>IF(OR(B469="",P469=""),"",U469/S469)</f>
        <v/>
      </c>
      <c r="W469">
        <f>IF(OR(B469="",P469=""),"",NETWORKDAYS(C469,P469)-1)</f>
        <v/>
      </c>
      <c r="X469">
        <f>IF(B469="","",IF(P469="","Aberto","Fechado"))</f>
        <v/>
      </c>
    </row>
    <row r="470">
      <c r="C470" s="6" t="n"/>
      <c r="E470" s="7" t="n"/>
      <c r="F470" s="8" t="n"/>
      <c r="G470" s="8" t="n"/>
      <c r="H470" s="8" t="n"/>
      <c r="J470" s="7" t="n"/>
      <c r="K470" s="8" t="n"/>
      <c r="L470" s="7" t="n"/>
      <c r="M470" s="8" t="n"/>
      <c r="N470" s="7" t="n"/>
      <c r="O470" s="8" t="n"/>
      <c r="P470" s="6" t="n"/>
      <c r="Q470" s="8" t="n"/>
      <c r="S470" s="8">
        <f>IF(B470="","",E470*F470)</f>
        <v/>
      </c>
      <c r="T470" s="8">
        <f>IF(OR(B470="",N(G470)=0),"",ABS(F470-G470)*E470)</f>
        <v/>
      </c>
      <c r="U470" s="8">
        <f>IF(OR(B470="",P470=""),"",IF(D470="Venda",-1,1)*((N(J470)*N(K470)+N(L470)*N(M470)+N(N470)*N(O470))-(N(J470)+N(L470)+N(N470))*F470)-N(Q470))</f>
        <v/>
      </c>
      <c r="V470" s="9">
        <f>IF(OR(B470="",P470=""),"",U470/S470)</f>
        <v/>
      </c>
      <c r="W470">
        <f>IF(OR(B470="",P470=""),"",NETWORKDAYS(C470,P470)-1)</f>
        <v/>
      </c>
      <c r="X470">
        <f>IF(B470="","",IF(P470="","Aberto","Fechado"))</f>
        <v/>
      </c>
    </row>
    <row r="471">
      <c r="C471" s="6" t="n"/>
      <c r="E471" s="7" t="n"/>
      <c r="F471" s="8" t="n"/>
      <c r="G471" s="8" t="n"/>
      <c r="H471" s="8" t="n"/>
      <c r="J471" s="7" t="n"/>
      <c r="K471" s="8" t="n"/>
      <c r="L471" s="7" t="n"/>
      <c r="M471" s="8" t="n"/>
      <c r="N471" s="7" t="n"/>
      <c r="O471" s="8" t="n"/>
      <c r="P471" s="6" t="n"/>
      <c r="Q471" s="8" t="n"/>
      <c r="S471" s="8">
        <f>IF(B471="","",E471*F471)</f>
        <v/>
      </c>
      <c r="T471" s="8">
        <f>IF(OR(B471="",N(G471)=0),"",ABS(F471-G471)*E471)</f>
        <v/>
      </c>
      <c r="U471" s="8">
        <f>IF(OR(B471="",P471=""),"",IF(D471="Venda",-1,1)*((N(J471)*N(K471)+N(L471)*N(M471)+N(N471)*N(O471))-(N(J471)+N(L471)+N(N471))*F471)-N(Q471))</f>
        <v/>
      </c>
      <c r="V471" s="9">
        <f>IF(OR(B471="",P471=""),"",U471/S471)</f>
        <v/>
      </c>
      <c r="W471">
        <f>IF(OR(B471="",P471=""),"",NETWORKDAYS(C471,P471)-1)</f>
        <v/>
      </c>
      <c r="X471">
        <f>IF(B471="","",IF(P471="","Aberto","Fechado"))</f>
        <v/>
      </c>
    </row>
    <row r="472">
      <c r="C472" s="6" t="n"/>
      <c r="E472" s="7" t="n"/>
      <c r="F472" s="8" t="n"/>
      <c r="G472" s="8" t="n"/>
      <c r="H472" s="8" t="n"/>
      <c r="J472" s="7" t="n"/>
      <c r="K472" s="8" t="n"/>
      <c r="L472" s="7" t="n"/>
      <c r="M472" s="8" t="n"/>
      <c r="N472" s="7" t="n"/>
      <c r="O472" s="8" t="n"/>
      <c r="P472" s="6" t="n"/>
      <c r="Q472" s="8" t="n"/>
      <c r="S472" s="8">
        <f>IF(B472="","",E472*F472)</f>
        <v/>
      </c>
      <c r="T472" s="8">
        <f>IF(OR(B472="",N(G472)=0),"",ABS(F472-G472)*E472)</f>
        <v/>
      </c>
      <c r="U472" s="8">
        <f>IF(OR(B472="",P472=""),"",IF(D472="Venda",-1,1)*((N(J472)*N(K472)+N(L472)*N(M472)+N(N472)*N(O472))-(N(J472)+N(L472)+N(N472))*F472)-N(Q472))</f>
        <v/>
      </c>
      <c r="V472" s="9">
        <f>IF(OR(B472="",P472=""),"",U472/S472)</f>
        <v/>
      </c>
      <c r="W472">
        <f>IF(OR(B472="",P472=""),"",NETWORKDAYS(C472,P472)-1)</f>
        <v/>
      </c>
      <c r="X472">
        <f>IF(B472="","",IF(P472="","Aberto","Fechado"))</f>
        <v/>
      </c>
    </row>
    <row r="473">
      <c r="C473" s="6" t="n"/>
      <c r="E473" s="7" t="n"/>
      <c r="F473" s="8" t="n"/>
      <c r="G473" s="8" t="n"/>
      <c r="H473" s="8" t="n"/>
      <c r="J473" s="7" t="n"/>
      <c r="K473" s="8" t="n"/>
      <c r="L473" s="7" t="n"/>
      <c r="M473" s="8" t="n"/>
      <c r="N473" s="7" t="n"/>
      <c r="O473" s="8" t="n"/>
      <c r="P473" s="6" t="n"/>
      <c r="Q473" s="8" t="n"/>
      <c r="S473" s="8">
        <f>IF(B473="","",E473*F473)</f>
        <v/>
      </c>
      <c r="T473" s="8">
        <f>IF(OR(B473="",N(G473)=0),"",ABS(F473-G473)*E473)</f>
        <v/>
      </c>
      <c r="U473" s="8">
        <f>IF(OR(B473="",P473=""),"",IF(D473="Venda",-1,1)*((N(J473)*N(K473)+N(L473)*N(M473)+N(N473)*N(O473))-(N(J473)+N(L473)+N(N473))*F473)-N(Q473))</f>
        <v/>
      </c>
      <c r="V473" s="9">
        <f>IF(OR(B473="",P473=""),"",U473/S473)</f>
        <v/>
      </c>
      <c r="W473">
        <f>IF(OR(B473="",P473=""),"",NETWORKDAYS(C473,P473)-1)</f>
        <v/>
      </c>
      <c r="X473">
        <f>IF(B473="","",IF(P473="","Aberto","Fechado"))</f>
        <v/>
      </c>
    </row>
    <row r="474">
      <c r="C474" s="6" t="n"/>
      <c r="E474" s="7" t="n"/>
      <c r="F474" s="8" t="n"/>
      <c r="G474" s="8" t="n"/>
      <c r="H474" s="8" t="n"/>
      <c r="J474" s="7" t="n"/>
      <c r="K474" s="8" t="n"/>
      <c r="L474" s="7" t="n"/>
      <c r="M474" s="8" t="n"/>
      <c r="N474" s="7" t="n"/>
      <c r="O474" s="8" t="n"/>
      <c r="P474" s="6" t="n"/>
      <c r="Q474" s="8" t="n"/>
      <c r="S474" s="8">
        <f>IF(B474="","",E474*F474)</f>
        <v/>
      </c>
      <c r="T474" s="8">
        <f>IF(OR(B474="",N(G474)=0),"",ABS(F474-G474)*E474)</f>
        <v/>
      </c>
      <c r="U474" s="8">
        <f>IF(OR(B474="",P474=""),"",IF(D474="Venda",-1,1)*((N(J474)*N(K474)+N(L474)*N(M474)+N(N474)*N(O474))-(N(J474)+N(L474)+N(N474))*F474)-N(Q474))</f>
        <v/>
      </c>
      <c r="V474" s="9">
        <f>IF(OR(B474="",P474=""),"",U474/S474)</f>
        <v/>
      </c>
      <c r="W474">
        <f>IF(OR(B474="",P474=""),"",NETWORKDAYS(C474,P474)-1)</f>
        <v/>
      </c>
      <c r="X474">
        <f>IF(B474="","",IF(P474="","Aberto","Fechado"))</f>
        <v/>
      </c>
    </row>
    <row r="475">
      <c r="C475" s="6" t="n"/>
      <c r="E475" s="7" t="n"/>
      <c r="F475" s="8" t="n"/>
      <c r="G475" s="8" t="n"/>
      <c r="H475" s="8" t="n"/>
      <c r="J475" s="7" t="n"/>
      <c r="K475" s="8" t="n"/>
      <c r="L475" s="7" t="n"/>
      <c r="M475" s="8" t="n"/>
      <c r="N475" s="7" t="n"/>
      <c r="O475" s="8" t="n"/>
      <c r="P475" s="6" t="n"/>
      <c r="Q475" s="8" t="n"/>
      <c r="S475" s="8">
        <f>IF(B475="","",E475*F475)</f>
        <v/>
      </c>
      <c r="T475" s="8">
        <f>IF(OR(B475="",N(G475)=0),"",ABS(F475-G475)*E475)</f>
        <v/>
      </c>
      <c r="U475" s="8">
        <f>IF(OR(B475="",P475=""),"",IF(D475="Venda",-1,1)*((N(J475)*N(K475)+N(L475)*N(M475)+N(N475)*N(O475))-(N(J475)+N(L475)+N(N475))*F475)-N(Q475))</f>
        <v/>
      </c>
      <c r="V475" s="9">
        <f>IF(OR(B475="",P475=""),"",U475/S475)</f>
        <v/>
      </c>
      <c r="W475">
        <f>IF(OR(B475="",P475=""),"",NETWORKDAYS(C475,P475)-1)</f>
        <v/>
      </c>
      <c r="X475">
        <f>IF(B475="","",IF(P475="","Aberto","Fechado"))</f>
        <v/>
      </c>
    </row>
    <row r="476">
      <c r="C476" s="6" t="n"/>
      <c r="E476" s="7" t="n"/>
      <c r="F476" s="8" t="n"/>
      <c r="G476" s="8" t="n"/>
      <c r="H476" s="8" t="n"/>
      <c r="J476" s="7" t="n"/>
      <c r="K476" s="8" t="n"/>
      <c r="L476" s="7" t="n"/>
      <c r="M476" s="8" t="n"/>
      <c r="N476" s="7" t="n"/>
      <c r="O476" s="8" t="n"/>
      <c r="P476" s="6" t="n"/>
      <c r="Q476" s="8" t="n"/>
      <c r="S476" s="8">
        <f>IF(B476="","",E476*F476)</f>
        <v/>
      </c>
      <c r="T476" s="8">
        <f>IF(OR(B476="",N(G476)=0),"",ABS(F476-G476)*E476)</f>
        <v/>
      </c>
      <c r="U476" s="8">
        <f>IF(OR(B476="",P476=""),"",IF(D476="Venda",-1,1)*((N(J476)*N(K476)+N(L476)*N(M476)+N(N476)*N(O476))-(N(J476)+N(L476)+N(N476))*F476)-N(Q476))</f>
        <v/>
      </c>
      <c r="V476" s="9">
        <f>IF(OR(B476="",P476=""),"",U476/S476)</f>
        <v/>
      </c>
      <c r="W476">
        <f>IF(OR(B476="",P476=""),"",NETWORKDAYS(C476,P476)-1)</f>
        <v/>
      </c>
      <c r="X476">
        <f>IF(B476="","",IF(P476="","Aberto","Fechado"))</f>
        <v/>
      </c>
    </row>
    <row r="477">
      <c r="C477" s="6" t="n"/>
      <c r="E477" s="7" t="n"/>
      <c r="F477" s="8" t="n"/>
      <c r="G477" s="8" t="n"/>
      <c r="H477" s="8" t="n"/>
      <c r="J477" s="7" t="n"/>
      <c r="K477" s="8" t="n"/>
      <c r="L477" s="7" t="n"/>
      <c r="M477" s="8" t="n"/>
      <c r="N477" s="7" t="n"/>
      <c r="O477" s="8" t="n"/>
      <c r="P477" s="6" t="n"/>
      <c r="Q477" s="8" t="n"/>
      <c r="S477" s="8">
        <f>IF(B477="","",E477*F477)</f>
        <v/>
      </c>
      <c r="T477" s="8">
        <f>IF(OR(B477="",N(G477)=0),"",ABS(F477-G477)*E477)</f>
        <v/>
      </c>
      <c r="U477" s="8">
        <f>IF(OR(B477="",P477=""),"",IF(D477="Venda",-1,1)*((N(J477)*N(K477)+N(L477)*N(M477)+N(N477)*N(O477))-(N(J477)+N(L477)+N(N477))*F477)-N(Q477))</f>
        <v/>
      </c>
      <c r="V477" s="9">
        <f>IF(OR(B477="",P477=""),"",U477/S477)</f>
        <v/>
      </c>
      <c r="W477">
        <f>IF(OR(B477="",P477=""),"",NETWORKDAYS(C477,P477)-1)</f>
        <v/>
      </c>
      <c r="X477">
        <f>IF(B477="","",IF(P477="","Aberto","Fechado"))</f>
        <v/>
      </c>
    </row>
    <row r="478">
      <c r="C478" s="6" t="n"/>
      <c r="E478" s="7" t="n"/>
      <c r="F478" s="8" t="n"/>
      <c r="G478" s="8" t="n"/>
      <c r="H478" s="8" t="n"/>
      <c r="J478" s="7" t="n"/>
      <c r="K478" s="8" t="n"/>
      <c r="L478" s="7" t="n"/>
      <c r="M478" s="8" t="n"/>
      <c r="N478" s="7" t="n"/>
      <c r="O478" s="8" t="n"/>
      <c r="P478" s="6" t="n"/>
      <c r="Q478" s="8" t="n"/>
      <c r="S478" s="8">
        <f>IF(B478="","",E478*F478)</f>
        <v/>
      </c>
      <c r="T478" s="8">
        <f>IF(OR(B478="",N(G478)=0),"",ABS(F478-G478)*E478)</f>
        <v/>
      </c>
      <c r="U478" s="8">
        <f>IF(OR(B478="",P478=""),"",IF(D478="Venda",-1,1)*((N(J478)*N(K478)+N(L478)*N(M478)+N(N478)*N(O478))-(N(J478)+N(L478)+N(N478))*F478)-N(Q478))</f>
        <v/>
      </c>
      <c r="V478" s="9">
        <f>IF(OR(B478="",P478=""),"",U478/S478)</f>
        <v/>
      </c>
      <c r="W478">
        <f>IF(OR(B478="",P478=""),"",NETWORKDAYS(C478,P478)-1)</f>
        <v/>
      </c>
      <c r="X478">
        <f>IF(B478="","",IF(P478="","Aberto","Fechado"))</f>
        <v/>
      </c>
    </row>
    <row r="479">
      <c r="C479" s="6" t="n"/>
      <c r="E479" s="7" t="n"/>
      <c r="F479" s="8" t="n"/>
      <c r="G479" s="8" t="n"/>
      <c r="H479" s="8" t="n"/>
      <c r="J479" s="7" t="n"/>
      <c r="K479" s="8" t="n"/>
      <c r="L479" s="7" t="n"/>
      <c r="M479" s="8" t="n"/>
      <c r="N479" s="7" t="n"/>
      <c r="O479" s="8" t="n"/>
      <c r="P479" s="6" t="n"/>
      <c r="Q479" s="8" t="n"/>
      <c r="S479" s="8">
        <f>IF(B479="","",E479*F479)</f>
        <v/>
      </c>
      <c r="T479" s="8">
        <f>IF(OR(B479="",N(G479)=0),"",ABS(F479-G479)*E479)</f>
        <v/>
      </c>
      <c r="U479" s="8">
        <f>IF(OR(B479="",P479=""),"",IF(D479="Venda",-1,1)*((N(J479)*N(K479)+N(L479)*N(M479)+N(N479)*N(O479))-(N(J479)+N(L479)+N(N479))*F479)-N(Q479))</f>
        <v/>
      </c>
      <c r="V479" s="9">
        <f>IF(OR(B479="",P479=""),"",U479/S479)</f>
        <v/>
      </c>
      <c r="W479">
        <f>IF(OR(B479="",P479=""),"",NETWORKDAYS(C479,P479)-1)</f>
        <v/>
      </c>
      <c r="X479">
        <f>IF(B479="","",IF(P479="","Aberto","Fechado"))</f>
        <v/>
      </c>
    </row>
    <row r="480">
      <c r="C480" s="6" t="n"/>
      <c r="E480" s="7" t="n"/>
      <c r="F480" s="8" t="n"/>
      <c r="G480" s="8" t="n"/>
      <c r="H480" s="8" t="n"/>
      <c r="J480" s="7" t="n"/>
      <c r="K480" s="8" t="n"/>
      <c r="L480" s="7" t="n"/>
      <c r="M480" s="8" t="n"/>
      <c r="N480" s="7" t="n"/>
      <c r="O480" s="8" t="n"/>
      <c r="P480" s="6" t="n"/>
      <c r="Q480" s="8" t="n"/>
      <c r="S480" s="8">
        <f>IF(B480="","",E480*F480)</f>
        <v/>
      </c>
      <c r="T480" s="8">
        <f>IF(OR(B480="",N(G480)=0),"",ABS(F480-G480)*E480)</f>
        <v/>
      </c>
      <c r="U480" s="8">
        <f>IF(OR(B480="",P480=""),"",IF(D480="Venda",-1,1)*((N(J480)*N(K480)+N(L480)*N(M480)+N(N480)*N(O480))-(N(J480)+N(L480)+N(N480))*F480)-N(Q480))</f>
        <v/>
      </c>
      <c r="V480" s="9">
        <f>IF(OR(B480="",P480=""),"",U480/S480)</f>
        <v/>
      </c>
      <c r="W480">
        <f>IF(OR(B480="",P480=""),"",NETWORKDAYS(C480,P480)-1)</f>
        <v/>
      </c>
      <c r="X480">
        <f>IF(B480="","",IF(P480="","Aberto","Fechado"))</f>
        <v/>
      </c>
    </row>
    <row r="481">
      <c r="C481" s="6" t="n"/>
      <c r="E481" s="7" t="n"/>
      <c r="F481" s="8" t="n"/>
      <c r="G481" s="8" t="n"/>
      <c r="H481" s="8" t="n"/>
      <c r="J481" s="7" t="n"/>
      <c r="K481" s="8" t="n"/>
      <c r="L481" s="7" t="n"/>
      <c r="M481" s="8" t="n"/>
      <c r="N481" s="7" t="n"/>
      <c r="O481" s="8" t="n"/>
      <c r="P481" s="6" t="n"/>
      <c r="Q481" s="8" t="n"/>
      <c r="S481" s="8">
        <f>IF(B481="","",E481*F481)</f>
        <v/>
      </c>
      <c r="T481" s="8">
        <f>IF(OR(B481="",N(G481)=0),"",ABS(F481-G481)*E481)</f>
        <v/>
      </c>
      <c r="U481" s="8">
        <f>IF(OR(B481="",P481=""),"",IF(D481="Venda",-1,1)*((N(J481)*N(K481)+N(L481)*N(M481)+N(N481)*N(O481))-(N(J481)+N(L481)+N(N481))*F481)-N(Q481))</f>
        <v/>
      </c>
      <c r="V481" s="9">
        <f>IF(OR(B481="",P481=""),"",U481/S481)</f>
        <v/>
      </c>
      <c r="W481">
        <f>IF(OR(B481="",P481=""),"",NETWORKDAYS(C481,P481)-1)</f>
        <v/>
      </c>
      <c r="X481">
        <f>IF(B481="","",IF(P481="","Aberto","Fechado"))</f>
        <v/>
      </c>
    </row>
    <row r="482">
      <c r="C482" s="6" t="n"/>
      <c r="E482" s="7" t="n"/>
      <c r="F482" s="8" t="n"/>
      <c r="G482" s="8" t="n"/>
      <c r="H482" s="8" t="n"/>
      <c r="J482" s="7" t="n"/>
      <c r="K482" s="8" t="n"/>
      <c r="L482" s="7" t="n"/>
      <c r="M482" s="8" t="n"/>
      <c r="N482" s="7" t="n"/>
      <c r="O482" s="8" t="n"/>
      <c r="P482" s="6" t="n"/>
      <c r="Q482" s="8" t="n"/>
      <c r="S482" s="8">
        <f>IF(B482="","",E482*F482)</f>
        <v/>
      </c>
      <c r="T482" s="8">
        <f>IF(OR(B482="",N(G482)=0),"",ABS(F482-G482)*E482)</f>
        <v/>
      </c>
      <c r="U482" s="8">
        <f>IF(OR(B482="",P482=""),"",IF(D482="Venda",-1,1)*((N(J482)*N(K482)+N(L482)*N(M482)+N(N482)*N(O482))-(N(J482)+N(L482)+N(N482))*F482)-N(Q482))</f>
        <v/>
      </c>
      <c r="V482" s="9">
        <f>IF(OR(B482="",P482=""),"",U482/S482)</f>
        <v/>
      </c>
      <c r="W482">
        <f>IF(OR(B482="",P482=""),"",NETWORKDAYS(C482,P482)-1)</f>
        <v/>
      </c>
      <c r="X482">
        <f>IF(B482="","",IF(P482="","Aberto","Fechado"))</f>
        <v/>
      </c>
    </row>
    <row r="483">
      <c r="C483" s="6" t="n"/>
      <c r="E483" s="7" t="n"/>
      <c r="F483" s="8" t="n"/>
      <c r="G483" s="8" t="n"/>
      <c r="H483" s="8" t="n"/>
      <c r="J483" s="7" t="n"/>
      <c r="K483" s="8" t="n"/>
      <c r="L483" s="7" t="n"/>
      <c r="M483" s="8" t="n"/>
      <c r="N483" s="7" t="n"/>
      <c r="O483" s="8" t="n"/>
      <c r="P483" s="6" t="n"/>
      <c r="Q483" s="8" t="n"/>
      <c r="S483" s="8">
        <f>IF(B483="","",E483*F483)</f>
        <v/>
      </c>
      <c r="T483" s="8">
        <f>IF(OR(B483="",N(G483)=0),"",ABS(F483-G483)*E483)</f>
        <v/>
      </c>
      <c r="U483" s="8">
        <f>IF(OR(B483="",P483=""),"",IF(D483="Venda",-1,1)*((N(J483)*N(K483)+N(L483)*N(M483)+N(N483)*N(O483))-(N(J483)+N(L483)+N(N483))*F483)-N(Q483))</f>
        <v/>
      </c>
      <c r="V483" s="9">
        <f>IF(OR(B483="",P483=""),"",U483/S483)</f>
        <v/>
      </c>
      <c r="W483">
        <f>IF(OR(B483="",P483=""),"",NETWORKDAYS(C483,P483)-1)</f>
        <v/>
      </c>
      <c r="X483">
        <f>IF(B483="","",IF(P483="","Aberto","Fechado"))</f>
        <v/>
      </c>
    </row>
    <row r="484">
      <c r="C484" s="6" t="n"/>
      <c r="E484" s="7" t="n"/>
      <c r="F484" s="8" t="n"/>
      <c r="G484" s="8" t="n"/>
      <c r="H484" s="8" t="n"/>
      <c r="J484" s="7" t="n"/>
      <c r="K484" s="8" t="n"/>
      <c r="L484" s="7" t="n"/>
      <c r="M484" s="8" t="n"/>
      <c r="N484" s="7" t="n"/>
      <c r="O484" s="8" t="n"/>
      <c r="P484" s="6" t="n"/>
      <c r="Q484" s="8" t="n"/>
      <c r="S484" s="8">
        <f>IF(B484="","",E484*F484)</f>
        <v/>
      </c>
      <c r="T484" s="8">
        <f>IF(OR(B484="",N(G484)=0),"",ABS(F484-G484)*E484)</f>
        <v/>
      </c>
      <c r="U484" s="8">
        <f>IF(OR(B484="",P484=""),"",IF(D484="Venda",-1,1)*((N(J484)*N(K484)+N(L484)*N(M484)+N(N484)*N(O484))-(N(J484)+N(L484)+N(N484))*F484)-N(Q484))</f>
        <v/>
      </c>
      <c r="V484" s="9">
        <f>IF(OR(B484="",P484=""),"",U484/S484)</f>
        <v/>
      </c>
      <c r="W484">
        <f>IF(OR(B484="",P484=""),"",NETWORKDAYS(C484,P484)-1)</f>
        <v/>
      </c>
      <c r="X484">
        <f>IF(B484="","",IF(P484="","Aberto","Fechado"))</f>
        <v/>
      </c>
    </row>
    <row r="485">
      <c r="C485" s="6" t="n"/>
      <c r="E485" s="7" t="n"/>
      <c r="F485" s="8" t="n"/>
      <c r="G485" s="8" t="n"/>
      <c r="H485" s="8" t="n"/>
      <c r="J485" s="7" t="n"/>
      <c r="K485" s="8" t="n"/>
      <c r="L485" s="7" t="n"/>
      <c r="M485" s="8" t="n"/>
      <c r="N485" s="7" t="n"/>
      <c r="O485" s="8" t="n"/>
      <c r="P485" s="6" t="n"/>
      <c r="Q485" s="8" t="n"/>
      <c r="S485" s="8">
        <f>IF(B485="","",E485*F485)</f>
        <v/>
      </c>
      <c r="T485" s="8">
        <f>IF(OR(B485="",N(G485)=0),"",ABS(F485-G485)*E485)</f>
        <v/>
      </c>
      <c r="U485" s="8">
        <f>IF(OR(B485="",P485=""),"",IF(D485="Venda",-1,1)*((N(J485)*N(K485)+N(L485)*N(M485)+N(N485)*N(O485))-(N(J485)+N(L485)+N(N485))*F485)-N(Q485))</f>
        <v/>
      </c>
      <c r="V485" s="9">
        <f>IF(OR(B485="",P485=""),"",U485/S485)</f>
        <v/>
      </c>
      <c r="W485">
        <f>IF(OR(B485="",P485=""),"",NETWORKDAYS(C485,P485)-1)</f>
        <v/>
      </c>
      <c r="X485">
        <f>IF(B485="","",IF(P485="","Aberto","Fechado"))</f>
        <v/>
      </c>
    </row>
    <row r="486">
      <c r="C486" s="6" t="n"/>
      <c r="E486" s="7" t="n"/>
      <c r="F486" s="8" t="n"/>
      <c r="G486" s="8" t="n"/>
      <c r="H486" s="8" t="n"/>
      <c r="J486" s="7" t="n"/>
      <c r="K486" s="8" t="n"/>
      <c r="L486" s="7" t="n"/>
      <c r="M486" s="8" t="n"/>
      <c r="N486" s="7" t="n"/>
      <c r="O486" s="8" t="n"/>
      <c r="P486" s="6" t="n"/>
      <c r="Q486" s="8" t="n"/>
      <c r="S486" s="8">
        <f>IF(B486="","",E486*F486)</f>
        <v/>
      </c>
      <c r="T486" s="8">
        <f>IF(OR(B486="",N(G486)=0),"",ABS(F486-G486)*E486)</f>
        <v/>
      </c>
      <c r="U486" s="8">
        <f>IF(OR(B486="",P486=""),"",IF(D486="Venda",-1,1)*((N(J486)*N(K486)+N(L486)*N(M486)+N(N486)*N(O486))-(N(J486)+N(L486)+N(N486))*F486)-N(Q486))</f>
        <v/>
      </c>
      <c r="V486" s="9">
        <f>IF(OR(B486="",P486=""),"",U486/S486)</f>
        <v/>
      </c>
      <c r="W486">
        <f>IF(OR(B486="",P486=""),"",NETWORKDAYS(C486,P486)-1)</f>
        <v/>
      </c>
      <c r="X486">
        <f>IF(B486="","",IF(P486="","Aberto","Fechado"))</f>
        <v/>
      </c>
    </row>
    <row r="487">
      <c r="C487" s="6" t="n"/>
      <c r="E487" s="7" t="n"/>
      <c r="F487" s="8" t="n"/>
      <c r="G487" s="8" t="n"/>
      <c r="H487" s="8" t="n"/>
      <c r="J487" s="7" t="n"/>
      <c r="K487" s="8" t="n"/>
      <c r="L487" s="7" t="n"/>
      <c r="M487" s="8" t="n"/>
      <c r="N487" s="7" t="n"/>
      <c r="O487" s="8" t="n"/>
      <c r="P487" s="6" t="n"/>
      <c r="Q487" s="8" t="n"/>
      <c r="S487" s="8">
        <f>IF(B487="","",E487*F487)</f>
        <v/>
      </c>
      <c r="T487" s="8">
        <f>IF(OR(B487="",N(G487)=0),"",ABS(F487-G487)*E487)</f>
        <v/>
      </c>
      <c r="U487" s="8">
        <f>IF(OR(B487="",P487=""),"",IF(D487="Venda",-1,1)*((N(J487)*N(K487)+N(L487)*N(M487)+N(N487)*N(O487))-(N(J487)+N(L487)+N(N487))*F487)-N(Q487))</f>
        <v/>
      </c>
      <c r="V487" s="9">
        <f>IF(OR(B487="",P487=""),"",U487/S487)</f>
        <v/>
      </c>
      <c r="W487">
        <f>IF(OR(B487="",P487=""),"",NETWORKDAYS(C487,P487)-1)</f>
        <v/>
      </c>
      <c r="X487">
        <f>IF(B487="","",IF(P487="","Aberto","Fechado"))</f>
        <v/>
      </c>
    </row>
    <row r="488">
      <c r="C488" s="6" t="n"/>
      <c r="E488" s="7" t="n"/>
      <c r="F488" s="8" t="n"/>
      <c r="G488" s="8" t="n"/>
      <c r="H488" s="8" t="n"/>
      <c r="J488" s="7" t="n"/>
      <c r="K488" s="8" t="n"/>
      <c r="L488" s="7" t="n"/>
      <c r="M488" s="8" t="n"/>
      <c r="N488" s="7" t="n"/>
      <c r="O488" s="8" t="n"/>
      <c r="P488" s="6" t="n"/>
      <c r="Q488" s="8" t="n"/>
      <c r="S488" s="8">
        <f>IF(B488="","",E488*F488)</f>
        <v/>
      </c>
      <c r="T488" s="8">
        <f>IF(OR(B488="",N(G488)=0),"",ABS(F488-G488)*E488)</f>
        <v/>
      </c>
      <c r="U488" s="8">
        <f>IF(OR(B488="",P488=""),"",IF(D488="Venda",-1,1)*((N(J488)*N(K488)+N(L488)*N(M488)+N(N488)*N(O488))-(N(J488)+N(L488)+N(N488))*F488)-N(Q488))</f>
        <v/>
      </c>
      <c r="V488" s="9">
        <f>IF(OR(B488="",P488=""),"",U488/S488)</f>
        <v/>
      </c>
      <c r="W488">
        <f>IF(OR(B488="",P488=""),"",NETWORKDAYS(C488,P488)-1)</f>
        <v/>
      </c>
      <c r="X488">
        <f>IF(B488="","",IF(P488="","Aberto","Fechado"))</f>
        <v/>
      </c>
    </row>
    <row r="489">
      <c r="C489" s="6" t="n"/>
      <c r="E489" s="7" t="n"/>
      <c r="F489" s="8" t="n"/>
      <c r="G489" s="8" t="n"/>
      <c r="H489" s="8" t="n"/>
      <c r="J489" s="7" t="n"/>
      <c r="K489" s="8" t="n"/>
      <c r="L489" s="7" t="n"/>
      <c r="M489" s="8" t="n"/>
      <c r="N489" s="7" t="n"/>
      <c r="O489" s="8" t="n"/>
      <c r="P489" s="6" t="n"/>
      <c r="Q489" s="8" t="n"/>
      <c r="S489" s="8">
        <f>IF(B489="","",E489*F489)</f>
        <v/>
      </c>
      <c r="T489" s="8">
        <f>IF(OR(B489="",N(G489)=0),"",ABS(F489-G489)*E489)</f>
        <v/>
      </c>
      <c r="U489" s="8">
        <f>IF(OR(B489="",P489=""),"",IF(D489="Venda",-1,1)*((N(J489)*N(K489)+N(L489)*N(M489)+N(N489)*N(O489))-(N(J489)+N(L489)+N(N489))*F489)-N(Q489))</f>
        <v/>
      </c>
      <c r="V489" s="9">
        <f>IF(OR(B489="",P489=""),"",U489/S489)</f>
        <v/>
      </c>
      <c r="W489">
        <f>IF(OR(B489="",P489=""),"",NETWORKDAYS(C489,P489)-1)</f>
        <v/>
      </c>
      <c r="X489">
        <f>IF(B489="","",IF(P489="","Aberto","Fechado"))</f>
        <v/>
      </c>
    </row>
    <row r="490">
      <c r="C490" s="6" t="n"/>
      <c r="E490" s="7" t="n"/>
      <c r="F490" s="8" t="n"/>
      <c r="G490" s="8" t="n"/>
      <c r="H490" s="8" t="n"/>
      <c r="J490" s="7" t="n"/>
      <c r="K490" s="8" t="n"/>
      <c r="L490" s="7" t="n"/>
      <c r="M490" s="8" t="n"/>
      <c r="N490" s="7" t="n"/>
      <c r="O490" s="8" t="n"/>
      <c r="P490" s="6" t="n"/>
      <c r="Q490" s="8" t="n"/>
      <c r="S490" s="8">
        <f>IF(B490="","",E490*F490)</f>
        <v/>
      </c>
      <c r="T490" s="8">
        <f>IF(OR(B490="",N(G490)=0),"",ABS(F490-G490)*E490)</f>
        <v/>
      </c>
      <c r="U490" s="8">
        <f>IF(OR(B490="",P490=""),"",IF(D490="Venda",-1,1)*((N(J490)*N(K490)+N(L490)*N(M490)+N(N490)*N(O490))-(N(J490)+N(L490)+N(N490))*F490)-N(Q490))</f>
        <v/>
      </c>
      <c r="V490" s="9">
        <f>IF(OR(B490="",P490=""),"",U490/S490)</f>
        <v/>
      </c>
      <c r="W490">
        <f>IF(OR(B490="",P490=""),"",NETWORKDAYS(C490,P490)-1)</f>
        <v/>
      </c>
      <c r="X490">
        <f>IF(B490="","",IF(P490="","Aberto","Fechado"))</f>
        <v/>
      </c>
    </row>
    <row r="491">
      <c r="C491" s="6" t="n"/>
      <c r="E491" s="7" t="n"/>
      <c r="F491" s="8" t="n"/>
      <c r="G491" s="8" t="n"/>
      <c r="H491" s="8" t="n"/>
      <c r="J491" s="7" t="n"/>
      <c r="K491" s="8" t="n"/>
      <c r="L491" s="7" t="n"/>
      <c r="M491" s="8" t="n"/>
      <c r="N491" s="7" t="n"/>
      <c r="O491" s="8" t="n"/>
      <c r="P491" s="6" t="n"/>
      <c r="Q491" s="8" t="n"/>
      <c r="S491" s="8">
        <f>IF(B491="","",E491*F491)</f>
        <v/>
      </c>
      <c r="T491" s="8">
        <f>IF(OR(B491="",N(G491)=0),"",ABS(F491-G491)*E491)</f>
        <v/>
      </c>
      <c r="U491" s="8">
        <f>IF(OR(B491="",P491=""),"",IF(D491="Venda",-1,1)*((N(J491)*N(K491)+N(L491)*N(M491)+N(N491)*N(O491))-(N(J491)+N(L491)+N(N491))*F491)-N(Q491))</f>
        <v/>
      </c>
      <c r="V491" s="9">
        <f>IF(OR(B491="",P491=""),"",U491/S491)</f>
        <v/>
      </c>
      <c r="W491">
        <f>IF(OR(B491="",P491=""),"",NETWORKDAYS(C491,P491)-1)</f>
        <v/>
      </c>
      <c r="X491">
        <f>IF(B491="","",IF(P491="","Aberto","Fechado"))</f>
        <v/>
      </c>
    </row>
    <row r="492">
      <c r="C492" s="6" t="n"/>
      <c r="E492" s="7" t="n"/>
      <c r="F492" s="8" t="n"/>
      <c r="G492" s="8" t="n"/>
      <c r="H492" s="8" t="n"/>
      <c r="J492" s="7" t="n"/>
      <c r="K492" s="8" t="n"/>
      <c r="L492" s="7" t="n"/>
      <c r="M492" s="8" t="n"/>
      <c r="N492" s="7" t="n"/>
      <c r="O492" s="8" t="n"/>
      <c r="P492" s="6" t="n"/>
      <c r="Q492" s="8" t="n"/>
      <c r="S492" s="8">
        <f>IF(B492="","",E492*F492)</f>
        <v/>
      </c>
      <c r="T492" s="8">
        <f>IF(OR(B492="",N(G492)=0),"",ABS(F492-G492)*E492)</f>
        <v/>
      </c>
      <c r="U492" s="8">
        <f>IF(OR(B492="",P492=""),"",IF(D492="Venda",-1,1)*((N(J492)*N(K492)+N(L492)*N(M492)+N(N492)*N(O492))-(N(J492)+N(L492)+N(N492))*F492)-N(Q492))</f>
        <v/>
      </c>
      <c r="V492" s="9">
        <f>IF(OR(B492="",P492=""),"",U492/S492)</f>
        <v/>
      </c>
      <c r="W492">
        <f>IF(OR(B492="",P492=""),"",NETWORKDAYS(C492,P492)-1)</f>
        <v/>
      </c>
      <c r="X492">
        <f>IF(B492="","",IF(P492="","Aberto","Fechado"))</f>
        <v/>
      </c>
    </row>
    <row r="493">
      <c r="C493" s="6" t="n"/>
      <c r="E493" s="7" t="n"/>
      <c r="F493" s="8" t="n"/>
      <c r="G493" s="8" t="n"/>
      <c r="H493" s="8" t="n"/>
      <c r="J493" s="7" t="n"/>
      <c r="K493" s="8" t="n"/>
      <c r="L493" s="7" t="n"/>
      <c r="M493" s="8" t="n"/>
      <c r="N493" s="7" t="n"/>
      <c r="O493" s="8" t="n"/>
      <c r="P493" s="6" t="n"/>
      <c r="Q493" s="8" t="n"/>
      <c r="S493" s="8">
        <f>IF(B493="","",E493*F493)</f>
        <v/>
      </c>
      <c r="T493" s="8">
        <f>IF(OR(B493="",N(G493)=0),"",ABS(F493-G493)*E493)</f>
        <v/>
      </c>
      <c r="U493" s="8">
        <f>IF(OR(B493="",P493=""),"",IF(D493="Venda",-1,1)*((N(J493)*N(K493)+N(L493)*N(M493)+N(N493)*N(O493))-(N(J493)+N(L493)+N(N493))*F493)-N(Q493))</f>
        <v/>
      </c>
      <c r="V493" s="9">
        <f>IF(OR(B493="",P493=""),"",U493/S493)</f>
        <v/>
      </c>
      <c r="W493">
        <f>IF(OR(B493="",P493=""),"",NETWORKDAYS(C493,P493)-1)</f>
        <v/>
      </c>
      <c r="X493">
        <f>IF(B493="","",IF(P493="","Aberto","Fechado"))</f>
        <v/>
      </c>
    </row>
    <row r="494">
      <c r="C494" s="6" t="n"/>
      <c r="E494" s="7" t="n"/>
      <c r="F494" s="8" t="n"/>
      <c r="G494" s="8" t="n"/>
      <c r="H494" s="8" t="n"/>
      <c r="J494" s="7" t="n"/>
      <c r="K494" s="8" t="n"/>
      <c r="L494" s="7" t="n"/>
      <c r="M494" s="8" t="n"/>
      <c r="N494" s="7" t="n"/>
      <c r="O494" s="8" t="n"/>
      <c r="P494" s="6" t="n"/>
      <c r="Q494" s="8" t="n"/>
      <c r="S494" s="8">
        <f>IF(B494="","",E494*F494)</f>
        <v/>
      </c>
      <c r="T494" s="8">
        <f>IF(OR(B494="",N(G494)=0),"",ABS(F494-G494)*E494)</f>
        <v/>
      </c>
      <c r="U494" s="8">
        <f>IF(OR(B494="",P494=""),"",IF(D494="Venda",-1,1)*((N(J494)*N(K494)+N(L494)*N(M494)+N(N494)*N(O494))-(N(J494)+N(L494)+N(N494))*F494)-N(Q494))</f>
        <v/>
      </c>
      <c r="V494" s="9">
        <f>IF(OR(B494="",P494=""),"",U494/S494)</f>
        <v/>
      </c>
      <c r="W494">
        <f>IF(OR(B494="",P494=""),"",NETWORKDAYS(C494,P494)-1)</f>
        <v/>
      </c>
      <c r="X494">
        <f>IF(B494="","",IF(P494="","Aberto","Fechado"))</f>
        <v/>
      </c>
    </row>
    <row r="495">
      <c r="C495" s="6" t="n"/>
      <c r="E495" s="7" t="n"/>
      <c r="F495" s="8" t="n"/>
      <c r="G495" s="8" t="n"/>
      <c r="H495" s="8" t="n"/>
      <c r="J495" s="7" t="n"/>
      <c r="K495" s="8" t="n"/>
      <c r="L495" s="7" t="n"/>
      <c r="M495" s="8" t="n"/>
      <c r="N495" s="7" t="n"/>
      <c r="O495" s="8" t="n"/>
      <c r="P495" s="6" t="n"/>
      <c r="Q495" s="8" t="n"/>
      <c r="S495" s="8">
        <f>IF(B495="","",E495*F495)</f>
        <v/>
      </c>
      <c r="T495" s="8">
        <f>IF(OR(B495="",N(G495)=0),"",ABS(F495-G495)*E495)</f>
        <v/>
      </c>
      <c r="U495" s="8">
        <f>IF(OR(B495="",P495=""),"",IF(D495="Venda",-1,1)*((N(J495)*N(K495)+N(L495)*N(M495)+N(N495)*N(O495))-(N(J495)+N(L495)+N(N495))*F495)-N(Q495))</f>
        <v/>
      </c>
      <c r="V495" s="9">
        <f>IF(OR(B495="",P495=""),"",U495/S495)</f>
        <v/>
      </c>
      <c r="W495">
        <f>IF(OR(B495="",P495=""),"",NETWORKDAYS(C495,P495)-1)</f>
        <v/>
      </c>
      <c r="X495">
        <f>IF(B495="","",IF(P495="","Aberto","Fechado"))</f>
        <v/>
      </c>
    </row>
    <row r="496">
      <c r="C496" s="6" t="n"/>
      <c r="E496" s="7" t="n"/>
      <c r="F496" s="8" t="n"/>
      <c r="G496" s="8" t="n"/>
      <c r="H496" s="8" t="n"/>
      <c r="J496" s="7" t="n"/>
      <c r="K496" s="8" t="n"/>
      <c r="L496" s="7" t="n"/>
      <c r="M496" s="8" t="n"/>
      <c r="N496" s="7" t="n"/>
      <c r="O496" s="8" t="n"/>
      <c r="P496" s="6" t="n"/>
      <c r="Q496" s="8" t="n"/>
      <c r="S496" s="8">
        <f>IF(B496="","",E496*F496)</f>
        <v/>
      </c>
      <c r="T496" s="8">
        <f>IF(OR(B496="",N(G496)=0),"",ABS(F496-G496)*E496)</f>
        <v/>
      </c>
      <c r="U496" s="8">
        <f>IF(OR(B496="",P496=""),"",IF(D496="Venda",-1,1)*((N(J496)*N(K496)+N(L496)*N(M496)+N(N496)*N(O496))-(N(J496)+N(L496)+N(N496))*F496)-N(Q496))</f>
        <v/>
      </c>
      <c r="V496" s="9">
        <f>IF(OR(B496="",P496=""),"",U496/S496)</f>
        <v/>
      </c>
      <c r="W496">
        <f>IF(OR(B496="",P496=""),"",NETWORKDAYS(C496,P496)-1)</f>
        <v/>
      </c>
      <c r="X496">
        <f>IF(B496="","",IF(P496="","Aberto","Fechado"))</f>
        <v/>
      </c>
    </row>
    <row r="497">
      <c r="C497" s="6" t="n"/>
      <c r="E497" s="7" t="n"/>
      <c r="F497" s="8" t="n"/>
      <c r="G497" s="8" t="n"/>
      <c r="H497" s="8" t="n"/>
      <c r="J497" s="7" t="n"/>
      <c r="K497" s="8" t="n"/>
      <c r="L497" s="7" t="n"/>
      <c r="M497" s="8" t="n"/>
      <c r="N497" s="7" t="n"/>
      <c r="O497" s="8" t="n"/>
      <c r="P497" s="6" t="n"/>
      <c r="Q497" s="8" t="n"/>
      <c r="S497" s="8">
        <f>IF(B497="","",E497*F497)</f>
        <v/>
      </c>
      <c r="T497" s="8">
        <f>IF(OR(B497="",N(G497)=0),"",ABS(F497-G497)*E497)</f>
        <v/>
      </c>
      <c r="U497" s="8">
        <f>IF(OR(B497="",P497=""),"",IF(D497="Venda",-1,1)*((N(J497)*N(K497)+N(L497)*N(M497)+N(N497)*N(O497))-(N(J497)+N(L497)+N(N497))*F497)-N(Q497))</f>
        <v/>
      </c>
      <c r="V497" s="9">
        <f>IF(OR(B497="",P497=""),"",U497/S497)</f>
        <v/>
      </c>
      <c r="W497">
        <f>IF(OR(B497="",P497=""),"",NETWORKDAYS(C497,P497)-1)</f>
        <v/>
      </c>
      <c r="X497">
        <f>IF(B497="","",IF(P497="","Aberto","Fechado"))</f>
        <v/>
      </c>
    </row>
    <row r="498">
      <c r="C498" s="6" t="n"/>
      <c r="E498" s="7" t="n"/>
      <c r="F498" s="8" t="n"/>
      <c r="G498" s="8" t="n"/>
      <c r="H498" s="8" t="n"/>
      <c r="J498" s="7" t="n"/>
      <c r="K498" s="8" t="n"/>
      <c r="L498" s="7" t="n"/>
      <c r="M498" s="8" t="n"/>
      <c r="N498" s="7" t="n"/>
      <c r="O498" s="8" t="n"/>
      <c r="P498" s="6" t="n"/>
      <c r="Q498" s="8" t="n"/>
      <c r="S498" s="8">
        <f>IF(B498="","",E498*F498)</f>
        <v/>
      </c>
      <c r="T498" s="8">
        <f>IF(OR(B498="",N(G498)=0),"",ABS(F498-G498)*E498)</f>
        <v/>
      </c>
      <c r="U498" s="8">
        <f>IF(OR(B498="",P498=""),"",IF(D498="Venda",-1,1)*((N(J498)*N(K498)+N(L498)*N(M498)+N(N498)*N(O498))-(N(J498)+N(L498)+N(N498))*F498)-N(Q498))</f>
        <v/>
      </c>
      <c r="V498" s="9">
        <f>IF(OR(B498="",P498=""),"",U498/S498)</f>
        <v/>
      </c>
      <c r="W498">
        <f>IF(OR(B498="",P498=""),"",NETWORKDAYS(C498,P498)-1)</f>
        <v/>
      </c>
      <c r="X498">
        <f>IF(B498="","",IF(P498="","Aberto","Fechado"))</f>
        <v/>
      </c>
    </row>
    <row r="499">
      <c r="C499" s="6" t="n"/>
      <c r="E499" s="7" t="n"/>
      <c r="F499" s="8" t="n"/>
      <c r="G499" s="8" t="n"/>
      <c r="H499" s="8" t="n"/>
      <c r="J499" s="7" t="n"/>
      <c r="K499" s="8" t="n"/>
      <c r="L499" s="7" t="n"/>
      <c r="M499" s="8" t="n"/>
      <c r="N499" s="7" t="n"/>
      <c r="O499" s="8" t="n"/>
      <c r="P499" s="6" t="n"/>
      <c r="Q499" s="8" t="n"/>
      <c r="S499" s="8">
        <f>IF(B499="","",E499*F499)</f>
        <v/>
      </c>
      <c r="T499" s="8">
        <f>IF(OR(B499="",N(G499)=0),"",ABS(F499-G499)*E499)</f>
        <v/>
      </c>
      <c r="U499" s="8">
        <f>IF(OR(B499="",P499=""),"",IF(D499="Venda",-1,1)*((N(J499)*N(K499)+N(L499)*N(M499)+N(N499)*N(O499))-(N(J499)+N(L499)+N(N499))*F499)-N(Q499))</f>
        <v/>
      </c>
      <c r="V499" s="9">
        <f>IF(OR(B499="",P499=""),"",U499/S499)</f>
        <v/>
      </c>
      <c r="W499">
        <f>IF(OR(B499="",P499=""),"",NETWORKDAYS(C499,P499)-1)</f>
        <v/>
      </c>
      <c r="X499">
        <f>IF(B499="","",IF(P499="","Aberto","Fechado"))</f>
        <v/>
      </c>
    </row>
    <row r="500">
      <c r="C500" s="6" t="n"/>
      <c r="E500" s="7" t="n"/>
      <c r="F500" s="8" t="n"/>
      <c r="G500" s="8" t="n"/>
      <c r="H500" s="8" t="n"/>
      <c r="J500" s="7" t="n"/>
      <c r="K500" s="8" t="n"/>
      <c r="L500" s="7" t="n"/>
      <c r="M500" s="8" t="n"/>
      <c r="N500" s="7" t="n"/>
      <c r="O500" s="8" t="n"/>
      <c r="P500" s="6" t="n"/>
      <c r="Q500" s="8" t="n"/>
      <c r="S500" s="8">
        <f>IF(B500="","",E500*F500)</f>
        <v/>
      </c>
      <c r="T500" s="8">
        <f>IF(OR(B500="",N(G500)=0),"",ABS(F500-G500)*E500)</f>
        <v/>
      </c>
      <c r="U500" s="8">
        <f>IF(OR(B500="",P500=""),"",IF(D500="Venda",-1,1)*((N(J500)*N(K500)+N(L500)*N(M500)+N(N500)*N(O500))-(N(J500)+N(L500)+N(N500))*F500)-N(Q500))</f>
        <v/>
      </c>
      <c r="V500" s="9">
        <f>IF(OR(B500="",P500=""),"",U500/S500)</f>
        <v/>
      </c>
      <c r="W500">
        <f>IF(OR(B500="",P500=""),"",NETWORKDAYS(C500,P500)-1)</f>
        <v/>
      </c>
      <c r="X500">
        <f>IF(B500="","",IF(P500="","Aberto","Fechado"))</f>
        <v/>
      </c>
    </row>
    <row r="501">
      <c r="C501" s="6" t="n"/>
      <c r="E501" s="7" t="n"/>
      <c r="F501" s="8" t="n"/>
      <c r="G501" s="8" t="n"/>
      <c r="H501" s="8" t="n"/>
      <c r="J501" s="7" t="n"/>
      <c r="K501" s="8" t="n"/>
      <c r="L501" s="7" t="n"/>
      <c r="M501" s="8" t="n"/>
      <c r="N501" s="7" t="n"/>
      <c r="O501" s="8" t="n"/>
      <c r="P501" s="6" t="n"/>
      <c r="Q501" s="8" t="n"/>
      <c r="S501" s="8">
        <f>IF(B501="","",E501*F501)</f>
        <v/>
      </c>
      <c r="T501" s="8">
        <f>IF(OR(B501="",N(G501)=0),"",ABS(F501-G501)*E501)</f>
        <v/>
      </c>
      <c r="U501" s="8">
        <f>IF(OR(B501="",P501=""),"",IF(D501="Venda",-1,1)*((N(J501)*N(K501)+N(L501)*N(M501)+N(N501)*N(O501))-(N(J501)+N(L501)+N(N501))*F501)-N(Q501))</f>
        <v/>
      </c>
      <c r="V501" s="9">
        <f>IF(OR(B501="",P501=""),"",U501/S501)</f>
        <v/>
      </c>
      <c r="W501">
        <f>IF(OR(B501="",P501=""),"",NETWORKDAYS(C501,P501)-1)</f>
        <v/>
      </c>
      <c r="X501">
        <f>IF(B501="","",IF(P501="","Aberto","Fechado"))</f>
        <v/>
      </c>
    </row>
    <row r="502">
      <c r="C502" s="6" t="n"/>
      <c r="E502" s="7" t="n"/>
      <c r="F502" s="8" t="n"/>
      <c r="G502" s="8" t="n"/>
      <c r="H502" s="8" t="n"/>
      <c r="J502" s="7" t="n"/>
      <c r="K502" s="8" t="n"/>
      <c r="L502" s="7" t="n"/>
      <c r="M502" s="8" t="n"/>
      <c r="N502" s="7" t="n"/>
      <c r="O502" s="8" t="n"/>
      <c r="P502" s="6" t="n"/>
      <c r="Q502" s="8" t="n"/>
      <c r="S502" s="8">
        <f>IF(B502="","",E502*F502)</f>
        <v/>
      </c>
      <c r="T502" s="8">
        <f>IF(OR(B502="",N(G502)=0),"",ABS(F502-G502)*E502)</f>
        <v/>
      </c>
      <c r="U502" s="8">
        <f>IF(OR(B502="",P502=""),"",IF(D502="Venda",-1,1)*((N(J502)*N(K502)+N(L502)*N(M502)+N(N502)*N(O502))-(N(J502)+N(L502)+N(N502))*F502)-N(Q502))</f>
        <v/>
      </c>
      <c r="V502" s="9">
        <f>IF(OR(B502="",P502=""),"",U502/S502)</f>
        <v/>
      </c>
      <c r="W502">
        <f>IF(OR(B502="",P502=""),"",NETWORKDAYS(C502,P502)-1)</f>
        <v/>
      </c>
      <c r="X502">
        <f>IF(B502="","",IF(P502="","Aberto","Fechado"))</f>
        <v/>
      </c>
    </row>
    <row r="503">
      <c r="C503" s="6" t="n"/>
      <c r="E503" s="7" t="n"/>
      <c r="F503" s="8" t="n"/>
      <c r="G503" s="8" t="n"/>
      <c r="H503" s="8" t="n"/>
      <c r="J503" s="7" t="n"/>
      <c r="K503" s="8" t="n"/>
      <c r="L503" s="7" t="n"/>
      <c r="M503" s="8" t="n"/>
      <c r="N503" s="7" t="n"/>
      <c r="O503" s="8" t="n"/>
      <c r="P503" s="6" t="n"/>
      <c r="Q503" s="8" t="n"/>
      <c r="S503" s="8">
        <f>IF(B503="","",E503*F503)</f>
        <v/>
      </c>
      <c r="T503" s="8">
        <f>IF(OR(B503="",N(G503)=0),"",ABS(F503-G503)*E503)</f>
        <v/>
      </c>
      <c r="U503" s="8">
        <f>IF(OR(B503="",P503=""),"",IF(D503="Venda",-1,1)*((N(J503)*N(K503)+N(L503)*N(M503)+N(N503)*N(O503))-(N(J503)+N(L503)+N(N503))*F503)-N(Q503))</f>
        <v/>
      </c>
      <c r="V503" s="9">
        <f>IF(OR(B503="",P503=""),"",U503/S503)</f>
        <v/>
      </c>
      <c r="W503">
        <f>IF(OR(B503="",P503=""),"",NETWORKDAYS(C503,P503)-1)</f>
        <v/>
      </c>
      <c r="X503">
        <f>IF(B503="","",IF(P503="","Aberto","Fechado"))</f>
        <v/>
      </c>
    </row>
    <row r="504">
      <c r="C504" s="6" t="n"/>
      <c r="E504" s="7" t="n"/>
      <c r="F504" s="8" t="n"/>
      <c r="G504" s="8" t="n"/>
      <c r="H504" s="8" t="n"/>
      <c r="J504" s="7" t="n"/>
      <c r="K504" s="8" t="n"/>
      <c r="L504" s="7" t="n"/>
      <c r="M504" s="8" t="n"/>
      <c r="N504" s="7" t="n"/>
      <c r="O504" s="8" t="n"/>
      <c r="P504" s="6" t="n"/>
      <c r="Q504" s="8" t="n"/>
      <c r="S504" s="8">
        <f>IF(B504="","",E504*F504)</f>
        <v/>
      </c>
      <c r="T504" s="8">
        <f>IF(OR(B504="",N(G504)=0),"",ABS(F504-G504)*E504)</f>
        <v/>
      </c>
      <c r="U504" s="8">
        <f>IF(OR(B504="",P504=""),"",IF(D504="Venda",-1,1)*((N(J504)*N(K504)+N(L504)*N(M504)+N(N504)*N(O504))-(N(J504)+N(L504)+N(N504))*F504)-N(Q504))</f>
        <v/>
      </c>
      <c r="V504" s="9">
        <f>IF(OR(B504="",P504=""),"",U504/S504)</f>
        <v/>
      </c>
      <c r="W504">
        <f>IF(OR(B504="",P504=""),"",NETWORKDAYS(C504,P504)-1)</f>
        <v/>
      </c>
      <c r="X504">
        <f>IF(B504="","",IF(P504="","Aberto","Fechado"))</f>
        <v/>
      </c>
    </row>
    <row r="505">
      <c r="C505" s="6" t="n"/>
      <c r="E505" s="7" t="n"/>
      <c r="F505" s="8" t="n"/>
      <c r="G505" s="8" t="n"/>
      <c r="H505" s="8" t="n"/>
      <c r="J505" s="7" t="n"/>
      <c r="K505" s="8" t="n"/>
      <c r="L505" s="7" t="n"/>
      <c r="M505" s="8" t="n"/>
      <c r="N505" s="7" t="n"/>
      <c r="O505" s="8" t="n"/>
      <c r="P505" s="6" t="n"/>
      <c r="Q505" s="8" t="n"/>
      <c r="S505" s="8">
        <f>IF(B505="","",E505*F505)</f>
        <v/>
      </c>
      <c r="T505" s="8">
        <f>IF(OR(B505="",N(G505)=0),"",ABS(F505-G505)*E505)</f>
        <v/>
      </c>
      <c r="U505" s="8">
        <f>IF(OR(B505="",P505=""),"",IF(D505="Venda",-1,1)*((N(J505)*N(K505)+N(L505)*N(M505)+N(N505)*N(O505))-(N(J505)+N(L505)+N(N505))*F505)-N(Q505))</f>
        <v/>
      </c>
      <c r="V505" s="9">
        <f>IF(OR(B505="",P505=""),"",U505/S505)</f>
        <v/>
      </c>
      <c r="W505">
        <f>IF(OR(B505="",P505=""),"",NETWORKDAYS(C505,P505)-1)</f>
        <v/>
      </c>
      <c r="X505">
        <f>IF(B505="","",IF(P505="","Aberto","Fechado"))</f>
        <v/>
      </c>
    </row>
    <row r="506">
      <c r="C506" s="6" t="n"/>
      <c r="E506" s="7" t="n"/>
      <c r="F506" s="8" t="n"/>
      <c r="G506" s="8" t="n"/>
      <c r="H506" s="8" t="n"/>
      <c r="J506" s="7" t="n"/>
      <c r="K506" s="8" t="n"/>
      <c r="L506" s="7" t="n"/>
      <c r="M506" s="8" t="n"/>
      <c r="N506" s="7" t="n"/>
      <c r="O506" s="8" t="n"/>
      <c r="P506" s="6" t="n"/>
      <c r="Q506" s="8" t="n"/>
      <c r="S506" s="8">
        <f>IF(B506="","",E506*F506)</f>
        <v/>
      </c>
      <c r="T506" s="8">
        <f>IF(OR(B506="",N(G506)=0),"",ABS(F506-G506)*E506)</f>
        <v/>
      </c>
      <c r="U506" s="8">
        <f>IF(OR(B506="",P506=""),"",IF(D506="Venda",-1,1)*((N(J506)*N(K506)+N(L506)*N(M506)+N(N506)*N(O506))-(N(J506)+N(L506)+N(N506))*F506)-N(Q506))</f>
        <v/>
      </c>
      <c r="V506" s="9">
        <f>IF(OR(B506="",P506=""),"",U506/S506)</f>
        <v/>
      </c>
      <c r="W506">
        <f>IF(OR(B506="",P506=""),"",NETWORKDAYS(C506,P506)-1)</f>
        <v/>
      </c>
      <c r="X506">
        <f>IF(B506="","",IF(P506="","Aberto","Fechado"))</f>
        <v/>
      </c>
    </row>
    <row r="507">
      <c r="C507" s="6" t="n"/>
      <c r="E507" s="7" t="n"/>
      <c r="F507" s="8" t="n"/>
      <c r="G507" s="8" t="n"/>
      <c r="H507" s="8" t="n"/>
      <c r="J507" s="7" t="n"/>
      <c r="K507" s="8" t="n"/>
      <c r="L507" s="7" t="n"/>
      <c r="M507" s="8" t="n"/>
      <c r="N507" s="7" t="n"/>
      <c r="O507" s="8" t="n"/>
      <c r="P507" s="6" t="n"/>
      <c r="Q507" s="8" t="n"/>
      <c r="S507" s="8">
        <f>IF(B507="","",E507*F507)</f>
        <v/>
      </c>
      <c r="T507" s="8">
        <f>IF(OR(B507="",N(G507)=0),"",ABS(F507-G507)*E507)</f>
        <v/>
      </c>
      <c r="U507" s="8">
        <f>IF(OR(B507="",P507=""),"",IF(D507="Venda",-1,1)*((N(J507)*N(K507)+N(L507)*N(M507)+N(N507)*N(O507))-(N(J507)+N(L507)+N(N507))*F507)-N(Q507))</f>
        <v/>
      </c>
      <c r="V507" s="9">
        <f>IF(OR(B507="",P507=""),"",U507/S507)</f>
        <v/>
      </c>
      <c r="W507">
        <f>IF(OR(B507="",P507=""),"",NETWORKDAYS(C507,P507)-1)</f>
        <v/>
      </c>
      <c r="X507">
        <f>IF(B507="","",IF(P507="","Aberto","Fechado"))</f>
        <v/>
      </c>
    </row>
    <row r="508">
      <c r="C508" s="6" t="n"/>
      <c r="E508" s="7" t="n"/>
      <c r="F508" s="8" t="n"/>
      <c r="G508" s="8" t="n"/>
      <c r="H508" s="8" t="n"/>
      <c r="J508" s="7" t="n"/>
      <c r="K508" s="8" t="n"/>
      <c r="L508" s="7" t="n"/>
      <c r="M508" s="8" t="n"/>
      <c r="N508" s="7" t="n"/>
      <c r="O508" s="8" t="n"/>
      <c r="P508" s="6" t="n"/>
      <c r="Q508" s="8" t="n"/>
      <c r="S508" s="8">
        <f>IF(B508="","",E508*F508)</f>
        <v/>
      </c>
      <c r="T508" s="8">
        <f>IF(OR(B508="",N(G508)=0),"",ABS(F508-G508)*E508)</f>
        <v/>
      </c>
      <c r="U508" s="8">
        <f>IF(OR(B508="",P508=""),"",IF(D508="Venda",-1,1)*((N(J508)*N(K508)+N(L508)*N(M508)+N(N508)*N(O508))-(N(J508)+N(L508)+N(N508))*F508)-N(Q508))</f>
        <v/>
      </c>
      <c r="V508" s="9">
        <f>IF(OR(B508="",P508=""),"",U508/S508)</f>
        <v/>
      </c>
      <c r="W508">
        <f>IF(OR(B508="",P508=""),"",NETWORKDAYS(C508,P508)-1)</f>
        <v/>
      </c>
      <c r="X508">
        <f>IF(B508="","",IF(P508="","Aberto","Fechado"))</f>
        <v/>
      </c>
    </row>
    <row r="509">
      <c r="C509" s="6" t="n"/>
      <c r="E509" s="7" t="n"/>
      <c r="F509" s="8" t="n"/>
      <c r="G509" s="8" t="n"/>
      <c r="H509" s="8" t="n"/>
      <c r="J509" s="7" t="n"/>
      <c r="K509" s="8" t="n"/>
      <c r="L509" s="7" t="n"/>
      <c r="M509" s="8" t="n"/>
      <c r="N509" s="7" t="n"/>
      <c r="O509" s="8" t="n"/>
      <c r="P509" s="6" t="n"/>
      <c r="Q509" s="8" t="n"/>
      <c r="S509" s="8">
        <f>IF(B509="","",E509*F509)</f>
        <v/>
      </c>
      <c r="T509" s="8">
        <f>IF(OR(B509="",N(G509)=0),"",ABS(F509-G509)*E509)</f>
        <v/>
      </c>
      <c r="U509" s="8">
        <f>IF(OR(B509="",P509=""),"",IF(D509="Venda",-1,1)*((N(J509)*N(K509)+N(L509)*N(M509)+N(N509)*N(O509))-(N(J509)+N(L509)+N(N509))*F509)-N(Q509))</f>
        <v/>
      </c>
      <c r="V509" s="9">
        <f>IF(OR(B509="",P509=""),"",U509/S509)</f>
        <v/>
      </c>
      <c r="W509">
        <f>IF(OR(B509="",P509=""),"",NETWORKDAYS(C509,P509)-1)</f>
        <v/>
      </c>
      <c r="X509">
        <f>IF(B509="","",IF(P509="","Aberto","Fechado"))</f>
        <v/>
      </c>
    </row>
    <row r="510">
      <c r="C510" s="6" t="n"/>
      <c r="E510" s="7" t="n"/>
      <c r="F510" s="8" t="n"/>
      <c r="G510" s="8" t="n"/>
      <c r="H510" s="8" t="n"/>
      <c r="J510" s="7" t="n"/>
      <c r="K510" s="8" t="n"/>
      <c r="L510" s="7" t="n"/>
      <c r="M510" s="8" t="n"/>
      <c r="N510" s="7" t="n"/>
      <c r="O510" s="8" t="n"/>
      <c r="P510" s="6" t="n"/>
      <c r="Q510" s="8" t="n"/>
      <c r="S510" s="8">
        <f>IF(B510="","",E510*F510)</f>
        <v/>
      </c>
      <c r="T510" s="8">
        <f>IF(OR(B510="",N(G510)=0),"",ABS(F510-G510)*E510)</f>
        <v/>
      </c>
      <c r="U510" s="8">
        <f>IF(OR(B510="",P510=""),"",IF(D510="Venda",-1,1)*((N(J510)*N(K510)+N(L510)*N(M510)+N(N510)*N(O510))-(N(J510)+N(L510)+N(N510))*F510)-N(Q510))</f>
        <v/>
      </c>
      <c r="V510" s="9">
        <f>IF(OR(B510="",P510=""),"",U510/S510)</f>
        <v/>
      </c>
      <c r="W510">
        <f>IF(OR(B510="",P510=""),"",NETWORKDAYS(C510,P510)-1)</f>
        <v/>
      </c>
      <c r="X510">
        <f>IF(B510="","",IF(P510="","Aberto","Fechado"))</f>
        <v/>
      </c>
    </row>
    <row r="511">
      <c r="C511" s="6" t="n"/>
      <c r="E511" s="7" t="n"/>
      <c r="F511" s="8" t="n"/>
      <c r="G511" s="8" t="n"/>
      <c r="H511" s="8" t="n"/>
      <c r="J511" s="7" t="n"/>
      <c r="K511" s="8" t="n"/>
      <c r="L511" s="7" t="n"/>
      <c r="M511" s="8" t="n"/>
      <c r="N511" s="7" t="n"/>
      <c r="O511" s="8" t="n"/>
      <c r="P511" s="6" t="n"/>
      <c r="Q511" s="8" t="n"/>
      <c r="S511" s="8">
        <f>IF(B511="","",E511*F511)</f>
        <v/>
      </c>
      <c r="T511" s="8">
        <f>IF(OR(B511="",N(G511)=0),"",ABS(F511-G511)*E511)</f>
        <v/>
      </c>
      <c r="U511" s="8">
        <f>IF(OR(B511="",P511=""),"",IF(D511="Venda",-1,1)*((N(J511)*N(K511)+N(L511)*N(M511)+N(N511)*N(O511))-(N(J511)+N(L511)+N(N511))*F511)-N(Q511))</f>
        <v/>
      </c>
      <c r="V511" s="9">
        <f>IF(OR(B511="",P511=""),"",U511/S511)</f>
        <v/>
      </c>
      <c r="W511">
        <f>IF(OR(B511="",P511=""),"",NETWORKDAYS(C511,P511)-1)</f>
        <v/>
      </c>
      <c r="X511">
        <f>IF(B511="","",IF(P511="","Aberto","Fechado"))</f>
        <v/>
      </c>
    </row>
    <row r="512">
      <c r="C512" s="6" t="n"/>
      <c r="E512" s="7" t="n"/>
      <c r="F512" s="8" t="n"/>
      <c r="G512" s="8" t="n"/>
      <c r="H512" s="8" t="n"/>
      <c r="J512" s="7" t="n"/>
      <c r="K512" s="8" t="n"/>
      <c r="L512" s="7" t="n"/>
      <c r="M512" s="8" t="n"/>
      <c r="N512" s="7" t="n"/>
      <c r="O512" s="8" t="n"/>
      <c r="P512" s="6" t="n"/>
      <c r="Q512" s="8" t="n"/>
      <c r="S512" s="8">
        <f>IF(B512="","",E512*F512)</f>
        <v/>
      </c>
      <c r="T512" s="8">
        <f>IF(OR(B512="",N(G512)=0),"",ABS(F512-G512)*E512)</f>
        <v/>
      </c>
      <c r="U512" s="8">
        <f>IF(OR(B512="",P512=""),"",IF(D512="Venda",-1,1)*((N(J512)*N(K512)+N(L512)*N(M512)+N(N512)*N(O512))-(N(J512)+N(L512)+N(N512))*F512)-N(Q512))</f>
        <v/>
      </c>
      <c r="V512" s="9">
        <f>IF(OR(B512="",P512=""),"",U512/S512)</f>
        <v/>
      </c>
      <c r="W512">
        <f>IF(OR(B512="",P512=""),"",NETWORKDAYS(C512,P512)-1)</f>
        <v/>
      </c>
      <c r="X512">
        <f>IF(B512="","",IF(P512="","Aberto","Fechado"))</f>
        <v/>
      </c>
    </row>
    <row r="513">
      <c r="C513" s="6" t="n"/>
      <c r="E513" s="7" t="n"/>
      <c r="F513" s="8" t="n"/>
      <c r="G513" s="8" t="n"/>
      <c r="H513" s="8" t="n"/>
      <c r="J513" s="7" t="n"/>
      <c r="K513" s="8" t="n"/>
      <c r="L513" s="7" t="n"/>
      <c r="M513" s="8" t="n"/>
      <c r="N513" s="7" t="n"/>
      <c r="O513" s="8" t="n"/>
      <c r="P513" s="6" t="n"/>
      <c r="Q513" s="8" t="n"/>
      <c r="S513" s="8">
        <f>IF(B513="","",E513*F513)</f>
        <v/>
      </c>
      <c r="T513" s="8">
        <f>IF(OR(B513="",N(G513)=0),"",ABS(F513-G513)*E513)</f>
        <v/>
      </c>
      <c r="U513" s="8">
        <f>IF(OR(B513="",P513=""),"",IF(D513="Venda",-1,1)*((N(J513)*N(K513)+N(L513)*N(M513)+N(N513)*N(O513))-(N(J513)+N(L513)+N(N513))*F513)-N(Q513))</f>
        <v/>
      </c>
      <c r="V513" s="9">
        <f>IF(OR(B513="",P513=""),"",U513/S513)</f>
        <v/>
      </c>
      <c r="W513">
        <f>IF(OR(B513="",P513=""),"",NETWORKDAYS(C513,P513)-1)</f>
        <v/>
      </c>
      <c r="X513">
        <f>IF(B513="","",IF(P513="","Aberto","Fechado"))</f>
        <v/>
      </c>
    </row>
    <row r="514">
      <c r="C514" s="6" t="n"/>
      <c r="E514" s="7" t="n"/>
      <c r="F514" s="8" t="n"/>
      <c r="G514" s="8" t="n"/>
      <c r="H514" s="8" t="n"/>
      <c r="J514" s="7" t="n"/>
      <c r="K514" s="8" t="n"/>
      <c r="L514" s="7" t="n"/>
      <c r="M514" s="8" t="n"/>
      <c r="N514" s="7" t="n"/>
      <c r="O514" s="8" t="n"/>
      <c r="P514" s="6" t="n"/>
      <c r="Q514" s="8" t="n"/>
      <c r="S514" s="8">
        <f>IF(B514="","",E514*F514)</f>
        <v/>
      </c>
      <c r="T514" s="8">
        <f>IF(OR(B514="",N(G514)=0),"",ABS(F514-G514)*E514)</f>
        <v/>
      </c>
      <c r="U514" s="8">
        <f>IF(OR(B514="",P514=""),"",IF(D514="Venda",-1,1)*((N(J514)*N(K514)+N(L514)*N(M514)+N(N514)*N(O514))-(N(J514)+N(L514)+N(N514))*F514)-N(Q514))</f>
        <v/>
      </c>
      <c r="V514" s="9">
        <f>IF(OR(B514="",P514=""),"",U514/S514)</f>
        <v/>
      </c>
      <c r="W514">
        <f>IF(OR(B514="",P514=""),"",NETWORKDAYS(C514,P514)-1)</f>
        <v/>
      </c>
      <c r="X514">
        <f>IF(B514="","",IF(P514="","Aberto","Fechado"))</f>
        <v/>
      </c>
    </row>
    <row r="515">
      <c r="C515" s="6" t="n"/>
      <c r="E515" s="7" t="n"/>
      <c r="F515" s="8" t="n"/>
      <c r="G515" s="8" t="n"/>
      <c r="H515" s="8" t="n"/>
      <c r="J515" s="7" t="n"/>
      <c r="K515" s="8" t="n"/>
      <c r="L515" s="7" t="n"/>
      <c r="M515" s="8" t="n"/>
      <c r="N515" s="7" t="n"/>
      <c r="O515" s="8" t="n"/>
      <c r="P515" s="6" t="n"/>
      <c r="Q515" s="8" t="n"/>
      <c r="S515" s="8">
        <f>IF(B515="","",E515*F515)</f>
        <v/>
      </c>
      <c r="T515" s="8">
        <f>IF(OR(B515="",N(G515)=0),"",ABS(F515-G515)*E515)</f>
        <v/>
      </c>
      <c r="U515" s="8">
        <f>IF(OR(B515="",P515=""),"",IF(D515="Venda",-1,1)*((N(J515)*N(K515)+N(L515)*N(M515)+N(N515)*N(O515))-(N(J515)+N(L515)+N(N515))*F515)-N(Q515))</f>
        <v/>
      </c>
      <c r="V515" s="9">
        <f>IF(OR(B515="",P515=""),"",U515/S515)</f>
        <v/>
      </c>
      <c r="W515">
        <f>IF(OR(B515="",P515=""),"",NETWORKDAYS(C515,P515)-1)</f>
        <v/>
      </c>
      <c r="X515">
        <f>IF(B515="","",IF(P515="","Aberto","Fechado"))</f>
        <v/>
      </c>
    </row>
    <row r="516">
      <c r="C516" s="6" t="n"/>
      <c r="E516" s="7" t="n"/>
      <c r="F516" s="8" t="n"/>
      <c r="G516" s="8" t="n"/>
      <c r="H516" s="8" t="n"/>
      <c r="J516" s="7" t="n"/>
      <c r="K516" s="8" t="n"/>
      <c r="L516" s="7" t="n"/>
      <c r="M516" s="8" t="n"/>
      <c r="N516" s="7" t="n"/>
      <c r="O516" s="8" t="n"/>
      <c r="P516" s="6" t="n"/>
      <c r="Q516" s="8" t="n"/>
      <c r="S516" s="8">
        <f>IF(B516="","",E516*F516)</f>
        <v/>
      </c>
      <c r="T516" s="8">
        <f>IF(OR(B516="",N(G516)=0),"",ABS(F516-G516)*E516)</f>
        <v/>
      </c>
      <c r="U516" s="8">
        <f>IF(OR(B516="",P516=""),"",IF(D516="Venda",-1,1)*((N(J516)*N(K516)+N(L516)*N(M516)+N(N516)*N(O516))-(N(J516)+N(L516)+N(N516))*F516)-N(Q516))</f>
        <v/>
      </c>
      <c r="V516" s="9">
        <f>IF(OR(B516="",P516=""),"",U516/S516)</f>
        <v/>
      </c>
      <c r="W516">
        <f>IF(OR(B516="",P516=""),"",NETWORKDAYS(C516,P516)-1)</f>
        <v/>
      </c>
      <c r="X516">
        <f>IF(B516="","",IF(P516="","Aberto","Fechado"))</f>
        <v/>
      </c>
    </row>
    <row r="517">
      <c r="C517" s="6" t="n"/>
      <c r="E517" s="7" t="n"/>
      <c r="F517" s="8" t="n"/>
      <c r="G517" s="8" t="n"/>
      <c r="H517" s="8" t="n"/>
      <c r="J517" s="7" t="n"/>
      <c r="K517" s="8" t="n"/>
      <c r="L517" s="7" t="n"/>
      <c r="M517" s="8" t="n"/>
      <c r="N517" s="7" t="n"/>
      <c r="O517" s="8" t="n"/>
      <c r="P517" s="6" t="n"/>
      <c r="Q517" s="8" t="n"/>
      <c r="S517" s="8">
        <f>IF(B517="","",E517*F517)</f>
        <v/>
      </c>
      <c r="T517" s="8">
        <f>IF(OR(B517="",N(G517)=0),"",ABS(F517-G517)*E517)</f>
        <v/>
      </c>
      <c r="U517" s="8">
        <f>IF(OR(B517="",P517=""),"",IF(D517="Venda",-1,1)*((N(J517)*N(K517)+N(L517)*N(M517)+N(N517)*N(O517))-(N(J517)+N(L517)+N(N517))*F517)-N(Q517))</f>
        <v/>
      </c>
      <c r="V517" s="9">
        <f>IF(OR(B517="",P517=""),"",U517/S517)</f>
        <v/>
      </c>
      <c r="W517">
        <f>IF(OR(B517="",P517=""),"",NETWORKDAYS(C517,P517)-1)</f>
        <v/>
      </c>
      <c r="X517">
        <f>IF(B517="","",IF(P517="","Aberto","Fechado"))</f>
        <v/>
      </c>
    </row>
    <row r="518">
      <c r="C518" s="6" t="n"/>
      <c r="E518" s="7" t="n"/>
      <c r="F518" s="8" t="n"/>
      <c r="G518" s="8" t="n"/>
      <c r="H518" s="8" t="n"/>
      <c r="J518" s="7" t="n"/>
      <c r="K518" s="8" t="n"/>
      <c r="L518" s="7" t="n"/>
      <c r="M518" s="8" t="n"/>
      <c r="N518" s="7" t="n"/>
      <c r="O518" s="8" t="n"/>
      <c r="P518" s="6" t="n"/>
      <c r="Q518" s="8" t="n"/>
      <c r="S518" s="8">
        <f>IF(B518="","",E518*F518)</f>
        <v/>
      </c>
      <c r="T518" s="8">
        <f>IF(OR(B518="",N(G518)=0),"",ABS(F518-G518)*E518)</f>
        <v/>
      </c>
      <c r="U518" s="8">
        <f>IF(OR(B518="",P518=""),"",IF(D518="Venda",-1,1)*((N(J518)*N(K518)+N(L518)*N(M518)+N(N518)*N(O518))-(N(J518)+N(L518)+N(N518))*F518)-N(Q518))</f>
        <v/>
      </c>
      <c r="V518" s="9">
        <f>IF(OR(B518="",P518=""),"",U518/S518)</f>
        <v/>
      </c>
      <c r="W518">
        <f>IF(OR(B518="",P518=""),"",NETWORKDAYS(C518,P518)-1)</f>
        <v/>
      </c>
      <c r="X518">
        <f>IF(B518="","",IF(P518="","Aberto","Fechado"))</f>
        <v/>
      </c>
    </row>
    <row r="519">
      <c r="C519" s="6" t="n"/>
      <c r="E519" s="7" t="n"/>
      <c r="F519" s="8" t="n"/>
      <c r="G519" s="8" t="n"/>
      <c r="H519" s="8" t="n"/>
      <c r="J519" s="7" t="n"/>
      <c r="K519" s="8" t="n"/>
      <c r="L519" s="7" t="n"/>
      <c r="M519" s="8" t="n"/>
      <c r="N519" s="7" t="n"/>
      <c r="O519" s="8" t="n"/>
      <c r="P519" s="6" t="n"/>
      <c r="Q519" s="8" t="n"/>
      <c r="S519" s="8">
        <f>IF(B519="","",E519*F519)</f>
        <v/>
      </c>
      <c r="T519" s="8">
        <f>IF(OR(B519="",N(G519)=0),"",ABS(F519-G519)*E519)</f>
        <v/>
      </c>
      <c r="U519" s="8">
        <f>IF(OR(B519="",P519=""),"",IF(D519="Venda",-1,1)*((N(J519)*N(K519)+N(L519)*N(M519)+N(N519)*N(O519))-(N(J519)+N(L519)+N(N519))*F519)-N(Q519))</f>
        <v/>
      </c>
      <c r="V519" s="9">
        <f>IF(OR(B519="",P519=""),"",U519/S519)</f>
        <v/>
      </c>
      <c r="W519">
        <f>IF(OR(B519="",P519=""),"",NETWORKDAYS(C519,P519)-1)</f>
        <v/>
      </c>
      <c r="X519">
        <f>IF(B519="","",IF(P519="","Aberto","Fechado"))</f>
        <v/>
      </c>
    </row>
    <row r="520">
      <c r="C520" s="6" t="n"/>
      <c r="E520" s="7" t="n"/>
      <c r="F520" s="8" t="n"/>
      <c r="G520" s="8" t="n"/>
      <c r="H520" s="8" t="n"/>
      <c r="J520" s="7" t="n"/>
      <c r="K520" s="8" t="n"/>
      <c r="L520" s="7" t="n"/>
      <c r="M520" s="8" t="n"/>
      <c r="N520" s="7" t="n"/>
      <c r="O520" s="8" t="n"/>
      <c r="P520" s="6" t="n"/>
      <c r="Q520" s="8" t="n"/>
      <c r="S520" s="8">
        <f>IF(B520="","",E520*F520)</f>
        <v/>
      </c>
      <c r="T520" s="8">
        <f>IF(OR(B520="",N(G520)=0),"",ABS(F520-G520)*E520)</f>
        <v/>
      </c>
      <c r="U520" s="8">
        <f>IF(OR(B520="",P520=""),"",IF(D520="Venda",-1,1)*((N(J520)*N(K520)+N(L520)*N(M520)+N(N520)*N(O520))-(N(J520)+N(L520)+N(N520))*F520)-N(Q520))</f>
        <v/>
      </c>
      <c r="V520" s="9">
        <f>IF(OR(B520="",P520=""),"",U520/S520)</f>
        <v/>
      </c>
      <c r="W520">
        <f>IF(OR(B520="",P520=""),"",NETWORKDAYS(C520,P520)-1)</f>
        <v/>
      </c>
      <c r="X520">
        <f>IF(B520="","",IF(P520="","Aberto","Fechado"))</f>
        <v/>
      </c>
    </row>
    <row r="521">
      <c r="C521" s="6" t="n"/>
      <c r="E521" s="7" t="n"/>
      <c r="F521" s="8" t="n"/>
      <c r="G521" s="8" t="n"/>
      <c r="H521" s="8" t="n"/>
      <c r="J521" s="7" t="n"/>
      <c r="K521" s="8" t="n"/>
      <c r="L521" s="7" t="n"/>
      <c r="M521" s="8" t="n"/>
      <c r="N521" s="7" t="n"/>
      <c r="O521" s="8" t="n"/>
      <c r="P521" s="6" t="n"/>
      <c r="Q521" s="8" t="n"/>
      <c r="S521" s="8">
        <f>IF(B521="","",E521*F521)</f>
        <v/>
      </c>
      <c r="T521" s="8">
        <f>IF(OR(B521="",N(G521)=0),"",ABS(F521-G521)*E521)</f>
        <v/>
      </c>
      <c r="U521" s="8">
        <f>IF(OR(B521="",P521=""),"",IF(D521="Venda",-1,1)*((N(J521)*N(K521)+N(L521)*N(M521)+N(N521)*N(O521))-(N(J521)+N(L521)+N(N521))*F521)-N(Q521))</f>
        <v/>
      </c>
      <c r="V521" s="9">
        <f>IF(OR(B521="",P521=""),"",U521/S521)</f>
        <v/>
      </c>
      <c r="W521">
        <f>IF(OR(B521="",P521=""),"",NETWORKDAYS(C521,P521)-1)</f>
        <v/>
      </c>
      <c r="X521">
        <f>IF(B521="","",IF(P521="","Aberto","Fechado"))</f>
        <v/>
      </c>
    </row>
    <row r="522">
      <c r="C522" s="6" t="n"/>
      <c r="E522" s="7" t="n"/>
      <c r="F522" s="8" t="n"/>
      <c r="G522" s="8" t="n"/>
      <c r="H522" s="8" t="n"/>
      <c r="J522" s="7" t="n"/>
      <c r="K522" s="8" t="n"/>
      <c r="L522" s="7" t="n"/>
      <c r="M522" s="8" t="n"/>
      <c r="N522" s="7" t="n"/>
      <c r="O522" s="8" t="n"/>
      <c r="P522" s="6" t="n"/>
      <c r="Q522" s="8" t="n"/>
      <c r="S522" s="8">
        <f>IF(B522="","",E522*F522)</f>
        <v/>
      </c>
      <c r="T522" s="8">
        <f>IF(OR(B522="",N(G522)=0),"",ABS(F522-G522)*E522)</f>
        <v/>
      </c>
      <c r="U522" s="8">
        <f>IF(OR(B522="",P522=""),"",IF(D522="Venda",-1,1)*((N(J522)*N(K522)+N(L522)*N(M522)+N(N522)*N(O522))-(N(J522)+N(L522)+N(N522))*F522)-N(Q522))</f>
        <v/>
      </c>
      <c r="V522" s="9">
        <f>IF(OR(B522="",P522=""),"",U522/S522)</f>
        <v/>
      </c>
      <c r="W522">
        <f>IF(OR(B522="",P522=""),"",NETWORKDAYS(C522,P522)-1)</f>
        <v/>
      </c>
      <c r="X522">
        <f>IF(B522="","",IF(P522="","Aberto","Fechado"))</f>
        <v/>
      </c>
    </row>
    <row r="523">
      <c r="C523" s="6" t="n"/>
      <c r="E523" s="7" t="n"/>
      <c r="F523" s="8" t="n"/>
      <c r="G523" s="8" t="n"/>
      <c r="H523" s="8" t="n"/>
      <c r="J523" s="7" t="n"/>
      <c r="K523" s="8" t="n"/>
      <c r="L523" s="7" t="n"/>
      <c r="M523" s="8" t="n"/>
      <c r="N523" s="7" t="n"/>
      <c r="O523" s="8" t="n"/>
      <c r="P523" s="6" t="n"/>
      <c r="Q523" s="8" t="n"/>
      <c r="S523" s="8">
        <f>IF(B523="","",E523*F523)</f>
        <v/>
      </c>
      <c r="T523" s="8">
        <f>IF(OR(B523="",N(G523)=0),"",ABS(F523-G523)*E523)</f>
        <v/>
      </c>
      <c r="U523" s="8">
        <f>IF(OR(B523="",P523=""),"",IF(D523="Venda",-1,1)*((N(J523)*N(K523)+N(L523)*N(M523)+N(N523)*N(O523))-(N(J523)+N(L523)+N(N523))*F523)-N(Q523))</f>
        <v/>
      </c>
      <c r="V523" s="9">
        <f>IF(OR(B523="",P523=""),"",U523/S523)</f>
        <v/>
      </c>
      <c r="W523">
        <f>IF(OR(B523="",P523=""),"",NETWORKDAYS(C523,P523)-1)</f>
        <v/>
      </c>
      <c r="X523">
        <f>IF(B523="","",IF(P523="","Aberto","Fechado"))</f>
        <v/>
      </c>
    </row>
    <row r="524">
      <c r="C524" s="6" t="n"/>
      <c r="E524" s="7" t="n"/>
      <c r="F524" s="8" t="n"/>
      <c r="G524" s="8" t="n"/>
      <c r="H524" s="8" t="n"/>
      <c r="J524" s="7" t="n"/>
      <c r="K524" s="8" t="n"/>
      <c r="L524" s="7" t="n"/>
      <c r="M524" s="8" t="n"/>
      <c r="N524" s="7" t="n"/>
      <c r="O524" s="8" t="n"/>
      <c r="P524" s="6" t="n"/>
      <c r="Q524" s="8" t="n"/>
      <c r="S524" s="8">
        <f>IF(B524="","",E524*F524)</f>
        <v/>
      </c>
      <c r="T524" s="8">
        <f>IF(OR(B524="",N(G524)=0),"",ABS(F524-G524)*E524)</f>
        <v/>
      </c>
      <c r="U524" s="8">
        <f>IF(OR(B524="",P524=""),"",IF(D524="Venda",-1,1)*((N(J524)*N(K524)+N(L524)*N(M524)+N(N524)*N(O524))-(N(J524)+N(L524)+N(N524))*F524)-N(Q524))</f>
        <v/>
      </c>
      <c r="V524" s="9">
        <f>IF(OR(B524="",P524=""),"",U524/S524)</f>
        <v/>
      </c>
      <c r="W524">
        <f>IF(OR(B524="",P524=""),"",NETWORKDAYS(C524,P524)-1)</f>
        <v/>
      </c>
      <c r="X524">
        <f>IF(B524="","",IF(P524="","Aberto","Fechado"))</f>
        <v/>
      </c>
    </row>
    <row r="525">
      <c r="C525" s="6" t="n"/>
      <c r="E525" s="7" t="n"/>
      <c r="F525" s="8" t="n"/>
      <c r="G525" s="8" t="n"/>
      <c r="H525" s="8" t="n"/>
      <c r="J525" s="7" t="n"/>
      <c r="K525" s="8" t="n"/>
      <c r="L525" s="7" t="n"/>
      <c r="M525" s="8" t="n"/>
      <c r="N525" s="7" t="n"/>
      <c r="O525" s="8" t="n"/>
      <c r="P525" s="6" t="n"/>
      <c r="Q525" s="8" t="n"/>
      <c r="S525" s="8">
        <f>IF(B525="","",E525*F525)</f>
        <v/>
      </c>
      <c r="T525" s="8">
        <f>IF(OR(B525="",N(G525)=0),"",ABS(F525-G525)*E525)</f>
        <v/>
      </c>
      <c r="U525" s="8">
        <f>IF(OR(B525="",P525=""),"",IF(D525="Venda",-1,1)*((N(J525)*N(K525)+N(L525)*N(M525)+N(N525)*N(O525))-(N(J525)+N(L525)+N(N525))*F525)-N(Q525))</f>
        <v/>
      </c>
      <c r="V525" s="9">
        <f>IF(OR(B525="",P525=""),"",U525/S525)</f>
        <v/>
      </c>
      <c r="W525">
        <f>IF(OR(B525="",P525=""),"",NETWORKDAYS(C525,P525)-1)</f>
        <v/>
      </c>
      <c r="X525">
        <f>IF(B525="","",IF(P525="","Aberto","Fechado"))</f>
        <v/>
      </c>
    </row>
    <row r="526">
      <c r="C526" s="6" t="n"/>
      <c r="E526" s="7" t="n"/>
      <c r="F526" s="8" t="n"/>
      <c r="G526" s="8" t="n"/>
      <c r="H526" s="8" t="n"/>
      <c r="J526" s="7" t="n"/>
      <c r="K526" s="8" t="n"/>
      <c r="L526" s="7" t="n"/>
      <c r="M526" s="8" t="n"/>
      <c r="N526" s="7" t="n"/>
      <c r="O526" s="8" t="n"/>
      <c r="P526" s="6" t="n"/>
      <c r="Q526" s="8" t="n"/>
      <c r="S526" s="8">
        <f>IF(B526="","",E526*F526)</f>
        <v/>
      </c>
      <c r="T526" s="8">
        <f>IF(OR(B526="",N(G526)=0),"",ABS(F526-G526)*E526)</f>
        <v/>
      </c>
      <c r="U526" s="8">
        <f>IF(OR(B526="",P526=""),"",IF(D526="Venda",-1,1)*((N(J526)*N(K526)+N(L526)*N(M526)+N(N526)*N(O526))-(N(J526)+N(L526)+N(N526))*F526)-N(Q526))</f>
        <v/>
      </c>
      <c r="V526" s="9">
        <f>IF(OR(B526="",P526=""),"",U526/S526)</f>
        <v/>
      </c>
      <c r="W526">
        <f>IF(OR(B526="",P526=""),"",NETWORKDAYS(C526,P526)-1)</f>
        <v/>
      </c>
      <c r="X526">
        <f>IF(B526="","",IF(P526="","Aberto","Fechado"))</f>
        <v/>
      </c>
    </row>
    <row r="527">
      <c r="C527" s="6" t="n"/>
      <c r="E527" s="7" t="n"/>
      <c r="F527" s="8" t="n"/>
      <c r="G527" s="8" t="n"/>
      <c r="H527" s="8" t="n"/>
      <c r="J527" s="7" t="n"/>
      <c r="K527" s="8" t="n"/>
      <c r="L527" s="7" t="n"/>
      <c r="M527" s="8" t="n"/>
      <c r="N527" s="7" t="n"/>
      <c r="O527" s="8" t="n"/>
      <c r="P527" s="6" t="n"/>
      <c r="Q527" s="8" t="n"/>
      <c r="S527" s="8">
        <f>IF(B527="","",E527*F527)</f>
        <v/>
      </c>
      <c r="T527" s="8">
        <f>IF(OR(B527="",N(G527)=0),"",ABS(F527-G527)*E527)</f>
        <v/>
      </c>
      <c r="U527" s="8">
        <f>IF(OR(B527="",P527=""),"",IF(D527="Venda",-1,1)*((N(J527)*N(K527)+N(L527)*N(M527)+N(N527)*N(O527))-(N(J527)+N(L527)+N(N527))*F527)-N(Q527))</f>
        <v/>
      </c>
      <c r="V527" s="9">
        <f>IF(OR(B527="",P527=""),"",U527/S527)</f>
        <v/>
      </c>
      <c r="W527">
        <f>IF(OR(B527="",P527=""),"",NETWORKDAYS(C527,P527)-1)</f>
        <v/>
      </c>
      <c r="X527">
        <f>IF(B527="","",IF(P527="","Aberto","Fechado"))</f>
        <v/>
      </c>
    </row>
    <row r="528">
      <c r="C528" s="6" t="n"/>
      <c r="E528" s="7" t="n"/>
      <c r="F528" s="8" t="n"/>
      <c r="G528" s="8" t="n"/>
      <c r="H528" s="8" t="n"/>
      <c r="J528" s="7" t="n"/>
      <c r="K528" s="8" t="n"/>
      <c r="L528" s="7" t="n"/>
      <c r="M528" s="8" t="n"/>
      <c r="N528" s="7" t="n"/>
      <c r="O528" s="8" t="n"/>
      <c r="P528" s="6" t="n"/>
      <c r="Q528" s="8" t="n"/>
      <c r="S528" s="8">
        <f>IF(B528="","",E528*F528)</f>
        <v/>
      </c>
      <c r="T528" s="8">
        <f>IF(OR(B528="",N(G528)=0),"",ABS(F528-G528)*E528)</f>
        <v/>
      </c>
      <c r="U528" s="8">
        <f>IF(OR(B528="",P528=""),"",IF(D528="Venda",-1,1)*((N(J528)*N(K528)+N(L528)*N(M528)+N(N528)*N(O528))-(N(J528)+N(L528)+N(N528))*F528)-N(Q528))</f>
        <v/>
      </c>
      <c r="V528" s="9">
        <f>IF(OR(B528="",P528=""),"",U528/S528)</f>
        <v/>
      </c>
      <c r="W528">
        <f>IF(OR(B528="",P528=""),"",NETWORKDAYS(C528,P528)-1)</f>
        <v/>
      </c>
      <c r="X528">
        <f>IF(B528="","",IF(P528="","Aberto","Fechado"))</f>
        <v/>
      </c>
    </row>
    <row r="529">
      <c r="C529" s="6" t="n"/>
      <c r="E529" s="7" t="n"/>
      <c r="F529" s="8" t="n"/>
      <c r="G529" s="8" t="n"/>
      <c r="H529" s="8" t="n"/>
      <c r="J529" s="7" t="n"/>
      <c r="K529" s="8" t="n"/>
      <c r="L529" s="7" t="n"/>
      <c r="M529" s="8" t="n"/>
      <c r="N529" s="7" t="n"/>
      <c r="O529" s="8" t="n"/>
      <c r="P529" s="6" t="n"/>
      <c r="Q529" s="8" t="n"/>
      <c r="S529" s="8">
        <f>IF(B529="","",E529*F529)</f>
        <v/>
      </c>
      <c r="T529" s="8">
        <f>IF(OR(B529="",N(G529)=0),"",ABS(F529-G529)*E529)</f>
        <v/>
      </c>
      <c r="U529" s="8">
        <f>IF(OR(B529="",P529=""),"",IF(D529="Venda",-1,1)*((N(J529)*N(K529)+N(L529)*N(M529)+N(N529)*N(O529))-(N(J529)+N(L529)+N(N529))*F529)-N(Q529))</f>
        <v/>
      </c>
      <c r="V529" s="9">
        <f>IF(OR(B529="",P529=""),"",U529/S529)</f>
        <v/>
      </c>
      <c r="W529">
        <f>IF(OR(B529="",P529=""),"",NETWORKDAYS(C529,P529)-1)</f>
        <v/>
      </c>
      <c r="X529">
        <f>IF(B529="","",IF(P529="","Aberto","Fechado"))</f>
        <v/>
      </c>
    </row>
    <row r="530">
      <c r="C530" s="6" t="n"/>
      <c r="E530" s="7" t="n"/>
      <c r="F530" s="8" t="n"/>
      <c r="G530" s="8" t="n"/>
      <c r="H530" s="8" t="n"/>
      <c r="J530" s="7" t="n"/>
      <c r="K530" s="8" t="n"/>
      <c r="L530" s="7" t="n"/>
      <c r="M530" s="8" t="n"/>
      <c r="N530" s="7" t="n"/>
      <c r="O530" s="8" t="n"/>
      <c r="P530" s="6" t="n"/>
      <c r="Q530" s="8" t="n"/>
      <c r="S530" s="8">
        <f>IF(B530="","",E530*F530)</f>
        <v/>
      </c>
      <c r="T530" s="8">
        <f>IF(OR(B530="",N(G530)=0),"",ABS(F530-G530)*E530)</f>
        <v/>
      </c>
      <c r="U530" s="8">
        <f>IF(OR(B530="",P530=""),"",IF(D530="Venda",-1,1)*((N(J530)*N(K530)+N(L530)*N(M530)+N(N530)*N(O530))-(N(J530)+N(L530)+N(N530))*F530)-N(Q530))</f>
        <v/>
      </c>
      <c r="V530" s="9">
        <f>IF(OR(B530="",P530=""),"",U530/S530)</f>
        <v/>
      </c>
      <c r="W530">
        <f>IF(OR(B530="",P530=""),"",NETWORKDAYS(C530,P530)-1)</f>
        <v/>
      </c>
      <c r="X530">
        <f>IF(B530="","",IF(P530="","Aberto","Fechado"))</f>
        <v/>
      </c>
    </row>
    <row r="531">
      <c r="C531" s="6" t="n"/>
      <c r="E531" s="7" t="n"/>
      <c r="F531" s="8" t="n"/>
      <c r="G531" s="8" t="n"/>
      <c r="H531" s="8" t="n"/>
      <c r="J531" s="7" t="n"/>
      <c r="K531" s="8" t="n"/>
      <c r="L531" s="7" t="n"/>
      <c r="M531" s="8" t="n"/>
      <c r="N531" s="7" t="n"/>
      <c r="O531" s="8" t="n"/>
      <c r="P531" s="6" t="n"/>
      <c r="Q531" s="8" t="n"/>
      <c r="S531" s="8">
        <f>IF(B531="","",E531*F531)</f>
        <v/>
      </c>
      <c r="T531" s="8">
        <f>IF(OR(B531="",N(G531)=0),"",ABS(F531-G531)*E531)</f>
        <v/>
      </c>
      <c r="U531" s="8">
        <f>IF(OR(B531="",P531=""),"",IF(D531="Venda",-1,1)*((N(J531)*N(K531)+N(L531)*N(M531)+N(N531)*N(O531))-(N(J531)+N(L531)+N(N531))*F531)-N(Q531))</f>
        <v/>
      </c>
      <c r="V531" s="9">
        <f>IF(OR(B531="",P531=""),"",U531/S531)</f>
        <v/>
      </c>
      <c r="W531">
        <f>IF(OR(B531="",P531=""),"",NETWORKDAYS(C531,P531)-1)</f>
        <v/>
      </c>
      <c r="X531">
        <f>IF(B531="","",IF(P531="","Aberto","Fechado"))</f>
        <v/>
      </c>
    </row>
    <row r="532">
      <c r="C532" s="6" t="n"/>
      <c r="E532" s="7" t="n"/>
      <c r="F532" s="8" t="n"/>
      <c r="G532" s="8" t="n"/>
      <c r="H532" s="8" t="n"/>
      <c r="J532" s="7" t="n"/>
      <c r="K532" s="8" t="n"/>
      <c r="L532" s="7" t="n"/>
      <c r="M532" s="8" t="n"/>
      <c r="N532" s="7" t="n"/>
      <c r="O532" s="8" t="n"/>
      <c r="P532" s="6" t="n"/>
      <c r="Q532" s="8" t="n"/>
      <c r="S532" s="8">
        <f>IF(B532="","",E532*F532)</f>
        <v/>
      </c>
      <c r="T532" s="8">
        <f>IF(OR(B532="",N(G532)=0),"",ABS(F532-G532)*E532)</f>
        <v/>
      </c>
      <c r="U532" s="8">
        <f>IF(OR(B532="",P532=""),"",IF(D532="Venda",-1,1)*((N(J532)*N(K532)+N(L532)*N(M532)+N(N532)*N(O532))-(N(J532)+N(L532)+N(N532))*F532)-N(Q532))</f>
        <v/>
      </c>
      <c r="V532" s="9">
        <f>IF(OR(B532="",P532=""),"",U532/S532)</f>
        <v/>
      </c>
      <c r="W532">
        <f>IF(OR(B532="",P532=""),"",NETWORKDAYS(C532,P532)-1)</f>
        <v/>
      </c>
      <c r="X532">
        <f>IF(B532="","",IF(P532="","Aberto","Fechado"))</f>
        <v/>
      </c>
    </row>
    <row r="533">
      <c r="C533" s="6" t="n"/>
      <c r="E533" s="7" t="n"/>
      <c r="F533" s="8" t="n"/>
      <c r="G533" s="8" t="n"/>
      <c r="H533" s="8" t="n"/>
      <c r="J533" s="7" t="n"/>
      <c r="K533" s="8" t="n"/>
      <c r="L533" s="7" t="n"/>
      <c r="M533" s="8" t="n"/>
      <c r="N533" s="7" t="n"/>
      <c r="O533" s="8" t="n"/>
      <c r="P533" s="6" t="n"/>
      <c r="Q533" s="8" t="n"/>
      <c r="S533" s="8">
        <f>IF(B533="","",E533*F533)</f>
        <v/>
      </c>
      <c r="T533" s="8">
        <f>IF(OR(B533="",N(G533)=0),"",ABS(F533-G533)*E533)</f>
        <v/>
      </c>
      <c r="U533" s="8">
        <f>IF(OR(B533="",P533=""),"",IF(D533="Venda",-1,1)*((N(J533)*N(K533)+N(L533)*N(M533)+N(N533)*N(O533))-(N(J533)+N(L533)+N(N533))*F533)-N(Q533))</f>
        <v/>
      </c>
      <c r="V533" s="9">
        <f>IF(OR(B533="",P533=""),"",U533/S533)</f>
        <v/>
      </c>
      <c r="W533">
        <f>IF(OR(B533="",P533=""),"",NETWORKDAYS(C533,P533)-1)</f>
        <v/>
      </c>
      <c r="X533">
        <f>IF(B533="","",IF(P533="","Aberto","Fechado"))</f>
        <v/>
      </c>
    </row>
    <row r="534">
      <c r="C534" s="6" t="n"/>
      <c r="E534" s="7" t="n"/>
      <c r="F534" s="8" t="n"/>
      <c r="G534" s="8" t="n"/>
      <c r="H534" s="8" t="n"/>
      <c r="J534" s="7" t="n"/>
      <c r="K534" s="8" t="n"/>
      <c r="L534" s="7" t="n"/>
      <c r="M534" s="8" t="n"/>
      <c r="N534" s="7" t="n"/>
      <c r="O534" s="8" t="n"/>
      <c r="P534" s="6" t="n"/>
      <c r="Q534" s="8" t="n"/>
      <c r="S534" s="8">
        <f>IF(B534="","",E534*F534)</f>
        <v/>
      </c>
      <c r="T534" s="8">
        <f>IF(OR(B534="",N(G534)=0),"",ABS(F534-G534)*E534)</f>
        <v/>
      </c>
      <c r="U534" s="8">
        <f>IF(OR(B534="",P534=""),"",IF(D534="Venda",-1,1)*((N(J534)*N(K534)+N(L534)*N(M534)+N(N534)*N(O534))-(N(J534)+N(L534)+N(N534))*F534)-N(Q534))</f>
        <v/>
      </c>
      <c r="V534" s="9">
        <f>IF(OR(B534="",P534=""),"",U534/S534)</f>
        <v/>
      </c>
      <c r="W534">
        <f>IF(OR(B534="",P534=""),"",NETWORKDAYS(C534,P534)-1)</f>
        <v/>
      </c>
      <c r="X534">
        <f>IF(B534="","",IF(P534="","Aberto","Fechado"))</f>
        <v/>
      </c>
    </row>
    <row r="535">
      <c r="C535" s="6" t="n"/>
      <c r="E535" s="7" t="n"/>
      <c r="F535" s="8" t="n"/>
      <c r="G535" s="8" t="n"/>
      <c r="H535" s="8" t="n"/>
      <c r="J535" s="7" t="n"/>
      <c r="K535" s="8" t="n"/>
      <c r="L535" s="7" t="n"/>
      <c r="M535" s="8" t="n"/>
      <c r="N535" s="7" t="n"/>
      <c r="O535" s="8" t="n"/>
      <c r="P535" s="6" t="n"/>
      <c r="Q535" s="8" t="n"/>
      <c r="S535" s="8">
        <f>IF(B535="","",E535*F535)</f>
        <v/>
      </c>
      <c r="T535" s="8">
        <f>IF(OR(B535="",N(G535)=0),"",ABS(F535-G535)*E535)</f>
        <v/>
      </c>
      <c r="U535" s="8">
        <f>IF(OR(B535="",P535=""),"",IF(D535="Venda",-1,1)*((N(J535)*N(K535)+N(L535)*N(M535)+N(N535)*N(O535))-(N(J535)+N(L535)+N(N535))*F535)-N(Q535))</f>
        <v/>
      </c>
      <c r="V535" s="9">
        <f>IF(OR(B535="",P535=""),"",U535/S535)</f>
        <v/>
      </c>
      <c r="W535">
        <f>IF(OR(B535="",P535=""),"",NETWORKDAYS(C535,P535)-1)</f>
        <v/>
      </c>
      <c r="X535">
        <f>IF(B535="","",IF(P535="","Aberto","Fechado"))</f>
        <v/>
      </c>
    </row>
    <row r="536">
      <c r="C536" s="6" t="n"/>
      <c r="E536" s="7" t="n"/>
      <c r="F536" s="8" t="n"/>
      <c r="G536" s="8" t="n"/>
      <c r="H536" s="8" t="n"/>
      <c r="J536" s="7" t="n"/>
      <c r="K536" s="8" t="n"/>
      <c r="L536" s="7" t="n"/>
      <c r="M536" s="8" t="n"/>
      <c r="N536" s="7" t="n"/>
      <c r="O536" s="8" t="n"/>
      <c r="P536" s="6" t="n"/>
      <c r="Q536" s="8" t="n"/>
      <c r="S536" s="8">
        <f>IF(B536="","",E536*F536)</f>
        <v/>
      </c>
      <c r="T536" s="8">
        <f>IF(OR(B536="",N(G536)=0),"",ABS(F536-G536)*E536)</f>
        <v/>
      </c>
      <c r="U536" s="8">
        <f>IF(OR(B536="",P536=""),"",IF(D536="Venda",-1,1)*((N(J536)*N(K536)+N(L536)*N(M536)+N(N536)*N(O536))-(N(J536)+N(L536)+N(N536))*F536)-N(Q536))</f>
        <v/>
      </c>
      <c r="V536" s="9">
        <f>IF(OR(B536="",P536=""),"",U536/S536)</f>
        <v/>
      </c>
      <c r="W536">
        <f>IF(OR(B536="",P536=""),"",NETWORKDAYS(C536,P536)-1)</f>
        <v/>
      </c>
      <c r="X536">
        <f>IF(B536="","",IF(P536="","Aberto","Fechado"))</f>
        <v/>
      </c>
    </row>
    <row r="537">
      <c r="C537" s="6" t="n"/>
      <c r="E537" s="7" t="n"/>
      <c r="F537" s="8" t="n"/>
      <c r="G537" s="8" t="n"/>
      <c r="H537" s="8" t="n"/>
      <c r="J537" s="7" t="n"/>
      <c r="K537" s="8" t="n"/>
      <c r="L537" s="7" t="n"/>
      <c r="M537" s="8" t="n"/>
      <c r="N537" s="7" t="n"/>
      <c r="O537" s="8" t="n"/>
      <c r="P537" s="6" t="n"/>
      <c r="Q537" s="8" t="n"/>
      <c r="S537" s="8">
        <f>IF(B537="","",E537*F537)</f>
        <v/>
      </c>
      <c r="T537" s="8">
        <f>IF(OR(B537="",N(G537)=0),"",ABS(F537-G537)*E537)</f>
        <v/>
      </c>
      <c r="U537" s="8">
        <f>IF(OR(B537="",P537=""),"",IF(D537="Venda",-1,1)*((N(J537)*N(K537)+N(L537)*N(M537)+N(N537)*N(O537))-(N(J537)+N(L537)+N(N537))*F537)-N(Q537))</f>
        <v/>
      </c>
      <c r="V537" s="9">
        <f>IF(OR(B537="",P537=""),"",U537/S537)</f>
        <v/>
      </c>
      <c r="W537">
        <f>IF(OR(B537="",P537=""),"",NETWORKDAYS(C537,P537)-1)</f>
        <v/>
      </c>
      <c r="X537">
        <f>IF(B537="","",IF(P537="","Aberto","Fechado"))</f>
        <v/>
      </c>
    </row>
    <row r="538">
      <c r="C538" s="6" t="n"/>
      <c r="E538" s="7" t="n"/>
      <c r="F538" s="8" t="n"/>
      <c r="G538" s="8" t="n"/>
      <c r="H538" s="8" t="n"/>
      <c r="J538" s="7" t="n"/>
      <c r="K538" s="8" t="n"/>
      <c r="L538" s="7" t="n"/>
      <c r="M538" s="8" t="n"/>
      <c r="N538" s="7" t="n"/>
      <c r="O538" s="8" t="n"/>
      <c r="P538" s="6" t="n"/>
      <c r="Q538" s="8" t="n"/>
      <c r="S538" s="8">
        <f>IF(B538="","",E538*F538)</f>
        <v/>
      </c>
      <c r="T538" s="8">
        <f>IF(OR(B538="",N(G538)=0),"",ABS(F538-G538)*E538)</f>
        <v/>
      </c>
      <c r="U538" s="8">
        <f>IF(OR(B538="",P538=""),"",IF(D538="Venda",-1,1)*((N(J538)*N(K538)+N(L538)*N(M538)+N(N538)*N(O538))-(N(J538)+N(L538)+N(N538))*F538)-N(Q538))</f>
        <v/>
      </c>
      <c r="V538" s="9">
        <f>IF(OR(B538="",P538=""),"",U538/S538)</f>
        <v/>
      </c>
      <c r="W538">
        <f>IF(OR(B538="",P538=""),"",NETWORKDAYS(C538,P538)-1)</f>
        <v/>
      </c>
      <c r="X538">
        <f>IF(B538="","",IF(P538="","Aberto","Fechado"))</f>
        <v/>
      </c>
    </row>
    <row r="539">
      <c r="C539" s="6" t="n"/>
      <c r="E539" s="7" t="n"/>
      <c r="F539" s="8" t="n"/>
      <c r="G539" s="8" t="n"/>
      <c r="H539" s="8" t="n"/>
      <c r="J539" s="7" t="n"/>
      <c r="K539" s="8" t="n"/>
      <c r="L539" s="7" t="n"/>
      <c r="M539" s="8" t="n"/>
      <c r="N539" s="7" t="n"/>
      <c r="O539" s="8" t="n"/>
      <c r="P539" s="6" t="n"/>
      <c r="Q539" s="8" t="n"/>
      <c r="S539" s="8">
        <f>IF(B539="","",E539*F539)</f>
        <v/>
      </c>
      <c r="T539" s="8">
        <f>IF(OR(B539="",N(G539)=0),"",ABS(F539-G539)*E539)</f>
        <v/>
      </c>
      <c r="U539" s="8">
        <f>IF(OR(B539="",P539=""),"",IF(D539="Venda",-1,1)*((N(J539)*N(K539)+N(L539)*N(M539)+N(N539)*N(O539))-(N(J539)+N(L539)+N(N539))*F539)-N(Q539))</f>
        <v/>
      </c>
      <c r="V539" s="9">
        <f>IF(OR(B539="",P539=""),"",U539/S539)</f>
        <v/>
      </c>
      <c r="W539">
        <f>IF(OR(B539="",P539=""),"",NETWORKDAYS(C539,P539)-1)</f>
        <v/>
      </c>
      <c r="X539">
        <f>IF(B539="","",IF(P539="","Aberto","Fechado"))</f>
        <v/>
      </c>
    </row>
    <row r="540">
      <c r="C540" s="6" t="n"/>
      <c r="E540" s="7" t="n"/>
      <c r="F540" s="8" t="n"/>
      <c r="G540" s="8" t="n"/>
      <c r="H540" s="8" t="n"/>
      <c r="J540" s="7" t="n"/>
      <c r="K540" s="8" t="n"/>
      <c r="L540" s="7" t="n"/>
      <c r="M540" s="8" t="n"/>
      <c r="N540" s="7" t="n"/>
      <c r="O540" s="8" t="n"/>
      <c r="P540" s="6" t="n"/>
      <c r="Q540" s="8" t="n"/>
      <c r="S540" s="8">
        <f>IF(B540="","",E540*F540)</f>
        <v/>
      </c>
      <c r="T540" s="8">
        <f>IF(OR(B540="",N(G540)=0),"",ABS(F540-G540)*E540)</f>
        <v/>
      </c>
      <c r="U540" s="8">
        <f>IF(OR(B540="",P540=""),"",IF(D540="Venda",-1,1)*((N(J540)*N(K540)+N(L540)*N(M540)+N(N540)*N(O540))-(N(J540)+N(L540)+N(N540))*F540)-N(Q540))</f>
        <v/>
      </c>
      <c r="V540" s="9">
        <f>IF(OR(B540="",P540=""),"",U540/S540)</f>
        <v/>
      </c>
      <c r="W540">
        <f>IF(OR(B540="",P540=""),"",NETWORKDAYS(C540,P540)-1)</f>
        <v/>
      </c>
      <c r="X540">
        <f>IF(B540="","",IF(P540="","Aberto","Fechado"))</f>
        <v/>
      </c>
    </row>
    <row r="541">
      <c r="C541" s="6" t="n"/>
      <c r="E541" s="7" t="n"/>
      <c r="F541" s="8" t="n"/>
      <c r="G541" s="8" t="n"/>
      <c r="H541" s="8" t="n"/>
      <c r="J541" s="7" t="n"/>
      <c r="K541" s="8" t="n"/>
      <c r="L541" s="7" t="n"/>
      <c r="M541" s="8" t="n"/>
      <c r="N541" s="7" t="n"/>
      <c r="O541" s="8" t="n"/>
      <c r="P541" s="6" t="n"/>
      <c r="Q541" s="8" t="n"/>
      <c r="S541" s="8">
        <f>IF(B541="","",E541*F541)</f>
        <v/>
      </c>
      <c r="T541" s="8">
        <f>IF(OR(B541="",N(G541)=0),"",ABS(F541-G541)*E541)</f>
        <v/>
      </c>
      <c r="U541" s="8">
        <f>IF(OR(B541="",P541=""),"",IF(D541="Venda",-1,1)*((N(J541)*N(K541)+N(L541)*N(M541)+N(N541)*N(O541))-(N(J541)+N(L541)+N(N541))*F541)-N(Q541))</f>
        <v/>
      </c>
      <c r="V541" s="9">
        <f>IF(OR(B541="",P541=""),"",U541/S541)</f>
        <v/>
      </c>
      <c r="W541">
        <f>IF(OR(B541="",P541=""),"",NETWORKDAYS(C541,P541)-1)</f>
        <v/>
      </c>
      <c r="X541">
        <f>IF(B541="","",IF(P541="","Aberto","Fechado"))</f>
        <v/>
      </c>
    </row>
    <row r="542">
      <c r="C542" s="6" t="n"/>
      <c r="E542" s="7" t="n"/>
      <c r="F542" s="8" t="n"/>
      <c r="G542" s="8" t="n"/>
      <c r="H542" s="8" t="n"/>
      <c r="J542" s="7" t="n"/>
      <c r="K542" s="8" t="n"/>
      <c r="L542" s="7" t="n"/>
      <c r="M542" s="8" t="n"/>
      <c r="N542" s="7" t="n"/>
      <c r="O542" s="8" t="n"/>
      <c r="P542" s="6" t="n"/>
      <c r="Q542" s="8" t="n"/>
      <c r="S542" s="8">
        <f>IF(B542="","",E542*F542)</f>
        <v/>
      </c>
      <c r="T542" s="8">
        <f>IF(OR(B542="",N(G542)=0),"",ABS(F542-G542)*E542)</f>
        <v/>
      </c>
      <c r="U542" s="8">
        <f>IF(OR(B542="",P542=""),"",IF(D542="Venda",-1,1)*((N(J542)*N(K542)+N(L542)*N(M542)+N(N542)*N(O542))-(N(J542)+N(L542)+N(N542))*F542)-N(Q542))</f>
        <v/>
      </c>
      <c r="V542" s="9">
        <f>IF(OR(B542="",P542=""),"",U542/S542)</f>
        <v/>
      </c>
      <c r="W542">
        <f>IF(OR(B542="",P542=""),"",NETWORKDAYS(C542,P542)-1)</f>
        <v/>
      </c>
      <c r="X542">
        <f>IF(B542="","",IF(P542="","Aberto","Fechado"))</f>
        <v/>
      </c>
    </row>
    <row r="543">
      <c r="C543" s="6" t="n"/>
      <c r="E543" s="7" t="n"/>
      <c r="F543" s="8" t="n"/>
      <c r="G543" s="8" t="n"/>
      <c r="H543" s="8" t="n"/>
      <c r="J543" s="7" t="n"/>
      <c r="K543" s="8" t="n"/>
      <c r="L543" s="7" t="n"/>
      <c r="M543" s="8" t="n"/>
      <c r="N543" s="7" t="n"/>
      <c r="O543" s="8" t="n"/>
      <c r="P543" s="6" t="n"/>
      <c r="Q543" s="8" t="n"/>
      <c r="S543" s="8">
        <f>IF(B543="","",E543*F543)</f>
        <v/>
      </c>
      <c r="T543" s="8">
        <f>IF(OR(B543="",N(G543)=0),"",ABS(F543-G543)*E543)</f>
        <v/>
      </c>
      <c r="U543" s="8">
        <f>IF(OR(B543="",P543=""),"",IF(D543="Venda",-1,1)*((N(J543)*N(K543)+N(L543)*N(M543)+N(N543)*N(O543))-(N(J543)+N(L543)+N(N543))*F543)-N(Q543))</f>
        <v/>
      </c>
      <c r="V543" s="9">
        <f>IF(OR(B543="",P543=""),"",U543/S543)</f>
        <v/>
      </c>
      <c r="W543">
        <f>IF(OR(B543="",P543=""),"",NETWORKDAYS(C543,P543)-1)</f>
        <v/>
      </c>
      <c r="X543">
        <f>IF(B543="","",IF(P543="","Aberto","Fechado"))</f>
        <v/>
      </c>
    </row>
    <row r="544">
      <c r="C544" s="6" t="n"/>
      <c r="E544" s="7" t="n"/>
      <c r="F544" s="8" t="n"/>
      <c r="G544" s="8" t="n"/>
      <c r="H544" s="8" t="n"/>
      <c r="J544" s="7" t="n"/>
      <c r="K544" s="8" t="n"/>
      <c r="L544" s="7" t="n"/>
      <c r="M544" s="8" t="n"/>
      <c r="N544" s="7" t="n"/>
      <c r="O544" s="8" t="n"/>
      <c r="P544" s="6" t="n"/>
      <c r="Q544" s="8" t="n"/>
      <c r="S544" s="8">
        <f>IF(B544="","",E544*F544)</f>
        <v/>
      </c>
      <c r="T544" s="8">
        <f>IF(OR(B544="",N(G544)=0),"",ABS(F544-G544)*E544)</f>
        <v/>
      </c>
      <c r="U544" s="8">
        <f>IF(OR(B544="",P544=""),"",IF(D544="Venda",-1,1)*((N(J544)*N(K544)+N(L544)*N(M544)+N(N544)*N(O544))-(N(J544)+N(L544)+N(N544))*F544)-N(Q544))</f>
        <v/>
      </c>
      <c r="V544" s="9">
        <f>IF(OR(B544="",P544=""),"",U544/S544)</f>
        <v/>
      </c>
      <c r="W544">
        <f>IF(OR(B544="",P544=""),"",NETWORKDAYS(C544,P544)-1)</f>
        <v/>
      </c>
      <c r="X544">
        <f>IF(B544="","",IF(P544="","Aberto","Fechado"))</f>
        <v/>
      </c>
    </row>
    <row r="545">
      <c r="C545" s="6" t="n"/>
      <c r="E545" s="7" t="n"/>
      <c r="F545" s="8" t="n"/>
      <c r="G545" s="8" t="n"/>
      <c r="H545" s="8" t="n"/>
      <c r="J545" s="7" t="n"/>
      <c r="K545" s="8" t="n"/>
      <c r="L545" s="7" t="n"/>
      <c r="M545" s="8" t="n"/>
      <c r="N545" s="7" t="n"/>
      <c r="O545" s="8" t="n"/>
      <c r="P545" s="6" t="n"/>
      <c r="Q545" s="8" t="n"/>
      <c r="S545" s="8">
        <f>IF(B545="","",E545*F545)</f>
        <v/>
      </c>
      <c r="T545" s="8">
        <f>IF(OR(B545="",N(G545)=0),"",ABS(F545-G545)*E545)</f>
        <v/>
      </c>
      <c r="U545" s="8">
        <f>IF(OR(B545="",P545=""),"",IF(D545="Venda",-1,1)*((N(J545)*N(K545)+N(L545)*N(M545)+N(N545)*N(O545))-(N(J545)+N(L545)+N(N545))*F545)-N(Q545))</f>
        <v/>
      </c>
      <c r="V545" s="9">
        <f>IF(OR(B545="",P545=""),"",U545/S545)</f>
        <v/>
      </c>
      <c r="W545">
        <f>IF(OR(B545="",P545=""),"",NETWORKDAYS(C545,P545)-1)</f>
        <v/>
      </c>
      <c r="X545">
        <f>IF(B545="","",IF(P545="","Aberto","Fechado"))</f>
        <v/>
      </c>
    </row>
    <row r="546">
      <c r="C546" s="6" t="n"/>
      <c r="E546" s="7" t="n"/>
      <c r="F546" s="8" t="n"/>
      <c r="G546" s="8" t="n"/>
      <c r="H546" s="8" t="n"/>
      <c r="J546" s="7" t="n"/>
      <c r="K546" s="8" t="n"/>
      <c r="L546" s="7" t="n"/>
      <c r="M546" s="8" t="n"/>
      <c r="N546" s="7" t="n"/>
      <c r="O546" s="8" t="n"/>
      <c r="P546" s="6" t="n"/>
      <c r="Q546" s="8" t="n"/>
      <c r="S546" s="8">
        <f>IF(B546="","",E546*F546)</f>
        <v/>
      </c>
      <c r="T546" s="8">
        <f>IF(OR(B546="",N(G546)=0),"",ABS(F546-G546)*E546)</f>
        <v/>
      </c>
      <c r="U546" s="8">
        <f>IF(OR(B546="",P546=""),"",IF(D546="Venda",-1,1)*((N(J546)*N(K546)+N(L546)*N(M546)+N(N546)*N(O546))-(N(J546)+N(L546)+N(N546))*F546)-N(Q546))</f>
        <v/>
      </c>
      <c r="V546" s="9">
        <f>IF(OR(B546="",P546=""),"",U546/S546)</f>
        <v/>
      </c>
      <c r="W546">
        <f>IF(OR(B546="",P546=""),"",NETWORKDAYS(C546,P546)-1)</f>
        <v/>
      </c>
      <c r="X546">
        <f>IF(B546="","",IF(P546="","Aberto","Fechado"))</f>
        <v/>
      </c>
    </row>
    <row r="547">
      <c r="C547" s="6" t="n"/>
      <c r="E547" s="7" t="n"/>
      <c r="F547" s="8" t="n"/>
      <c r="G547" s="8" t="n"/>
      <c r="H547" s="8" t="n"/>
      <c r="J547" s="7" t="n"/>
      <c r="K547" s="8" t="n"/>
      <c r="L547" s="7" t="n"/>
      <c r="M547" s="8" t="n"/>
      <c r="N547" s="7" t="n"/>
      <c r="O547" s="8" t="n"/>
      <c r="P547" s="6" t="n"/>
      <c r="Q547" s="8" t="n"/>
      <c r="S547" s="8">
        <f>IF(B547="","",E547*F547)</f>
        <v/>
      </c>
      <c r="T547" s="8">
        <f>IF(OR(B547="",N(G547)=0),"",ABS(F547-G547)*E547)</f>
        <v/>
      </c>
      <c r="U547" s="8">
        <f>IF(OR(B547="",P547=""),"",IF(D547="Venda",-1,1)*((N(J547)*N(K547)+N(L547)*N(M547)+N(N547)*N(O547))-(N(J547)+N(L547)+N(N547))*F547)-N(Q547))</f>
        <v/>
      </c>
      <c r="V547" s="9">
        <f>IF(OR(B547="",P547=""),"",U547/S547)</f>
        <v/>
      </c>
      <c r="W547">
        <f>IF(OR(B547="",P547=""),"",NETWORKDAYS(C547,P547)-1)</f>
        <v/>
      </c>
      <c r="X547">
        <f>IF(B547="","",IF(P547="","Aberto","Fechado"))</f>
        <v/>
      </c>
    </row>
    <row r="548">
      <c r="C548" s="6" t="n"/>
      <c r="E548" s="7" t="n"/>
      <c r="F548" s="8" t="n"/>
      <c r="G548" s="8" t="n"/>
      <c r="H548" s="8" t="n"/>
      <c r="J548" s="7" t="n"/>
      <c r="K548" s="8" t="n"/>
      <c r="L548" s="7" t="n"/>
      <c r="M548" s="8" t="n"/>
      <c r="N548" s="7" t="n"/>
      <c r="O548" s="8" t="n"/>
      <c r="P548" s="6" t="n"/>
      <c r="Q548" s="8" t="n"/>
      <c r="S548" s="8">
        <f>IF(B548="","",E548*F548)</f>
        <v/>
      </c>
      <c r="T548" s="8">
        <f>IF(OR(B548="",N(G548)=0),"",ABS(F548-G548)*E548)</f>
        <v/>
      </c>
      <c r="U548" s="8">
        <f>IF(OR(B548="",P548=""),"",IF(D548="Venda",-1,1)*((N(J548)*N(K548)+N(L548)*N(M548)+N(N548)*N(O548))-(N(J548)+N(L548)+N(N548))*F548)-N(Q548))</f>
        <v/>
      </c>
      <c r="V548" s="9">
        <f>IF(OR(B548="",P548=""),"",U548/S548)</f>
        <v/>
      </c>
      <c r="W548">
        <f>IF(OR(B548="",P548=""),"",NETWORKDAYS(C548,P548)-1)</f>
        <v/>
      </c>
      <c r="X548">
        <f>IF(B548="","",IF(P548="","Aberto","Fechado"))</f>
        <v/>
      </c>
    </row>
    <row r="549">
      <c r="C549" s="6" t="n"/>
      <c r="E549" s="7" t="n"/>
      <c r="F549" s="8" t="n"/>
      <c r="G549" s="8" t="n"/>
      <c r="H549" s="8" t="n"/>
      <c r="J549" s="7" t="n"/>
      <c r="K549" s="8" t="n"/>
      <c r="L549" s="7" t="n"/>
      <c r="M549" s="8" t="n"/>
      <c r="N549" s="7" t="n"/>
      <c r="O549" s="8" t="n"/>
      <c r="P549" s="6" t="n"/>
      <c r="Q549" s="8" t="n"/>
      <c r="S549" s="8">
        <f>IF(B549="","",E549*F549)</f>
        <v/>
      </c>
      <c r="T549" s="8">
        <f>IF(OR(B549="",N(G549)=0),"",ABS(F549-G549)*E549)</f>
        <v/>
      </c>
      <c r="U549" s="8">
        <f>IF(OR(B549="",P549=""),"",IF(D549="Venda",-1,1)*((N(J549)*N(K549)+N(L549)*N(M549)+N(N549)*N(O549))-(N(J549)+N(L549)+N(N549))*F549)-N(Q549))</f>
        <v/>
      </c>
      <c r="V549" s="9">
        <f>IF(OR(B549="",P549=""),"",U549/S549)</f>
        <v/>
      </c>
      <c r="W549">
        <f>IF(OR(B549="",P549=""),"",NETWORKDAYS(C549,P549)-1)</f>
        <v/>
      </c>
      <c r="X549">
        <f>IF(B549="","",IF(P549="","Aberto","Fechado"))</f>
        <v/>
      </c>
    </row>
    <row r="550">
      <c r="C550" s="6" t="n"/>
      <c r="E550" s="7" t="n"/>
      <c r="F550" s="8" t="n"/>
      <c r="G550" s="8" t="n"/>
      <c r="H550" s="8" t="n"/>
      <c r="J550" s="7" t="n"/>
      <c r="K550" s="8" t="n"/>
      <c r="L550" s="7" t="n"/>
      <c r="M550" s="8" t="n"/>
      <c r="N550" s="7" t="n"/>
      <c r="O550" s="8" t="n"/>
      <c r="P550" s="6" t="n"/>
      <c r="Q550" s="8" t="n"/>
      <c r="S550" s="8">
        <f>IF(B550="","",E550*F550)</f>
        <v/>
      </c>
      <c r="T550" s="8">
        <f>IF(OR(B550="",N(G550)=0),"",ABS(F550-G550)*E550)</f>
        <v/>
      </c>
      <c r="U550" s="8">
        <f>IF(OR(B550="",P550=""),"",IF(D550="Venda",-1,1)*((N(J550)*N(K550)+N(L550)*N(M550)+N(N550)*N(O550))-(N(J550)+N(L550)+N(N550))*F550)-N(Q550))</f>
        <v/>
      </c>
      <c r="V550" s="9">
        <f>IF(OR(B550="",P550=""),"",U550/S550)</f>
        <v/>
      </c>
      <c r="W550">
        <f>IF(OR(B550="",P550=""),"",NETWORKDAYS(C550,P550)-1)</f>
        <v/>
      </c>
      <c r="X550">
        <f>IF(B550="","",IF(P550="","Aberto","Fechado"))</f>
        <v/>
      </c>
    </row>
    <row r="551">
      <c r="C551" s="6" t="n"/>
      <c r="E551" s="7" t="n"/>
      <c r="F551" s="8" t="n"/>
      <c r="G551" s="8" t="n"/>
      <c r="H551" s="8" t="n"/>
      <c r="J551" s="7" t="n"/>
      <c r="K551" s="8" t="n"/>
      <c r="L551" s="7" t="n"/>
      <c r="M551" s="8" t="n"/>
      <c r="N551" s="7" t="n"/>
      <c r="O551" s="8" t="n"/>
      <c r="P551" s="6" t="n"/>
      <c r="Q551" s="8" t="n"/>
      <c r="S551" s="8">
        <f>IF(B551="","",E551*F551)</f>
        <v/>
      </c>
      <c r="T551" s="8">
        <f>IF(OR(B551="",N(G551)=0),"",ABS(F551-G551)*E551)</f>
        <v/>
      </c>
      <c r="U551" s="8">
        <f>IF(OR(B551="",P551=""),"",IF(D551="Venda",-1,1)*((N(J551)*N(K551)+N(L551)*N(M551)+N(N551)*N(O551))-(N(J551)+N(L551)+N(N551))*F551)-N(Q551))</f>
        <v/>
      </c>
      <c r="V551" s="9">
        <f>IF(OR(B551="",P551=""),"",U551/S551)</f>
        <v/>
      </c>
      <c r="W551">
        <f>IF(OR(B551="",P551=""),"",NETWORKDAYS(C551,P551)-1)</f>
        <v/>
      </c>
      <c r="X551">
        <f>IF(B551="","",IF(P551="","Aberto","Fechado"))</f>
        <v/>
      </c>
    </row>
    <row r="552">
      <c r="C552" s="6" t="n"/>
      <c r="E552" s="7" t="n"/>
      <c r="F552" s="8" t="n"/>
      <c r="G552" s="8" t="n"/>
      <c r="H552" s="8" t="n"/>
      <c r="J552" s="7" t="n"/>
      <c r="K552" s="8" t="n"/>
      <c r="L552" s="7" t="n"/>
      <c r="M552" s="8" t="n"/>
      <c r="N552" s="7" t="n"/>
      <c r="O552" s="8" t="n"/>
      <c r="P552" s="6" t="n"/>
      <c r="Q552" s="8" t="n"/>
      <c r="S552" s="8">
        <f>IF(B552="","",E552*F552)</f>
        <v/>
      </c>
      <c r="T552" s="8">
        <f>IF(OR(B552="",N(G552)=0),"",ABS(F552-G552)*E552)</f>
        <v/>
      </c>
      <c r="U552" s="8">
        <f>IF(OR(B552="",P552=""),"",IF(D552="Venda",-1,1)*((N(J552)*N(K552)+N(L552)*N(M552)+N(N552)*N(O552))-(N(J552)+N(L552)+N(N552))*F552)-N(Q552))</f>
        <v/>
      </c>
      <c r="V552" s="9">
        <f>IF(OR(B552="",P552=""),"",U552/S552)</f>
        <v/>
      </c>
      <c r="W552">
        <f>IF(OR(B552="",P552=""),"",NETWORKDAYS(C552,P552)-1)</f>
        <v/>
      </c>
      <c r="X552">
        <f>IF(B552="","",IF(P552="","Aberto","Fechado"))</f>
        <v/>
      </c>
    </row>
    <row r="553">
      <c r="C553" s="6" t="n"/>
      <c r="E553" s="7" t="n"/>
      <c r="F553" s="8" t="n"/>
      <c r="G553" s="8" t="n"/>
      <c r="H553" s="8" t="n"/>
      <c r="J553" s="7" t="n"/>
      <c r="K553" s="8" t="n"/>
      <c r="L553" s="7" t="n"/>
      <c r="M553" s="8" t="n"/>
      <c r="N553" s="7" t="n"/>
      <c r="O553" s="8" t="n"/>
      <c r="P553" s="6" t="n"/>
      <c r="Q553" s="8" t="n"/>
      <c r="S553" s="8">
        <f>IF(B553="","",E553*F553)</f>
        <v/>
      </c>
      <c r="T553" s="8">
        <f>IF(OR(B553="",N(G553)=0),"",ABS(F553-G553)*E553)</f>
        <v/>
      </c>
      <c r="U553" s="8">
        <f>IF(OR(B553="",P553=""),"",IF(D553="Venda",-1,1)*((N(J553)*N(K553)+N(L553)*N(M553)+N(N553)*N(O553))-(N(J553)+N(L553)+N(N553))*F553)-N(Q553))</f>
        <v/>
      </c>
      <c r="V553" s="9">
        <f>IF(OR(B553="",P553=""),"",U553/S553)</f>
        <v/>
      </c>
      <c r="W553">
        <f>IF(OR(B553="",P553=""),"",NETWORKDAYS(C553,P553)-1)</f>
        <v/>
      </c>
      <c r="X553">
        <f>IF(B553="","",IF(P553="","Aberto","Fechado"))</f>
        <v/>
      </c>
    </row>
    <row r="554">
      <c r="C554" s="6" t="n"/>
      <c r="E554" s="7" t="n"/>
      <c r="F554" s="8" t="n"/>
      <c r="G554" s="8" t="n"/>
      <c r="H554" s="8" t="n"/>
      <c r="J554" s="7" t="n"/>
      <c r="K554" s="8" t="n"/>
      <c r="L554" s="7" t="n"/>
      <c r="M554" s="8" t="n"/>
      <c r="N554" s="7" t="n"/>
      <c r="O554" s="8" t="n"/>
      <c r="P554" s="6" t="n"/>
      <c r="Q554" s="8" t="n"/>
      <c r="S554" s="8">
        <f>IF(B554="","",E554*F554)</f>
        <v/>
      </c>
      <c r="T554" s="8">
        <f>IF(OR(B554="",N(G554)=0),"",ABS(F554-G554)*E554)</f>
        <v/>
      </c>
      <c r="U554" s="8">
        <f>IF(OR(B554="",P554=""),"",IF(D554="Venda",-1,1)*((N(J554)*N(K554)+N(L554)*N(M554)+N(N554)*N(O554))-(N(J554)+N(L554)+N(N554))*F554)-N(Q554))</f>
        <v/>
      </c>
      <c r="V554" s="9">
        <f>IF(OR(B554="",P554=""),"",U554/S554)</f>
        <v/>
      </c>
      <c r="W554">
        <f>IF(OR(B554="",P554=""),"",NETWORKDAYS(C554,P554)-1)</f>
        <v/>
      </c>
      <c r="X554">
        <f>IF(B554="","",IF(P554="","Aberto","Fechado"))</f>
        <v/>
      </c>
    </row>
    <row r="555">
      <c r="C555" s="6" t="n"/>
      <c r="E555" s="7" t="n"/>
      <c r="F555" s="8" t="n"/>
      <c r="G555" s="8" t="n"/>
      <c r="H555" s="8" t="n"/>
      <c r="J555" s="7" t="n"/>
      <c r="K555" s="8" t="n"/>
      <c r="L555" s="7" t="n"/>
      <c r="M555" s="8" t="n"/>
      <c r="N555" s="7" t="n"/>
      <c r="O555" s="8" t="n"/>
      <c r="P555" s="6" t="n"/>
      <c r="Q555" s="8" t="n"/>
      <c r="S555" s="8">
        <f>IF(B555="","",E555*F555)</f>
        <v/>
      </c>
      <c r="T555" s="8">
        <f>IF(OR(B555="",N(G555)=0),"",ABS(F555-G555)*E555)</f>
        <v/>
      </c>
      <c r="U555" s="8">
        <f>IF(OR(B555="",P555=""),"",IF(D555="Venda",-1,1)*((N(J555)*N(K555)+N(L555)*N(M555)+N(N555)*N(O555))-(N(J555)+N(L555)+N(N555))*F555)-N(Q555))</f>
        <v/>
      </c>
      <c r="V555" s="9">
        <f>IF(OR(B555="",P555=""),"",U555/S555)</f>
        <v/>
      </c>
      <c r="W555">
        <f>IF(OR(B555="",P555=""),"",NETWORKDAYS(C555,P555)-1)</f>
        <v/>
      </c>
      <c r="X555">
        <f>IF(B555="","",IF(P555="","Aberto","Fechado"))</f>
        <v/>
      </c>
    </row>
    <row r="556">
      <c r="C556" s="6" t="n"/>
      <c r="E556" s="7" t="n"/>
      <c r="F556" s="8" t="n"/>
      <c r="G556" s="8" t="n"/>
      <c r="H556" s="8" t="n"/>
      <c r="J556" s="7" t="n"/>
      <c r="K556" s="8" t="n"/>
      <c r="L556" s="7" t="n"/>
      <c r="M556" s="8" t="n"/>
      <c r="N556" s="7" t="n"/>
      <c r="O556" s="8" t="n"/>
      <c r="P556" s="6" t="n"/>
      <c r="Q556" s="8" t="n"/>
      <c r="S556" s="8">
        <f>IF(B556="","",E556*F556)</f>
        <v/>
      </c>
      <c r="T556" s="8">
        <f>IF(OR(B556="",N(G556)=0),"",ABS(F556-G556)*E556)</f>
        <v/>
      </c>
      <c r="U556" s="8">
        <f>IF(OR(B556="",P556=""),"",IF(D556="Venda",-1,1)*((N(J556)*N(K556)+N(L556)*N(M556)+N(N556)*N(O556))-(N(J556)+N(L556)+N(N556))*F556)-N(Q556))</f>
        <v/>
      </c>
      <c r="V556" s="9">
        <f>IF(OR(B556="",P556=""),"",U556/S556)</f>
        <v/>
      </c>
      <c r="W556">
        <f>IF(OR(B556="",P556=""),"",NETWORKDAYS(C556,P556)-1)</f>
        <v/>
      </c>
      <c r="X556">
        <f>IF(B556="","",IF(P556="","Aberto","Fechado"))</f>
        <v/>
      </c>
    </row>
    <row r="557">
      <c r="C557" s="6" t="n"/>
      <c r="E557" s="7" t="n"/>
      <c r="F557" s="8" t="n"/>
      <c r="G557" s="8" t="n"/>
      <c r="H557" s="8" t="n"/>
      <c r="J557" s="7" t="n"/>
      <c r="K557" s="8" t="n"/>
      <c r="L557" s="7" t="n"/>
      <c r="M557" s="8" t="n"/>
      <c r="N557" s="7" t="n"/>
      <c r="O557" s="8" t="n"/>
      <c r="P557" s="6" t="n"/>
      <c r="Q557" s="8" t="n"/>
      <c r="S557" s="8">
        <f>IF(B557="","",E557*F557)</f>
        <v/>
      </c>
      <c r="T557" s="8">
        <f>IF(OR(B557="",N(G557)=0),"",ABS(F557-G557)*E557)</f>
        <v/>
      </c>
      <c r="U557" s="8">
        <f>IF(OR(B557="",P557=""),"",IF(D557="Venda",-1,1)*((N(J557)*N(K557)+N(L557)*N(M557)+N(N557)*N(O557))-(N(J557)+N(L557)+N(N557))*F557)-N(Q557))</f>
        <v/>
      </c>
      <c r="V557" s="9">
        <f>IF(OR(B557="",P557=""),"",U557/S557)</f>
        <v/>
      </c>
      <c r="W557">
        <f>IF(OR(B557="",P557=""),"",NETWORKDAYS(C557,P557)-1)</f>
        <v/>
      </c>
      <c r="X557">
        <f>IF(B557="","",IF(P557="","Aberto","Fechado"))</f>
        <v/>
      </c>
    </row>
    <row r="558">
      <c r="C558" s="6" t="n"/>
      <c r="E558" s="7" t="n"/>
      <c r="F558" s="8" t="n"/>
      <c r="G558" s="8" t="n"/>
      <c r="H558" s="8" t="n"/>
      <c r="J558" s="7" t="n"/>
      <c r="K558" s="8" t="n"/>
      <c r="L558" s="7" t="n"/>
      <c r="M558" s="8" t="n"/>
      <c r="N558" s="7" t="n"/>
      <c r="O558" s="8" t="n"/>
      <c r="P558" s="6" t="n"/>
      <c r="Q558" s="8" t="n"/>
      <c r="S558" s="8">
        <f>IF(B558="","",E558*F558)</f>
        <v/>
      </c>
      <c r="T558" s="8">
        <f>IF(OR(B558="",N(G558)=0),"",ABS(F558-G558)*E558)</f>
        <v/>
      </c>
      <c r="U558" s="8">
        <f>IF(OR(B558="",P558=""),"",IF(D558="Venda",-1,1)*((N(J558)*N(K558)+N(L558)*N(M558)+N(N558)*N(O558))-(N(J558)+N(L558)+N(N558))*F558)-N(Q558))</f>
        <v/>
      </c>
      <c r="V558" s="9">
        <f>IF(OR(B558="",P558=""),"",U558/S558)</f>
        <v/>
      </c>
      <c r="W558">
        <f>IF(OR(B558="",P558=""),"",NETWORKDAYS(C558,P558)-1)</f>
        <v/>
      </c>
      <c r="X558">
        <f>IF(B558="","",IF(P558="","Aberto","Fechado"))</f>
        <v/>
      </c>
    </row>
    <row r="559">
      <c r="C559" s="6" t="n"/>
      <c r="E559" s="7" t="n"/>
      <c r="F559" s="8" t="n"/>
      <c r="G559" s="8" t="n"/>
      <c r="H559" s="8" t="n"/>
      <c r="J559" s="7" t="n"/>
      <c r="K559" s="8" t="n"/>
      <c r="L559" s="7" t="n"/>
      <c r="M559" s="8" t="n"/>
      <c r="N559" s="7" t="n"/>
      <c r="O559" s="8" t="n"/>
      <c r="P559" s="6" t="n"/>
      <c r="Q559" s="8" t="n"/>
      <c r="S559" s="8">
        <f>IF(B559="","",E559*F559)</f>
        <v/>
      </c>
      <c r="T559" s="8">
        <f>IF(OR(B559="",N(G559)=0),"",ABS(F559-G559)*E559)</f>
        <v/>
      </c>
      <c r="U559" s="8">
        <f>IF(OR(B559="",P559=""),"",IF(D559="Venda",-1,1)*((N(J559)*N(K559)+N(L559)*N(M559)+N(N559)*N(O559))-(N(J559)+N(L559)+N(N559))*F559)-N(Q559))</f>
        <v/>
      </c>
      <c r="V559" s="9">
        <f>IF(OR(B559="",P559=""),"",U559/S559)</f>
        <v/>
      </c>
      <c r="W559">
        <f>IF(OR(B559="",P559=""),"",NETWORKDAYS(C559,P559)-1)</f>
        <v/>
      </c>
      <c r="X559">
        <f>IF(B559="","",IF(P559="","Aberto","Fechado"))</f>
        <v/>
      </c>
    </row>
    <row r="560">
      <c r="C560" s="6" t="n"/>
      <c r="E560" s="7" t="n"/>
      <c r="F560" s="8" t="n"/>
      <c r="G560" s="8" t="n"/>
      <c r="H560" s="8" t="n"/>
      <c r="J560" s="7" t="n"/>
      <c r="K560" s="8" t="n"/>
      <c r="L560" s="7" t="n"/>
      <c r="M560" s="8" t="n"/>
      <c r="N560" s="7" t="n"/>
      <c r="O560" s="8" t="n"/>
      <c r="P560" s="6" t="n"/>
      <c r="Q560" s="8" t="n"/>
      <c r="S560" s="8">
        <f>IF(B560="","",E560*F560)</f>
        <v/>
      </c>
      <c r="T560" s="8">
        <f>IF(OR(B560="",N(G560)=0),"",ABS(F560-G560)*E560)</f>
        <v/>
      </c>
      <c r="U560" s="8">
        <f>IF(OR(B560="",P560=""),"",IF(D560="Venda",-1,1)*((N(J560)*N(K560)+N(L560)*N(M560)+N(N560)*N(O560))-(N(J560)+N(L560)+N(N560))*F560)-N(Q560))</f>
        <v/>
      </c>
      <c r="V560" s="9">
        <f>IF(OR(B560="",P560=""),"",U560/S560)</f>
        <v/>
      </c>
      <c r="W560">
        <f>IF(OR(B560="",P560=""),"",NETWORKDAYS(C560,P560)-1)</f>
        <v/>
      </c>
      <c r="X560">
        <f>IF(B560="","",IF(P560="","Aberto","Fechado"))</f>
        <v/>
      </c>
    </row>
    <row r="561">
      <c r="C561" s="6" t="n"/>
      <c r="E561" s="7" t="n"/>
      <c r="F561" s="8" t="n"/>
      <c r="G561" s="8" t="n"/>
      <c r="H561" s="8" t="n"/>
      <c r="J561" s="7" t="n"/>
      <c r="K561" s="8" t="n"/>
      <c r="L561" s="7" t="n"/>
      <c r="M561" s="8" t="n"/>
      <c r="N561" s="7" t="n"/>
      <c r="O561" s="8" t="n"/>
      <c r="P561" s="6" t="n"/>
      <c r="Q561" s="8" t="n"/>
      <c r="S561" s="8">
        <f>IF(B561="","",E561*F561)</f>
        <v/>
      </c>
      <c r="T561" s="8">
        <f>IF(OR(B561="",N(G561)=0),"",ABS(F561-G561)*E561)</f>
        <v/>
      </c>
      <c r="U561" s="8">
        <f>IF(OR(B561="",P561=""),"",IF(D561="Venda",-1,1)*((N(J561)*N(K561)+N(L561)*N(M561)+N(N561)*N(O561))-(N(J561)+N(L561)+N(N561))*F561)-N(Q561))</f>
        <v/>
      </c>
      <c r="V561" s="9">
        <f>IF(OR(B561="",P561=""),"",U561/S561)</f>
        <v/>
      </c>
      <c r="W561">
        <f>IF(OR(B561="",P561=""),"",NETWORKDAYS(C561,P561)-1)</f>
        <v/>
      </c>
      <c r="X561">
        <f>IF(B561="","",IF(P561="","Aberto","Fechado"))</f>
        <v/>
      </c>
    </row>
    <row r="562">
      <c r="C562" s="6" t="n"/>
      <c r="E562" s="7" t="n"/>
      <c r="F562" s="8" t="n"/>
      <c r="G562" s="8" t="n"/>
      <c r="H562" s="8" t="n"/>
      <c r="J562" s="7" t="n"/>
      <c r="K562" s="8" t="n"/>
      <c r="L562" s="7" t="n"/>
      <c r="M562" s="8" t="n"/>
      <c r="N562" s="7" t="n"/>
      <c r="O562" s="8" t="n"/>
      <c r="P562" s="6" t="n"/>
      <c r="Q562" s="8" t="n"/>
      <c r="S562" s="8">
        <f>IF(B562="","",E562*F562)</f>
        <v/>
      </c>
      <c r="T562" s="8">
        <f>IF(OR(B562="",N(G562)=0),"",ABS(F562-G562)*E562)</f>
        <v/>
      </c>
      <c r="U562" s="8">
        <f>IF(OR(B562="",P562=""),"",IF(D562="Venda",-1,1)*((N(J562)*N(K562)+N(L562)*N(M562)+N(N562)*N(O562))-(N(J562)+N(L562)+N(N562))*F562)-N(Q562))</f>
        <v/>
      </c>
      <c r="V562" s="9">
        <f>IF(OR(B562="",P562=""),"",U562/S562)</f>
        <v/>
      </c>
      <c r="W562">
        <f>IF(OR(B562="",P562=""),"",NETWORKDAYS(C562,P562)-1)</f>
        <v/>
      </c>
      <c r="X562">
        <f>IF(B562="","",IF(P562="","Aberto","Fechado"))</f>
        <v/>
      </c>
    </row>
    <row r="563">
      <c r="C563" s="6" t="n"/>
      <c r="E563" s="7" t="n"/>
      <c r="F563" s="8" t="n"/>
      <c r="G563" s="8" t="n"/>
      <c r="H563" s="8" t="n"/>
      <c r="J563" s="7" t="n"/>
      <c r="K563" s="8" t="n"/>
      <c r="L563" s="7" t="n"/>
      <c r="M563" s="8" t="n"/>
      <c r="N563" s="7" t="n"/>
      <c r="O563" s="8" t="n"/>
      <c r="P563" s="6" t="n"/>
      <c r="Q563" s="8" t="n"/>
      <c r="S563" s="8">
        <f>IF(B563="","",E563*F563)</f>
        <v/>
      </c>
      <c r="T563" s="8">
        <f>IF(OR(B563="",N(G563)=0),"",ABS(F563-G563)*E563)</f>
        <v/>
      </c>
      <c r="U563" s="8">
        <f>IF(OR(B563="",P563=""),"",IF(D563="Venda",-1,1)*((N(J563)*N(K563)+N(L563)*N(M563)+N(N563)*N(O563))-(N(J563)+N(L563)+N(N563))*F563)-N(Q563))</f>
        <v/>
      </c>
      <c r="V563" s="9">
        <f>IF(OR(B563="",P563=""),"",U563/S563)</f>
        <v/>
      </c>
      <c r="W563">
        <f>IF(OR(B563="",P563=""),"",NETWORKDAYS(C563,P563)-1)</f>
        <v/>
      </c>
      <c r="X563">
        <f>IF(B563="","",IF(P563="","Aberto","Fechado"))</f>
        <v/>
      </c>
    </row>
    <row r="564">
      <c r="C564" s="6" t="n"/>
      <c r="E564" s="7" t="n"/>
      <c r="F564" s="8" t="n"/>
      <c r="G564" s="8" t="n"/>
      <c r="H564" s="8" t="n"/>
      <c r="J564" s="7" t="n"/>
      <c r="K564" s="8" t="n"/>
      <c r="L564" s="7" t="n"/>
      <c r="M564" s="8" t="n"/>
      <c r="N564" s="7" t="n"/>
      <c r="O564" s="8" t="n"/>
      <c r="P564" s="6" t="n"/>
      <c r="Q564" s="8" t="n"/>
      <c r="S564" s="8">
        <f>IF(B564="","",E564*F564)</f>
        <v/>
      </c>
      <c r="T564" s="8">
        <f>IF(OR(B564="",N(G564)=0),"",ABS(F564-G564)*E564)</f>
        <v/>
      </c>
      <c r="U564" s="8">
        <f>IF(OR(B564="",P564=""),"",IF(D564="Venda",-1,1)*((N(J564)*N(K564)+N(L564)*N(M564)+N(N564)*N(O564))-(N(J564)+N(L564)+N(N564))*F564)-N(Q564))</f>
        <v/>
      </c>
      <c r="V564" s="9">
        <f>IF(OR(B564="",P564=""),"",U564/S564)</f>
        <v/>
      </c>
      <c r="W564">
        <f>IF(OR(B564="",P564=""),"",NETWORKDAYS(C564,P564)-1)</f>
        <v/>
      </c>
      <c r="X564">
        <f>IF(B564="","",IF(P564="","Aberto","Fechado"))</f>
        <v/>
      </c>
    </row>
    <row r="565">
      <c r="C565" s="6" t="n"/>
      <c r="E565" s="7" t="n"/>
      <c r="F565" s="8" t="n"/>
      <c r="G565" s="8" t="n"/>
      <c r="H565" s="8" t="n"/>
      <c r="J565" s="7" t="n"/>
      <c r="K565" s="8" t="n"/>
      <c r="L565" s="7" t="n"/>
      <c r="M565" s="8" t="n"/>
      <c r="N565" s="7" t="n"/>
      <c r="O565" s="8" t="n"/>
      <c r="P565" s="6" t="n"/>
      <c r="Q565" s="8" t="n"/>
      <c r="S565" s="8">
        <f>IF(B565="","",E565*F565)</f>
        <v/>
      </c>
      <c r="T565" s="8">
        <f>IF(OR(B565="",N(G565)=0),"",ABS(F565-G565)*E565)</f>
        <v/>
      </c>
      <c r="U565" s="8">
        <f>IF(OR(B565="",P565=""),"",IF(D565="Venda",-1,1)*((N(J565)*N(K565)+N(L565)*N(M565)+N(N565)*N(O565))-(N(J565)+N(L565)+N(N565))*F565)-N(Q565))</f>
        <v/>
      </c>
      <c r="V565" s="9">
        <f>IF(OR(B565="",P565=""),"",U565/S565)</f>
        <v/>
      </c>
      <c r="W565">
        <f>IF(OR(B565="",P565=""),"",NETWORKDAYS(C565,P565)-1)</f>
        <v/>
      </c>
      <c r="X565">
        <f>IF(B565="","",IF(P565="","Aberto","Fechado"))</f>
        <v/>
      </c>
    </row>
    <row r="566">
      <c r="C566" s="6" t="n"/>
      <c r="E566" s="7" t="n"/>
      <c r="F566" s="8" t="n"/>
      <c r="G566" s="8" t="n"/>
      <c r="H566" s="8" t="n"/>
      <c r="J566" s="7" t="n"/>
      <c r="K566" s="8" t="n"/>
      <c r="L566" s="7" t="n"/>
      <c r="M566" s="8" t="n"/>
      <c r="N566" s="7" t="n"/>
      <c r="O566" s="8" t="n"/>
      <c r="P566" s="6" t="n"/>
      <c r="Q566" s="8" t="n"/>
      <c r="S566" s="8">
        <f>IF(B566="","",E566*F566)</f>
        <v/>
      </c>
      <c r="T566" s="8">
        <f>IF(OR(B566="",N(G566)=0),"",ABS(F566-G566)*E566)</f>
        <v/>
      </c>
      <c r="U566" s="8">
        <f>IF(OR(B566="",P566=""),"",IF(D566="Venda",-1,1)*((N(J566)*N(K566)+N(L566)*N(M566)+N(N566)*N(O566))-(N(J566)+N(L566)+N(N566))*F566)-N(Q566))</f>
        <v/>
      </c>
      <c r="V566" s="9">
        <f>IF(OR(B566="",P566=""),"",U566/S566)</f>
        <v/>
      </c>
      <c r="W566">
        <f>IF(OR(B566="",P566=""),"",NETWORKDAYS(C566,P566)-1)</f>
        <v/>
      </c>
      <c r="X566">
        <f>IF(B566="","",IF(P566="","Aberto","Fechado"))</f>
        <v/>
      </c>
    </row>
    <row r="567">
      <c r="C567" s="6" t="n"/>
      <c r="E567" s="7" t="n"/>
      <c r="F567" s="8" t="n"/>
      <c r="G567" s="8" t="n"/>
      <c r="H567" s="8" t="n"/>
      <c r="J567" s="7" t="n"/>
      <c r="K567" s="8" t="n"/>
      <c r="L567" s="7" t="n"/>
      <c r="M567" s="8" t="n"/>
      <c r="N567" s="7" t="n"/>
      <c r="O567" s="8" t="n"/>
      <c r="P567" s="6" t="n"/>
      <c r="Q567" s="8" t="n"/>
      <c r="S567" s="8">
        <f>IF(B567="","",E567*F567)</f>
        <v/>
      </c>
      <c r="T567" s="8">
        <f>IF(OR(B567="",N(G567)=0),"",ABS(F567-G567)*E567)</f>
        <v/>
      </c>
      <c r="U567" s="8">
        <f>IF(OR(B567="",P567=""),"",IF(D567="Venda",-1,1)*((N(J567)*N(K567)+N(L567)*N(M567)+N(N567)*N(O567))-(N(J567)+N(L567)+N(N567))*F567)-N(Q567))</f>
        <v/>
      </c>
      <c r="V567" s="9">
        <f>IF(OR(B567="",P567=""),"",U567/S567)</f>
        <v/>
      </c>
      <c r="W567">
        <f>IF(OR(B567="",P567=""),"",NETWORKDAYS(C567,P567)-1)</f>
        <v/>
      </c>
      <c r="X567">
        <f>IF(B567="","",IF(P567="","Aberto","Fechado"))</f>
        <v/>
      </c>
    </row>
    <row r="568">
      <c r="C568" s="6" t="n"/>
      <c r="E568" s="7" t="n"/>
      <c r="F568" s="8" t="n"/>
      <c r="G568" s="8" t="n"/>
      <c r="H568" s="8" t="n"/>
      <c r="J568" s="7" t="n"/>
      <c r="K568" s="8" t="n"/>
      <c r="L568" s="7" t="n"/>
      <c r="M568" s="8" t="n"/>
      <c r="N568" s="7" t="n"/>
      <c r="O568" s="8" t="n"/>
      <c r="P568" s="6" t="n"/>
      <c r="Q568" s="8" t="n"/>
      <c r="S568" s="8">
        <f>IF(B568="","",E568*F568)</f>
        <v/>
      </c>
      <c r="T568" s="8">
        <f>IF(OR(B568="",N(G568)=0),"",ABS(F568-G568)*E568)</f>
        <v/>
      </c>
      <c r="U568" s="8">
        <f>IF(OR(B568="",P568=""),"",IF(D568="Venda",-1,1)*((N(J568)*N(K568)+N(L568)*N(M568)+N(N568)*N(O568))-(N(J568)+N(L568)+N(N568))*F568)-N(Q568))</f>
        <v/>
      </c>
      <c r="V568" s="9">
        <f>IF(OR(B568="",P568=""),"",U568/S568)</f>
        <v/>
      </c>
      <c r="W568">
        <f>IF(OR(B568="",P568=""),"",NETWORKDAYS(C568,P568)-1)</f>
        <v/>
      </c>
      <c r="X568">
        <f>IF(B568="","",IF(P568="","Aberto","Fechado"))</f>
        <v/>
      </c>
    </row>
    <row r="569">
      <c r="C569" s="6" t="n"/>
      <c r="E569" s="7" t="n"/>
      <c r="F569" s="8" t="n"/>
      <c r="G569" s="8" t="n"/>
      <c r="H569" s="8" t="n"/>
      <c r="J569" s="7" t="n"/>
      <c r="K569" s="8" t="n"/>
      <c r="L569" s="7" t="n"/>
      <c r="M569" s="8" t="n"/>
      <c r="N569" s="7" t="n"/>
      <c r="O569" s="8" t="n"/>
      <c r="P569" s="6" t="n"/>
      <c r="Q569" s="8" t="n"/>
      <c r="S569" s="8">
        <f>IF(B569="","",E569*F569)</f>
        <v/>
      </c>
      <c r="T569" s="8">
        <f>IF(OR(B569="",N(G569)=0),"",ABS(F569-G569)*E569)</f>
        <v/>
      </c>
      <c r="U569" s="8">
        <f>IF(OR(B569="",P569=""),"",IF(D569="Venda",-1,1)*((N(J569)*N(K569)+N(L569)*N(M569)+N(N569)*N(O569))-(N(J569)+N(L569)+N(N569))*F569)-N(Q569))</f>
        <v/>
      </c>
      <c r="V569" s="9">
        <f>IF(OR(B569="",P569=""),"",U569/S569)</f>
        <v/>
      </c>
      <c r="W569">
        <f>IF(OR(B569="",P569=""),"",NETWORKDAYS(C569,P569)-1)</f>
        <v/>
      </c>
      <c r="X569">
        <f>IF(B569="","",IF(P569="","Aberto","Fechado"))</f>
        <v/>
      </c>
    </row>
    <row r="570">
      <c r="C570" s="6" t="n"/>
      <c r="E570" s="7" t="n"/>
      <c r="F570" s="8" t="n"/>
      <c r="G570" s="8" t="n"/>
      <c r="H570" s="8" t="n"/>
      <c r="J570" s="7" t="n"/>
      <c r="K570" s="8" t="n"/>
      <c r="L570" s="7" t="n"/>
      <c r="M570" s="8" t="n"/>
      <c r="N570" s="7" t="n"/>
      <c r="O570" s="8" t="n"/>
      <c r="P570" s="6" t="n"/>
      <c r="Q570" s="8" t="n"/>
      <c r="S570" s="8">
        <f>IF(B570="","",E570*F570)</f>
        <v/>
      </c>
      <c r="T570" s="8">
        <f>IF(OR(B570="",N(G570)=0),"",ABS(F570-G570)*E570)</f>
        <v/>
      </c>
      <c r="U570" s="8">
        <f>IF(OR(B570="",P570=""),"",IF(D570="Venda",-1,1)*((N(J570)*N(K570)+N(L570)*N(M570)+N(N570)*N(O570))-(N(J570)+N(L570)+N(N570))*F570)-N(Q570))</f>
        <v/>
      </c>
      <c r="V570" s="9">
        <f>IF(OR(B570="",P570=""),"",U570/S570)</f>
        <v/>
      </c>
      <c r="W570">
        <f>IF(OR(B570="",P570=""),"",NETWORKDAYS(C570,P570)-1)</f>
        <v/>
      </c>
      <c r="X570">
        <f>IF(B570="","",IF(P570="","Aberto","Fechado"))</f>
        <v/>
      </c>
    </row>
    <row r="571">
      <c r="C571" s="6" t="n"/>
      <c r="E571" s="7" t="n"/>
      <c r="F571" s="8" t="n"/>
      <c r="G571" s="8" t="n"/>
      <c r="H571" s="8" t="n"/>
      <c r="J571" s="7" t="n"/>
      <c r="K571" s="8" t="n"/>
      <c r="L571" s="7" t="n"/>
      <c r="M571" s="8" t="n"/>
      <c r="N571" s="7" t="n"/>
      <c r="O571" s="8" t="n"/>
      <c r="P571" s="6" t="n"/>
      <c r="Q571" s="8" t="n"/>
      <c r="S571" s="8">
        <f>IF(B571="","",E571*F571)</f>
        <v/>
      </c>
      <c r="T571" s="8">
        <f>IF(OR(B571="",N(G571)=0),"",ABS(F571-G571)*E571)</f>
        <v/>
      </c>
      <c r="U571" s="8">
        <f>IF(OR(B571="",P571=""),"",IF(D571="Venda",-1,1)*((N(J571)*N(K571)+N(L571)*N(M571)+N(N571)*N(O571))-(N(J571)+N(L571)+N(N571))*F571)-N(Q571))</f>
        <v/>
      </c>
      <c r="V571" s="9">
        <f>IF(OR(B571="",P571=""),"",U571/S571)</f>
        <v/>
      </c>
      <c r="W571">
        <f>IF(OR(B571="",P571=""),"",NETWORKDAYS(C571,P571)-1)</f>
        <v/>
      </c>
      <c r="X571">
        <f>IF(B571="","",IF(P571="","Aberto","Fechado"))</f>
        <v/>
      </c>
    </row>
    <row r="572">
      <c r="C572" s="6" t="n"/>
      <c r="E572" s="7" t="n"/>
      <c r="F572" s="8" t="n"/>
      <c r="G572" s="8" t="n"/>
      <c r="H572" s="8" t="n"/>
      <c r="J572" s="7" t="n"/>
      <c r="K572" s="8" t="n"/>
      <c r="L572" s="7" t="n"/>
      <c r="M572" s="8" t="n"/>
      <c r="N572" s="7" t="n"/>
      <c r="O572" s="8" t="n"/>
      <c r="P572" s="6" t="n"/>
      <c r="Q572" s="8" t="n"/>
      <c r="S572" s="8">
        <f>IF(B572="","",E572*F572)</f>
        <v/>
      </c>
      <c r="T572" s="8">
        <f>IF(OR(B572="",N(G572)=0),"",ABS(F572-G572)*E572)</f>
        <v/>
      </c>
      <c r="U572" s="8">
        <f>IF(OR(B572="",P572=""),"",IF(D572="Venda",-1,1)*((N(J572)*N(K572)+N(L572)*N(M572)+N(N572)*N(O572))-(N(J572)+N(L572)+N(N572))*F572)-N(Q572))</f>
        <v/>
      </c>
      <c r="V572" s="9">
        <f>IF(OR(B572="",P572=""),"",U572/S572)</f>
        <v/>
      </c>
      <c r="W572">
        <f>IF(OR(B572="",P572=""),"",NETWORKDAYS(C572,P572)-1)</f>
        <v/>
      </c>
      <c r="X572">
        <f>IF(B572="","",IF(P572="","Aberto","Fechado"))</f>
        <v/>
      </c>
    </row>
    <row r="573">
      <c r="C573" s="6" t="n"/>
      <c r="E573" s="7" t="n"/>
      <c r="F573" s="8" t="n"/>
      <c r="G573" s="8" t="n"/>
      <c r="H573" s="8" t="n"/>
      <c r="J573" s="7" t="n"/>
      <c r="K573" s="8" t="n"/>
      <c r="L573" s="7" t="n"/>
      <c r="M573" s="8" t="n"/>
      <c r="N573" s="7" t="n"/>
      <c r="O573" s="8" t="n"/>
      <c r="P573" s="6" t="n"/>
      <c r="Q573" s="8" t="n"/>
      <c r="S573" s="8">
        <f>IF(B573="","",E573*F573)</f>
        <v/>
      </c>
      <c r="T573" s="8">
        <f>IF(OR(B573="",N(G573)=0),"",ABS(F573-G573)*E573)</f>
        <v/>
      </c>
      <c r="U573" s="8">
        <f>IF(OR(B573="",P573=""),"",IF(D573="Venda",-1,1)*((N(J573)*N(K573)+N(L573)*N(M573)+N(N573)*N(O573))-(N(J573)+N(L573)+N(N573))*F573)-N(Q573))</f>
        <v/>
      </c>
      <c r="V573" s="9">
        <f>IF(OR(B573="",P573=""),"",U573/S573)</f>
        <v/>
      </c>
      <c r="W573">
        <f>IF(OR(B573="",P573=""),"",NETWORKDAYS(C573,P573)-1)</f>
        <v/>
      </c>
      <c r="X573">
        <f>IF(B573="","",IF(P573="","Aberto","Fechado"))</f>
        <v/>
      </c>
    </row>
    <row r="574">
      <c r="C574" s="6" t="n"/>
      <c r="E574" s="7" t="n"/>
      <c r="F574" s="8" t="n"/>
      <c r="G574" s="8" t="n"/>
      <c r="H574" s="8" t="n"/>
      <c r="J574" s="7" t="n"/>
      <c r="K574" s="8" t="n"/>
      <c r="L574" s="7" t="n"/>
      <c r="M574" s="8" t="n"/>
      <c r="N574" s="7" t="n"/>
      <c r="O574" s="8" t="n"/>
      <c r="P574" s="6" t="n"/>
      <c r="Q574" s="8" t="n"/>
      <c r="S574" s="8">
        <f>IF(B574="","",E574*F574)</f>
        <v/>
      </c>
      <c r="T574" s="8">
        <f>IF(OR(B574="",N(G574)=0),"",ABS(F574-G574)*E574)</f>
        <v/>
      </c>
      <c r="U574" s="8">
        <f>IF(OR(B574="",P574=""),"",IF(D574="Venda",-1,1)*((N(J574)*N(K574)+N(L574)*N(M574)+N(N574)*N(O574))-(N(J574)+N(L574)+N(N574))*F574)-N(Q574))</f>
        <v/>
      </c>
      <c r="V574" s="9">
        <f>IF(OR(B574="",P574=""),"",U574/S574)</f>
        <v/>
      </c>
      <c r="W574">
        <f>IF(OR(B574="",P574=""),"",NETWORKDAYS(C574,P574)-1)</f>
        <v/>
      </c>
      <c r="X574">
        <f>IF(B574="","",IF(P574="","Aberto","Fechado"))</f>
        <v/>
      </c>
    </row>
    <row r="575">
      <c r="C575" s="6" t="n"/>
      <c r="E575" s="7" t="n"/>
      <c r="F575" s="8" t="n"/>
      <c r="G575" s="8" t="n"/>
      <c r="H575" s="8" t="n"/>
      <c r="J575" s="7" t="n"/>
      <c r="K575" s="8" t="n"/>
      <c r="L575" s="7" t="n"/>
      <c r="M575" s="8" t="n"/>
      <c r="N575" s="7" t="n"/>
      <c r="O575" s="8" t="n"/>
      <c r="P575" s="6" t="n"/>
      <c r="Q575" s="8" t="n"/>
      <c r="S575" s="8">
        <f>IF(B575="","",E575*F575)</f>
        <v/>
      </c>
      <c r="T575" s="8">
        <f>IF(OR(B575="",N(G575)=0),"",ABS(F575-G575)*E575)</f>
        <v/>
      </c>
      <c r="U575" s="8">
        <f>IF(OR(B575="",P575=""),"",IF(D575="Venda",-1,1)*((N(J575)*N(K575)+N(L575)*N(M575)+N(N575)*N(O575))-(N(J575)+N(L575)+N(N575))*F575)-N(Q575))</f>
        <v/>
      </c>
      <c r="V575" s="9">
        <f>IF(OR(B575="",P575=""),"",U575/S575)</f>
        <v/>
      </c>
      <c r="W575">
        <f>IF(OR(B575="",P575=""),"",NETWORKDAYS(C575,P575)-1)</f>
        <v/>
      </c>
      <c r="X575">
        <f>IF(B575="","",IF(P575="","Aberto","Fechado"))</f>
        <v/>
      </c>
    </row>
    <row r="576">
      <c r="C576" s="6" t="n"/>
      <c r="E576" s="7" t="n"/>
      <c r="F576" s="8" t="n"/>
      <c r="G576" s="8" t="n"/>
      <c r="H576" s="8" t="n"/>
      <c r="J576" s="7" t="n"/>
      <c r="K576" s="8" t="n"/>
      <c r="L576" s="7" t="n"/>
      <c r="M576" s="8" t="n"/>
      <c r="N576" s="7" t="n"/>
      <c r="O576" s="8" t="n"/>
      <c r="P576" s="6" t="n"/>
      <c r="Q576" s="8" t="n"/>
      <c r="S576" s="8">
        <f>IF(B576="","",E576*F576)</f>
        <v/>
      </c>
      <c r="T576" s="8">
        <f>IF(OR(B576="",N(G576)=0),"",ABS(F576-G576)*E576)</f>
        <v/>
      </c>
      <c r="U576" s="8">
        <f>IF(OR(B576="",P576=""),"",IF(D576="Venda",-1,1)*((N(J576)*N(K576)+N(L576)*N(M576)+N(N576)*N(O576))-(N(J576)+N(L576)+N(N576))*F576)-N(Q576))</f>
        <v/>
      </c>
      <c r="V576" s="9">
        <f>IF(OR(B576="",P576=""),"",U576/S576)</f>
        <v/>
      </c>
      <c r="W576">
        <f>IF(OR(B576="",P576=""),"",NETWORKDAYS(C576,P576)-1)</f>
        <v/>
      </c>
      <c r="X576">
        <f>IF(B576="","",IF(P576="","Aberto","Fechado"))</f>
        <v/>
      </c>
    </row>
    <row r="577">
      <c r="C577" s="6" t="n"/>
      <c r="E577" s="7" t="n"/>
      <c r="F577" s="8" t="n"/>
      <c r="G577" s="8" t="n"/>
      <c r="H577" s="8" t="n"/>
      <c r="J577" s="7" t="n"/>
      <c r="K577" s="8" t="n"/>
      <c r="L577" s="7" t="n"/>
      <c r="M577" s="8" t="n"/>
      <c r="N577" s="7" t="n"/>
      <c r="O577" s="8" t="n"/>
      <c r="P577" s="6" t="n"/>
      <c r="Q577" s="8" t="n"/>
      <c r="S577" s="8">
        <f>IF(B577="","",E577*F577)</f>
        <v/>
      </c>
      <c r="T577" s="8">
        <f>IF(OR(B577="",N(G577)=0),"",ABS(F577-G577)*E577)</f>
        <v/>
      </c>
      <c r="U577" s="8">
        <f>IF(OR(B577="",P577=""),"",IF(D577="Venda",-1,1)*((N(J577)*N(K577)+N(L577)*N(M577)+N(N577)*N(O577))-(N(J577)+N(L577)+N(N577))*F577)-N(Q577))</f>
        <v/>
      </c>
      <c r="V577" s="9">
        <f>IF(OR(B577="",P577=""),"",U577/S577)</f>
        <v/>
      </c>
      <c r="W577">
        <f>IF(OR(B577="",P577=""),"",NETWORKDAYS(C577,P577)-1)</f>
        <v/>
      </c>
      <c r="X577">
        <f>IF(B577="","",IF(P577="","Aberto","Fechado"))</f>
        <v/>
      </c>
    </row>
    <row r="578">
      <c r="C578" s="6" t="n"/>
      <c r="E578" s="7" t="n"/>
      <c r="F578" s="8" t="n"/>
      <c r="G578" s="8" t="n"/>
      <c r="H578" s="8" t="n"/>
      <c r="J578" s="7" t="n"/>
      <c r="K578" s="8" t="n"/>
      <c r="L578" s="7" t="n"/>
      <c r="M578" s="8" t="n"/>
      <c r="N578" s="7" t="n"/>
      <c r="O578" s="8" t="n"/>
      <c r="P578" s="6" t="n"/>
      <c r="Q578" s="8" t="n"/>
      <c r="S578" s="8">
        <f>IF(B578="","",E578*F578)</f>
        <v/>
      </c>
      <c r="T578" s="8">
        <f>IF(OR(B578="",N(G578)=0),"",ABS(F578-G578)*E578)</f>
        <v/>
      </c>
      <c r="U578" s="8">
        <f>IF(OR(B578="",P578=""),"",IF(D578="Venda",-1,1)*((N(J578)*N(K578)+N(L578)*N(M578)+N(N578)*N(O578))-(N(J578)+N(L578)+N(N578))*F578)-N(Q578))</f>
        <v/>
      </c>
      <c r="V578" s="9">
        <f>IF(OR(B578="",P578=""),"",U578/S578)</f>
        <v/>
      </c>
      <c r="W578">
        <f>IF(OR(B578="",P578=""),"",NETWORKDAYS(C578,P578)-1)</f>
        <v/>
      </c>
      <c r="X578">
        <f>IF(B578="","",IF(P578="","Aberto","Fechado"))</f>
        <v/>
      </c>
    </row>
    <row r="579">
      <c r="C579" s="6" t="n"/>
      <c r="E579" s="7" t="n"/>
      <c r="F579" s="8" t="n"/>
      <c r="G579" s="8" t="n"/>
      <c r="H579" s="8" t="n"/>
      <c r="J579" s="7" t="n"/>
      <c r="K579" s="8" t="n"/>
      <c r="L579" s="7" t="n"/>
      <c r="M579" s="8" t="n"/>
      <c r="N579" s="7" t="n"/>
      <c r="O579" s="8" t="n"/>
      <c r="P579" s="6" t="n"/>
      <c r="Q579" s="8" t="n"/>
      <c r="S579" s="8">
        <f>IF(B579="","",E579*F579)</f>
        <v/>
      </c>
      <c r="T579" s="8">
        <f>IF(OR(B579="",N(G579)=0),"",ABS(F579-G579)*E579)</f>
        <v/>
      </c>
      <c r="U579" s="8">
        <f>IF(OR(B579="",P579=""),"",IF(D579="Venda",-1,1)*((N(J579)*N(K579)+N(L579)*N(M579)+N(N579)*N(O579))-(N(J579)+N(L579)+N(N579))*F579)-N(Q579))</f>
        <v/>
      </c>
      <c r="V579" s="9">
        <f>IF(OR(B579="",P579=""),"",U579/S579)</f>
        <v/>
      </c>
      <c r="W579">
        <f>IF(OR(B579="",P579=""),"",NETWORKDAYS(C579,P579)-1)</f>
        <v/>
      </c>
      <c r="X579">
        <f>IF(B579="","",IF(P579="","Aberto","Fechado"))</f>
        <v/>
      </c>
    </row>
    <row r="580">
      <c r="C580" s="6" t="n"/>
      <c r="E580" s="7" t="n"/>
      <c r="F580" s="8" t="n"/>
      <c r="G580" s="8" t="n"/>
      <c r="H580" s="8" t="n"/>
      <c r="J580" s="7" t="n"/>
      <c r="K580" s="8" t="n"/>
      <c r="L580" s="7" t="n"/>
      <c r="M580" s="8" t="n"/>
      <c r="N580" s="7" t="n"/>
      <c r="O580" s="8" t="n"/>
      <c r="P580" s="6" t="n"/>
      <c r="Q580" s="8" t="n"/>
      <c r="S580" s="8">
        <f>IF(B580="","",E580*F580)</f>
        <v/>
      </c>
      <c r="T580" s="8">
        <f>IF(OR(B580="",N(G580)=0),"",ABS(F580-G580)*E580)</f>
        <v/>
      </c>
      <c r="U580" s="8">
        <f>IF(OR(B580="",P580=""),"",IF(D580="Venda",-1,1)*((N(J580)*N(K580)+N(L580)*N(M580)+N(N580)*N(O580))-(N(J580)+N(L580)+N(N580))*F580)-N(Q580))</f>
        <v/>
      </c>
      <c r="V580" s="9">
        <f>IF(OR(B580="",P580=""),"",U580/S580)</f>
        <v/>
      </c>
      <c r="W580">
        <f>IF(OR(B580="",P580=""),"",NETWORKDAYS(C580,P580)-1)</f>
        <v/>
      </c>
      <c r="X580">
        <f>IF(B580="","",IF(P580="","Aberto","Fechado"))</f>
        <v/>
      </c>
    </row>
    <row r="581">
      <c r="C581" s="6" t="n"/>
      <c r="E581" s="7" t="n"/>
      <c r="F581" s="8" t="n"/>
      <c r="G581" s="8" t="n"/>
      <c r="H581" s="8" t="n"/>
      <c r="J581" s="7" t="n"/>
      <c r="K581" s="8" t="n"/>
      <c r="L581" s="7" t="n"/>
      <c r="M581" s="8" t="n"/>
      <c r="N581" s="7" t="n"/>
      <c r="O581" s="8" t="n"/>
      <c r="P581" s="6" t="n"/>
      <c r="Q581" s="8" t="n"/>
      <c r="S581" s="8">
        <f>IF(B581="","",E581*F581)</f>
        <v/>
      </c>
      <c r="T581" s="8">
        <f>IF(OR(B581="",N(G581)=0),"",ABS(F581-G581)*E581)</f>
        <v/>
      </c>
      <c r="U581" s="8">
        <f>IF(OR(B581="",P581=""),"",IF(D581="Venda",-1,1)*((N(J581)*N(K581)+N(L581)*N(M581)+N(N581)*N(O581))-(N(J581)+N(L581)+N(N581))*F581)-N(Q581))</f>
        <v/>
      </c>
      <c r="V581" s="9">
        <f>IF(OR(B581="",P581=""),"",U581/S581)</f>
        <v/>
      </c>
      <c r="W581">
        <f>IF(OR(B581="",P581=""),"",NETWORKDAYS(C581,P581)-1)</f>
        <v/>
      </c>
      <c r="X581">
        <f>IF(B581="","",IF(P581="","Aberto","Fechado"))</f>
        <v/>
      </c>
    </row>
    <row r="582">
      <c r="C582" s="6" t="n"/>
      <c r="E582" s="7" t="n"/>
      <c r="F582" s="8" t="n"/>
      <c r="G582" s="8" t="n"/>
      <c r="H582" s="8" t="n"/>
      <c r="J582" s="7" t="n"/>
      <c r="K582" s="8" t="n"/>
      <c r="L582" s="7" t="n"/>
      <c r="M582" s="8" t="n"/>
      <c r="N582" s="7" t="n"/>
      <c r="O582" s="8" t="n"/>
      <c r="P582" s="6" t="n"/>
      <c r="Q582" s="8" t="n"/>
      <c r="S582" s="8">
        <f>IF(B582="","",E582*F582)</f>
        <v/>
      </c>
      <c r="T582" s="8">
        <f>IF(OR(B582="",N(G582)=0),"",ABS(F582-G582)*E582)</f>
        <v/>
      </c>
      <c r="U582" s="8">
        <f>IF(OR(B582="",P582=""),"",IF(D582="Venda",-1,1)*((N(J582)*N(K582)+N(L582)*N(M582)+N(N582)*N(O582))-(N(J582)+N(L582)+N(N582))*F582)-N(Q582))</f>
        <v/>
      </c>
      <c r="V582" s="9">
        <f>IF(OR(B582="",P582=""),"",U582/S582)</f>
        <v/>
      </c>
      <c r="W582">
        <f>IF(OR(B582="",P582=""),"",NETWORKDAYS(C582,P582)-1)</f>
        <v/>
      </c>
      <c r="X582">
        <f>IF(B582="","",IF(P582="","Aberto","Fechado"))</f>
        <v/>
      </c>
    </row>
    <row r="583">
      <c r="C583" s="6" t="n"/>
      <c r="E583" s="7" t="n"/>
      <c r="F583" s="8" t="n"/>
      <c r="G583" s="8" t="n"/>
      <c r="H583" s="8" t="n"/>
      <c r="J583" s="7" t="n"/>
      <c r="K583" s="8" t="n"/>
      <c r="L583" s="7" t="n"/>
      <c r="M583" s="8" t="n"/>
      <c r="N583" s="7" t="n"/>
      <c r="O583" s="8" t="n"/>
      <c r="P583" s="6" t="n"/>
      <c r="Q583" s="8" t="n"/>
      <c r="S583" s="8">
        <f>IF(B583="","",E583*F583)</f>
        <v/>
      </c>
      <c r="T583" s="8">
        <f>IF(OR(B583="",N(G583)=0),"",ABS(F583-G583)*E583)</f>
        <v/>
      </c>
      <c r="U583" s="8">
        <f>IF(OR(B583="",P583=""),"",IF(D583="Venda",-1,1)*((N(J583)*N(K583)+N(L583)*N(M583)+N(N583)*N(O583))-(N(J583)+N(L583)+N(N583))*F583)-N(Q583))</f>
        <v/>
      </c>
      <c r="V583" s="9">
        <f>IF(OR(B583="",P583=""),"",U583/S583)</f>
        <v/>
      </c>
      <c r="W583">
        <f>IF(OR(B583="",P583=""),"",NETWORKDAYS(C583,P583)-1)</f>
        <v/>
      </c>
      <c r="X583">
        <f>IF(B583="","",IF(P583="","Aberto","Fechado"))</f>
        <v/>
      </c>
    </row>
    <row r="584">
      <c r="C584" s="6" t="n"/>
      <c r="E584" s="7" t="n"/>
      <c r="F584" s="8" t="n"/>
      <c r="G584" s="8" t="n"/>
      <c r="H584" s="8" t="n"/>
      <c r="J584" s="7" t="n"/>
      <c r="K584" s="8" t="n"/>
      <c r="L584" s="7" t="n"/>
      <c r="M584" s="8" t="n"/>
      <c r="N584" s="7" t="n"/>
      <c r="O584" s="8" t="n"/>
      <c r="P584" s="6" t="n"/>
      <c r="Q584" s="8" t="n"/>
      <c r="S584" s="8">
        <f>IF(B584="","",E584*F584)</f>
        <v/>
      </c>
      <c r="T584" s="8">
        <f>IF(OR(B584="",N(G584)=0),"",ABS(F584-G584)*E584)</f>
        <v/>
      </c>
      <c r="U584" s="8">
        <f>IF(OR(B584="",P584=""),"",IF(D584="Venda",-1,1)*((N(J584)*N(K584)+N(L584)*N(M584)+N(N584)*N(O584))-(N(J584)+N(L584)+N(N584))*F584)-N(Q584))</f>
        <v/>
      </c>
      <c r="V584" s="9">
        <f>IF(OR(B584="",P584=""),"",U584/S584)</f>
        <v/>
      </c>
      <c r="W584">
        <f>IF(OR(B584="",P584=""),"",NETWORKDAYS(C584,P584)-1)</f>
        <v/>
      </c>
      <c r="X584">
        <f>IF(B584="","",IF(P584="","Aberto","Fechado"))</f>
        <v/>
      </c>
    </row>
    <row r="585">
      <c r="C585" s="6" t="n"/>
      <c r="E585" s="7" t="n"/>
      <c r="F585" s="8" t="n"/>
      <c r="G585" s="8" t="n"/>
      <c r="H585" s="8" t="n"/>
      <c r="J585" s="7" t="n"/>
      <c r="K585" s="8" t="n"/>
      <c r="L585" s="7" t="n"/>
      <c r="M585" s="8" t="n"/>
      <c r="N585" s="7" t="n"/>
      <c r="O585" s="8" t="n"/>
      <c r="P585" s="6" t="n"/>
      <c r="Q585" s="8" t="n"/>
      <c r="S585" s="8">
        <f>IF(B585="","",E585*F585)</f>
        <v/>
      </c>
      <c r="T585" s="8">
        <f>IF(OR(B585="",N(G585)=0),"",ABS(F585-G585)*E585)</f>
        <v/>
      </c>
      <c r="U585" s="8">
        <f>IF(OR(B585="",P585=""),"",IF(D585="Venda",-1,1)*((N(J585)*N(K585)+N(L585)*N(M585)+N(N585)*N(O585))-(N(J585)+N(L585)+N(N585))*F585)-N(Q585))</f>
        <v/>
      </c>
      <c r="V585" s="9">
        <f>IF(OR(B585="",P585=""),"",U585/S585)</f>
        <v/>
      </c>
      <c r="W585">
        <f>IF(OR(B585="",P585=""),"",NETWORKDAYS(C585,P585)-1)</f>
        <v/>
      </c>
      <c r="X585">
        <f>IF(B585="","",IF(P585="","Aberto","Fechado"))</f>
        <v/>
      </c>
    </row>
    <row r="586">
      <c r="C586" s="6" t="n"/>
      <c r="E586" s="7" t="n"/>
      <c r="F586" s="8" t="n"/>
      <c r="G586" s="8" t="n"/>
      <c r="H586" s="8" t="n"/>
      <c r="J586" s="7" t="n"/>
      <c r="K586" s="8" t="n"/>
      <c r="L586" s="7" t="n"/>
      <c r="M586" s="8" t="n"/>
      <c r="N586" s="7" t="n"/>
      <c r="O586" s="8" t="n"/>
      <c r="P586" s="6" t="n"/>
      <c r="Q586" s="8" t="n"/>
      <c r="S586" s="8">
        <f>IF(B586="","",E586*F586)</f>
        <v/>
      </c>
      <c r="T586" s="8">
        <f>IF(OR(B586="",N(G586)=0),"",ABS(F586-G586)*E586)</f>
        <v/>
      </c>
      <c r="U586" s="8">
        <f>IF(OR(B586="",P586=""),"",IF(D586="Venda",-1,1)*((N(J586)*N(K586)+N(L586)*N(M586)+N(N586)*N(O586))-(N(J586)+N(L586)+N(N586))*F586)-N(Q586))</f>
        <v/>
      </c>
      <c r="V586" s="9">
        <f>IF(OR(B586="",P586=""),"",U586/S586)</f>
        <v/>
      </c>
      <c r="W586">
        <f>IF(OR(B586="",P586=""),"",NETWORKDAYS(C586,P586)-1)</f>
        <v/>
      </c>
      <c r="X586">
        <f>IF(B586="","",IF(P586="","Aberto","Fechado"))</f>
        <v/>
      </c>
    </row>
    <row r="587">
      <c r="C587" s="6" t="n"/>
      <c r="E587" s="7" t="n"/>
      <c r="F587" s="8" t="n"/>
      <c r="G587" s="8" t="n"/>
      <c r="H587" s="8" t="n"/>
      <c r="J587" s="7" t="n"/>
      <c r="K587" s="8" t="n"/>
      <c r="L587" s="7" t="n"/>
      <c r="M587" s="8" t="n"/>
      <c r="N587" s="7" t="n"/>
      <c r="O587" s="8" t="n"/>
      <c r="P587" s="6" t="n"/>
      <c r="Q587" s="8" t="n"/>
      <c r="S587" s="8">
        <f>IF(B587="","",E587*F587)</f>
        <v/>
      </c>
      <c r="T587" s="8">
        <f>IF(OR(B587="",N(G587)=0),"",ABS(F587-G587)*E587)</f>
        <v/>
      </c>
      <c r="U587" s="8">
        <f>IF(OR(B587="",P587=""),"",IF(D587="Venda",-1,1)*((N(J587)*N(K587)+N(L587)*N(M587)+N(N587)*N(O587))-(N(J587)+N(L587)+N(N587))*F587)-N(Q587))</f>
        <v/>
      </c>
      <c r="V587" s="9">
        <f>IF(OR(B587="",P587=""),"",U587/S587)</f>
        <v/>
      </c>
      <c r="W587">
        <f>IF(OR(B587="",P587=""),"",NETWORKDAYS(C587,P587)-1)</f>
        <v/>
      </c>
      <c r="X587">
        <f>IF(B587="","",IF(P587="","Aberto","Fechado"))</f>
        <v/>
      </c>
    </row>
    <row r="588">
      <c r="C588" s="6" t="n"/>
      <c r="E588" s="7" t="n"/>
      <c r="F588" s="8" t="n"/>
      <c r="G588" s="8" t="n"/>
      <c r="H588" s="8" t="n"/>
      <c r="J588" s="7" t="n"/>
      <c r="K588" s="8" t="n"/>
      <c r="L588" s="7" t="n"/>
      <c r="M588" s="8" t="n"/>
      <c r="N588" s="7" t="n"/>
      <c r="O588" s="8" t="n"/>
      <c r="P588" s="6" t="n"/>
      <c r="Q588" s="8" t="n"/>
      <c r="S588" s="8">
        <f>IF(B588="","",E588*F588)</f>
        <v/>
      </c>
      <c r="T588" s="8">
        <f>IF(OR(B588="",N(G588)=0),"",ABS(F588-G588)*E588)</f>
        <v/>
      </c>
      <c r="U588" s="8">
        <f>IF(OR(B588="",P588=""),"",IF(D588="Venda",-1,1)*((N(J588)*N(K588)+N(L588)*N(M588)+N(N588)*N(O588))-(N(J588)+N(L588)+N(N588))*F588)-N(Q588))</f>
        <v/>
      </c>
      <c r="V588" s="9">
        <f>IF(OR(B588="",P588=""),"",U588/S588)</f>
        <v/>
      </c>
      <c r="W588">
        <f>IF(OR(B588="",P588=""),"",NETWORKDAYS(C588,P588)-1)</f>
        <v/>
      </c>
      <c r="X588">
        <f>IF(B588="","",IF(P588="","Aberto","Fechado"))</f>
        <v/>
      </c>
    </row>
    <row r="589">
      <c r="C589" s="6" t="n"/>
      <c r="E589" s="7" t="n"/>
      <c r="F589" s="8" t="n"/>
      <c r="G589" s="8" t="n"/>
      <c r="H589" s="8" t="n"/>
      <c r="J589" s="7" t="n"/>
      <c r="K589" s="8" t="n"/>
      <c r="L589" s="7" t="n"/>
      <c r="M589" s="8" t="n"/>
      <c r="N589" s="7" t="n"/>
      <c r="O589" s="8" t="n"/>
      <c r="P589" s="6" t="n"/>
      <c r="Q589" s="8" t="n"/>
      <c r="S589" s="8">
        <f>IF(B589="","",E589*F589)</f>
        <v/>
      </c>
      <c r="T589" s="8">
        <f>IF(OR(B589="",N(G589)=0),"",ABS(F589-G589)*E589)</f>
        <v/>
      </c>
      <c r="U589" s="8">
        <f>IF(OR(B589="",P589=""),"",IF(D589="Venda",-1,1)*((N(J589)*N(K589)+N(L589)*N(M589)+N(N589)*N(O589))-(N(J589)+N(L589)+N(N589))*F589)-N(Q589))</f>
        <v/>
      </c>
      <c r="V589" s="9">
        <f>IF(OR(B589="",P589=""),"",U589/S589)</f>
        <v/>
      </c>
      <c r="W589">
        <f>IF(OR(B589="",P589=""),"",NETWORKDAYS(C589,P589)-1)</f>
        <v/>
      </c>
      <c r="X589">
        <f>IF(B589="","",IF(P589="","Aberto","Fechado"))</f>
        <v/>
      </c>
    </row>
    <row r="590">
      <c r="C590" s="6" t="n"/>
      <c r="E590" s="7" t="n"/>
      <c r="F590" s="8" t="n"/>
      <c r="G590" s="8" t="n"/>
      <c r="H590" s="8" t="n"/>
      <c r="J590" s="7" t="n"/>
      <c r="K590" s="8" t="n"/>
      <c r="L590" s="7" t="n"/>
      <c r="M590" s="8" t="n"/>
      <c r="N590" s="7" t="n"/>
      <c r="O590" s="8" t="n"/>
      <c r="P590" s="6" t="n"/>
      <c r="Q590" s="8" t="n"/>
      <c r="S590" s="8">
        <f>IF(B590="","",E590*F590)</f>
        <v/>
      </c>
      <c r="T590" s="8">
        <f>IF(OR(B590="",N(G590)=0),"",ABS(F590-G590)*E590)</f>
        <v/>
      </c>
      <c r="U590" s="8">
        <f>IF(OR(B590="",P590=""),"",IF(D590="Venda",-1,1)*((N(J590)*N(K590)+N(L590)*N(M590)+N(N590)*N(O590))-(N(J590)+N(L590)+N(N590))*F590)-N(Q590))</f>
        <v/>
      </c>
      <c r="V590" s="9">
        <f>IF(OR(B590="",P590=""),"",U590/S590)</f>
        <v/>
      </c>
      <c r="W590">
        <f>IF(OR(B590="",P590=""),"",NETWORKDAYS(C590,P590)-1)</f>
        <v/>
      </c>
      <c r="X590">
        <f>IF(B590="","",IF(P590="","Aberto","Fechado"))</f>
        <v/>
      </c>
    </row>
    <row r="591">
      <c r="C591" s="6" t="n"/>
      <c r="E591" s="7" t="n"/>
      <c r="F591" s="8" t="n"/>
      <c r="G591" s="8" t="n"/>
      <c r="H591" s="8" t="n"/>
      <c r="J591" s="7" t="n"/>
      <c r="K591" s="8" t="n"/>
      <c r="L591" s="7" t="n"/>
      <c r="M591" s="8" t="n"/>
      <c r="N591" s="7" t="n"/>
      <c r="O591" s="8" t="n"/>
      <c r="P591" s="6" t="n"/>
      <c r="Q591" s="8" t="n"/>
      <c r="S591" s="8">
        <f>IF(B591="","",E591*F591)</f>
        <v/>
      </c>
      <c r="T591" s="8">
        <f>IF(OR(B591="",N(G591)=0),"",ABS(F591-G591)*E591)</f>
        <v/>
      </c>
      <c r="U591" s="8">
        <f>IF(OR(B591="",P591=""),"",IF(D591="Venda",-1,1)*((N(J591)*N(K591)+N(L591)*N(M591)+N(N591)*N(O591))-(N(J591)+N(L591)+N(N591))*F591)-N(Q591))</f>
        <v/>
      </c>
      <c r="V591" s="9">
        <f>IF(OR(B591="",P591=""),"",U591/S591)</f>
        <v/>
      </c>
      <c r="W591">
        <f>IF(OR(B591="",P591=""),"",NETWORKDAYS(C591,P591)-1)</f>
        <v/>
      </c>
      <c r="X591">
        <f>IF(B591="","",IF(P591="","Aberto","Fechado"))</f>
        <v/>
      </c>
    </row>
    <row r="592">
      <c r="C592" s="6" t="n"/>
      <c r="E592" s="7" t="n"/>
      <c r="F592" s="8" t="n"/>
      <c r="G592" s="8" t="n"/>
      <c r="H592" s="8" t="n"/>
      <c r="J592" s="7" t="n"/>
      <c r="K592" s="8" t="n"/>
      <c r="L592" s="7" t="n"/>
      <c r="M592" s="8" t="n"/>
      <c r="N592" s="7" t="n"/>
      <c r="O592" s="8" t="n"/>
      <c r="P592" s="6" t="n"/>
      <c r="Q592" s="8" t="n"/>
      <c r="S592" s="8">
        <f>IF(B592="","",E592*F592)</f>
        <v/>
      </c>
      <c r="T592" s="8">
        <f>IF(OR(B592="",N(G592)=0),"",ABS(F592-G592)*E592)</f>
        <v/>
      </c>
      <c r="U592" s="8">
        <f>IF(OR(B592="",P592=""),"",IF(D592="Venda",-1,1)*((N(J592)*N(K592)+N(L592)*N(M592)+N(N592)*N(O592))-(N(J592)+N(L592)+N(N592))*F592)-N(Q592))</f>
        <v/>
      </c>
      <c r="V592" s="9">
        <f>IF(OR(B592="",P592=""),"",U592/S592)</f>
        <v/>
      </c>
      <c r="W592">
        <f>IF(OR(B592="",P592=""),"",NETWORKDAYS(C592,P592)-1)</f>
        <v/>
      </c>
      <c r="X592">
        <f>IF(B592="","",IF(P592="","Aberto","Fechado"))</f>
        <v/>
      </c>
    </row>
    <row r="593">
      <c r="C593" s="6" t="n"/>
      <c r="E593" s="7" t="n"/>
      <c r="F593" s="8" t="n"/>
      <c r="G593" s="8" t="n"/>
      <c r="H593" s="8" t="n"/>
      <c r="J593" s="7" t="n"/>
      <c r="K593" s="8" t="n"/>
      <c r="L593" s="7" t="n"/>
      <c r="M593" s="8" t="n"/>
      <c r="N593" s="7" t="n"/>
      <c r="O593" s="8" t="n"/>
      <c r="P593" s="6" t="n"/>
      <c r="Q593" s="8" t="n"/>
      <c r="S593" s="8">
        <f>IF(B593="","",E593*F593)</f>
        <v/>
      </c>
      <c r="T593" s="8">
        <f>IF(OR(B593="",N(G593)=0),"",ABS(F593-G593)*E593)</f>
        <v/>
      </c>
      <c r="U593" s="8">
        <f>IF(OR(B593="",P593=""),"",IF(D593="Venda",-1,1)*((N(J593)*N(K593)+N(L593)*N(M593)+N(N593)*N(O593))-(N(J593)+N(L593)+N(N593))*F593)-N(Q593))</f>
        <v/>
      </c>
      <c r="V593" s="9">
        <f>IF(OR(B593="",P593=""),"",U593/S593)</f>
        <v/>
      </c>
      <c r="W593">
        <f>IF(OR(B593="",P593=""),"",NETWORKDAYS(C593,P593)-1)</f>
        <v/>
      </c>
      <c r="X593">
        <f>IF(B593="","",IF(P593="","Aberto","Fechado"))</f>
        <v/>
      </c>
    </row>
    <row r="594">
      <c r="C594" s="6" t="n"/>
      <c r="E594" s="7" t="n"/>
      <c r="F594" s="8" t="n"/>
      <c r="G594" s="8" t="n"/>
      <c r="H594" s="8" t="n"/>
      <c r="J594" s="7" t="n"/>
      <c r="K594" s="8" t="n"/>
      <c r="L594" s="7" t="n"/>
      <c r="M594" s="8" t="n"/>
      <c r="N594" s="7" t="n"/>
      <c r="O594" s="8" t="n"/>
      <c r="P594" s="6" t="n"/>
      <c r="Q594" s="8" t="n"/>
      <c r="S594" s="8">
        <f>IF(B594="","",E594*F594)</f>
        <v/>
      </c>
      <c r="T594" s="8">
        <f>IF(OR(B594="",N(G594)=0),"",ABS(F594-G594)*E594)</f>
        <v/>
      </c>
      <c r="U594" s="8">
        <f>IF(OR(B594="",P594=""),"",IF(D594="Venda",-1,1)*((N(J594)*N(K594)+N(L594)*N(M594)+N(N594)*N(O594))-(N(J594)+N(L594)+N(N594))*F594)-N(Q594))</f>
        <v/>
      </c>
      <c r="V594" s="9">
        <f>IF(OR(B594="",P594=""),"",U594/S594)</f>
        <v/>
      </c>
      <c r="W594">
        <f>IF(OR(B594="",P594=""),"",NETWORKDAYS(C594,P594)-1)</f>
        <v/>
      </c>
      <c r="X594">
        <f>IF(B594="","",IF(P594="","Aberto","Fechado"))</f>
        <v/>
      </c>
    </row>
    <row r="595">
      <c r="C595" s="6" t="n"/>
      <c r="E595" s="7" t="n"/>
      <c r="F595" s="8" t="n"/>
      <c r="G595" s="8" t="n"/>
      <c r="H595" s="8" t="n"/>
      <c r="J595" s="7" t="n"/>
      <c r="K595" s="8" t="n"/>
      <c r="L595" s="7" t="n"/>
      <c r="M595" s="8" t="n"/>
      <c r="N595" s="7" t="n"/>
      <c r="O595" s="8" t="n"/>
      <c r="P595" s="6" t="n"/>
      <c r="Q595" s="8" t="n"/>
      <c r="S595" s="8">
        <f>IF(B595="","",E595*F595)</f>
        <v/>
      </c>
      <c r="T595" s="8">
        <f>IF(OR(B595="",N(G595)=0),"",ABS(F595-G595)*E595)</f>
        <v/>
      </c>
      <c r="U595" s="8">
        <f>IF(OR(B595="",P595=""),"",IF(D595="Venda",-1,1)*((N(J595)*N(K595)+N(L595)*N(M595)+N(N595)*N(O595))-(N(J595)+N(L595)+N(N595))*F595)-N(Q595))</f>
        <v/>
      </c>
      <c r="V595" s="9">
        <f>IF(OR(B595="",P595=""),"",U595/S595)</f>
        <v/>
      </c>
      <c r="W595">
        <f>IF(OR(B595="",P595=""),"",NETWORKDAYS(C595,P595)-1)</f>
        <v/>
      </c>
      <c r="X595">
        <f>IF(B595="","",IF(P595="","Aberto","Fechado"))</f>
        <v/>
      </c>
    </row>
    <row r="596">
      <c r="C596" s="6" t="n"/>
      <c r="E596" s="7" t="n"/>
      <c r="F596" s="8" t="n"/>
      <c r="G596" s="8" t="n"/>
      <c r="H596" s="8" t="n"/>
      <c r="J596" s="7" t="n"/>
      <c r="K596" s="8" t="n"/>
      <c r="L596" s="7" t="n"/>
      <c r="M596" s="8" t="n"/>
      <c r="N596" s="7" t="n"/>
      <c r="O596" s="8" t="n"/>
      <c r="P596" s="6" t="n"/>
      <c r="Q596" s="8" t="n"/>
      <c r="S596" s="8">
        <f>IF(B596="","",E596*F596)</f>
        <v/>
      </c>
      <c r="T596" s="8">
        <f>IF(OR(B596="",N(G596)=0),"",ABS(F596-G596)*E596)</f>
        <v/>
      </c>
      <c r="U596" s="8">
        <f>IF(OR(B596="",P596=""),"",IF(D596="Venda",-1,1)*((N(J596)*N(K596)+N(L596)*N(M596)+N(N596)*N(O596))-(N(J596)+N(L596)+N(N596))*F596)-N(Q596))</f>
        <v/>
      </c>
      <c r="V596" s="9">
        <f>IF(OR(B596="",P596=""),"",U596/S596)</f>
        <v/>
      </c>
      <c r="W596">
        <f>IF(OR(B596="",P596=""),"",NETWORKDAYS(C596,P596)-1)</f>
        <v/>
      </c>
      <c r="X596">
        <f>IF(B596="","",IF(P596="","Aberto","Fechado"))</f>
        <v/>
      </c>
    </row>
    <row r="597">
      <c r="C597" s="6" t="n"/>
      <c r="E597" s="7" t="n"/>
      <c r="F597" s="8" t="n"/>
      <c r="G597" s="8" t="n"/>
      <c r="H597" s="8" t="n"/>
      <c r="J597" s="7" t="n"/>
      <c r="K597" s="8" t="n"/>
      <c r="L597" s="7" t="n"/>
      <c r="M597" s="8" t="n"/>
      <c r="N597" s="7" t="n"/>
      <c r="O597" s="8" t="n"/>
      <c r="P597" s="6" t="n"/>
      <c r="Q597" s="8" t="n"/>
      <c r="S597" s="8">
        <f>IF(B597="","",E597*F597)</f>
        <v/>
      </c>
      <c r="T597" s="8">
        <f>IF(OR(B597="",N(G597)=0),"",ABS(F597-G597)*E597)</f>
        <v/>
      </c>
      <c r="U597" s="8">
        <f>IF(OR(B597="",P597=""),"",IF(D597="Venda",-1,1)*((N(J597)*N(K597)+N(L597)*N(M597)+N(N597)*N(O597))-(N(J597)+N(L597)+N(N597))*F597)-N(Q597))</f>
        <v/>
      </c>
      <c r="V597" s="9">
        <f>IF(OR(B597="",P597=""),"",U597/S597)</f>
        <v/>
      </c>
      <c r="W597">
        <f>IF(OR(B597="",P597=""),"",NETWORKDAYS(C597,P597)-1)</f>
        <v/>
      </c>
      <c r="X597">
        <f>IF(B597="","",IF(P597="","Aberto","Fechado"))</f>
        <v/>
      </c>
    </row>
    <row r="598">
      <c r="C598" s="6" t="n"/>
      <c r="E598" s="7" t="n"/>
      <c r="F598" s="8" t="n"/>
      <c r="G598" s="8" t="n"/>
      <c r="H598" s="8" t="n"/>
      <c r="J598" s="7" t="n"/>
      <c r="K598" s="8" t="n"/>
      <c r="L598" s="7" t="n"/>
      <c r="M598" s="8" t="n"/>
      <c r="N598" s="7" t="n"/>
      <c r="O598" s="8" t="n"/>
      <c r="P598" s="6" t="n"/>
      <c r="Q598" s="8" t="n"/>
      <c r="S598" s="8">
        <f>IF(B598="","",E598*F598)</f>
        <v/>
      </c>
      <c r="T598" s="8">
        <f>IF(OR(B598="",N(G598)=0),"",ABS(F598-G598)*E598)</f>
        <v/>
      </c>
      <c r="U598" s="8">
        <f>IF(OR(B598="",P598=""),"",IF(D598="Venda",-1,1)*((N(J598)*N(K598)+N(L598)*N(M598)+N(N598)*N(O598))-(N(J598)+N(L598)+N(N598))*F598)-N(Q598))</f>
        <v/>
      </c>
      <c r="V598" s="9">
        <f>IF(OR(B598="",P598=""),"",U598/S598)</f>
        <v/>
      </c>
      <c r="W598">
        <f>IF(OR(B598="",P598=""),"",NETWORKDAYS(C598,P598)-1)</f>
        <v/>
      </c>
      <c r="X598">
        <f>IF(B598="","",IF(P598="","Aberto","Fechado"))</f>
        <v/>
      </c>
    </row>
    <row r="599">
      <c r="C599" s="6" t="n"/>
      <c r="E599" s="7" t="n"/>
      <c r="F599" s="8" t="n"/>
      <c r="G599" s="8" t="n"/>
      <c r="H599" s="8" t="n"/>
      <c r="J599" s="7" t="n"/>
      <c r="K599" s="8" t="n"/>
      <c r="L599" s="7" t="n"/>
      <c r="M599" s="8" t="n"/>
      <c r="N599" s="7" t="n"/>
      <c r="O599" s="8" t="n"/>
      <c r="P599" s="6" t="n"/>
      <c r="Q599" s="8" t="n"/>
      <c r="S599" s="8">
        <f>IF(B599="","",E599*F599)</f>
        <v/>
      </c>
      <c r="T599" s="8">
        <f>IF(OR(B599="",N(G599)=0),"",ABS(F599-G599)*E599)</f>
        <v/>
      </c>
      <c r="U599" s="8">
        <f>IF(OR(B599="",P599=""),"",IF(D599="Venda",-1,1)*((N(J599)*N(K599)+N(L599)*N(M599)+N(N599)*N(O599))-(N(J599)+N(L599)+N(N599))*F599)-N(Q599))</f>
        <v/>
      </c>
      <c r="V599" s="9">
        <f>IF(OR(B599="",P599=""),"",U599/S599)</f>
        <v/>
      </c>
      <c r="W599">
        <f>IF(OR(B599="",P599=""),"",NETWORKDAYS(C599,P599)-1)</f>
        <v/>
      </c>
      <c r="X599">
        <f>IF(B599="","",IF(P599="","Aberto","Fechado"))</f>
        <v/>
      </c>
    </row>
    <row r="600">
      <c r="C600" s="6" t="n"/>
      <c r="E600" s="7" t="n"/>
      <c r="F600" s="8" t="n"/>
      <c r="G600" s="8" t="n"/>
      <c r="H600" s="8" t="n"/>
      <c r="J600" s="7" t="n"/>
      <c r="K600" s="8" t="n"/>
      <c r="L600" s="7" t="n"/>
      <c r="M600" s="8" t="n"/>
      <c r="N600" s="7" t="n"/>
      <c r="O600" s="8" t="n"/>
      <c r="P600" s="6" t="n"/>
      <c r="Q600" s="8" t="n"/>
      <c r="S600" s="8">
        <f>IF(B600="","",E600*F600)</f>
        <v/>
      </c>
      <c r="T600" s="8">
        <f>IF(OR(B600="",N(G600)=0),"",ABS(F600-G600)*E600)</f>
        <v/>
      </c>
      <c r="U600" s="8">
        <f>IF(OR(B600="",P600=""),"",IF(D600="Venda",-1,1)*((N(J600)*N(K600)+N(L600)*N(M600)+N(N600)*N(O600))-(N(J600)+N(L600)+N(N600))*F600)-N(Q600))</f>
        <v/>
      </c>
      <c r="V600" s="9">
        <f>IF(OR(B600="",P600=""),"",U600/S600)</f>
        <v/>
      </c>
      <c r="W600">
        <f>IF(OR(B600="",P600=""),"",NETWORKDAYS(C600,P600)-1)</f>
        <v/>
      </c>
      <c r="X600">
        <f>IF(B600="","",IF(P600="","Aberto","Fechado"))</f>
        <v/>
      </c>
    </row>
    <row r="601">
      <c r="C601" s="6" t="n"/>
      <c r="E601" s="7" t="n"/>
      <c r="F601" s="8" t="n"/>
      <c r="G601" s="8" t="n"/>
      <c r="H601" s="8" t="n"/>
      <c r="J601" s="7" t="n"/>
      <c r="K601" s="8" t="n"/>
      <c r="L601" s="7" t="n"/>
      <c r="M601" s="8" t="n"/>
      <c r="N601" s="7" t="n"/>
      <c r="O601" s="8" t="n"/>
      <c r="P601" s="6" t="n"/>
      <c r="Q601" s="8" t="n"/>
      <c r="S601" s="8">
        <f>IF(B601="","",E601*F601)</f>
        <v/>
      </c>
      <c r="T601" s="8">
        <f>IF(OR(B601="",N(G601)=0),"",ABS(F601-G601)*E601)</f>
        <v/>
      </c>
      <c r="U601" s="8">
        <f>IF(OR(B601="",P601=""),"",IF(D601="Venda",-1,1)*((N(J601)*N(K601)+N(L601)*N(M601)+N(N601)*N(O601))-(N(J601)+N(L601)+N(N601))*F601)-N(Q601))</f>
        <v/>
      </c>
      <c r="V601" s="9">
        <f>IF(OR(B601="",P601=""),"",U601/S601)</f>
        <v/>
      </c>
      <c r="W601">
        <f>IF(OR(B601="",P601=""),"",NETWORKDAYS(C601,P601)-1)</f>
        <v/>
      </c>
      <c r="X601">
        <f>IF(B601="","",IF(P601="","Aberto","Fechado"))</f>
        <v/>
      </c>
    </row>
    <row r="602">
      <c r="C602" s="6" t="n"/>
      <c r="E602" s="7" t="n"/>
      <c r="F602" s="8" t="n"/>
      <c r="G602" s="8" t="n"/>
      <c r="H602" s="8" t="n"/>
      <c r="J602" s="7" t="n"/>
      <c r="K602" s="8" t="n"/>
      <c r="L602" s="7" t="n"/>
      <c r="M602" s="8" t="n"/>
      <c r="N602" s="7" t="n"/>
      <c r="O602" s="8" t="n"/>
      <c r="P602" s="6" t="n"/>
      <c r="Q602" s="8" t="n"/>
      <c r="S602" s="8">
        <f>IF(B602="","",E602*F602)</f>
        <v/>
      </c>
      <c r="T602" s="8">
        <f>IF(OR(B602="",N(G602)=0),"",ABS(F602-G602)*E602)</f>
        <v/>
      </c>
      <c r="U602" s="8">
        <f>IF(OR(B602="",P602=""),"",IF(D602="Venda",-1,1)*((N(J602)*N(K602)+N(L602)*N(M602)+N(N602)*N(O602))-(N(J602)+N(L602)+N(N602))*F602)-N(Q602))</f>
        <v/>
      </c>
      <c r="V602" s="9">
        <f>IF(OR(B602="",P602=""),"",U602/S602)</f>
        <v/>
      </c>
      <c r="W602">
        <f>IF(OR(B602="",P602=""),"",NETWORKDAYS(C602,P602)-1)</f>
        <v/>
      </c>
      <c r="X602">
        <f>IF(B602="","",IF(P602="","Aberto","Fechado"))</f>
        <v/>
      </c>
    </row>
    <row r="603">
      <c r="C603" s="6" t="n"/>
      <c r="E603" s="7" t="n"/>
      <c r="F603" s="8" t="n"/>
      <c r="G603" s="8" t="n"/>
      <c r="H603" s="8" t="n"/>
      <c r="J603" s="7" t="n"/>
      <c r="K603" s="8" t="n"/>
      <c r="L603" s="7" t="n"/>
      <c r="M603" s="8" t="n"/>
      <c r="N603" s="7" t="n"/>
      <c r="O603" s="8" t="n"/>
      <c r="P603" s="6" t="n"/>
      <c r="Q603" s="8" t="n"/>
      <c r="S603" s="8">
        <f>IF(B603="","",E603*F603)</f>
        <v/>
      </c>
      <c r="T603" s="8">
        <f>IF(OR(B603="",N(G603)=0),"",ABS(F603-G603)*E603)</f>
        <v/>
      </c>
      <c r="U603" s="8">
        <f>IF(OR(B603="",P603=""),"",IF(D603="Venda",-1,1)*((N(J603)*N(K603)+N(L603)*N(M603)+N(N603)*N(O603))-(N(J603)+N(L603)+N(N603))*F603)-N(Q603))</f>
        <v/>
      </c>
      <c r="V603" s="9">
        <f>IF(OR(B603="",P603=""),"",U603/S603)</f>
        <v/>
      </c>
      <c r="W603">
        <f>IF(OR(B603="",P603=""),"",NETWORKDAYS(C603,P603)-1)</f>
        <v/>
      </c>
      <c r="X603">
        <f>IF(B603="","",IF(P603="","Aberto","Fechado"))</f>
        <v/>
      </c>
    </row>
    <row r="604">
      <c r="C604" s="6" t="n"/>
      <c r="E604" s="7" t="n"/>
      <c r="F604" s="8" t="n"/>
      <c r="G604" s="8" t="n"/>
      <c r="H604" s="8" t="n"/>
      <c r="J604" s="7" t="n"/>
      <c r="K604" s="8" t="n"/>
      <c r="L604" s="7" t="n"/>
      <c r="M604" s="8" t="n"/>
      <c r="N604" s="7" t="n"/>
      <c r="O604" s="8" t="n"/>
      <c r="P604" s="6" t="n"/>
      <c r="Q604" s="8" t="n"/>
      <c r="S604" s="8">
        <f>IF(B604="","",E604*F604)</f>
        <v/>
      </c>
      <c r="T604" s="8">
        <f>IF(OR(B604="",N(G604)=0),"",ABS(F604-G604)*E604)</f>
        <v/>
      </c>
      <c r="U604" s="8">
        <f>IF(OR(B604="",P604=""),"",IF(D604="Venda",-1,1)*((N(J604)*N(K604)+N(L604)*N(M604)+N(N604)*N(O604))-(N(J604)+N(L604)+N(N604))*F604)-N(Q604))</f>
        <v/>
      </c>
      <c r="V604" s="9">
        <f>IF(OR(B604="",P604=""),"",U604/S604)</f>
        <v/>
      </c>
      <c r="W604">
        <f>IF(OR(B604="",P604=""),"",NETWORKDAYS(C604,P604)-1)</f>
        <v/>
      </c>
      <c r="X604">
        <f>IF(B604="","",IF(P604="","Aberto","Fechado"))</f>
        <v/>
      </c>
    </row>
    <row r="605">
      <c r="C605" s="6" t="n"/>
      <c r="E605" s="7" t="n"/>
      <c r="F605" s="8" t="n"/>
      <c r="G605" s="8" t="n"/>
      <c r="H605" s="8" t="n"/>
      <c r="J605" s="7" t="n"/>
      <c r="K605" s="8" t="n"/>
      <c r="L605" s="7" t="n"/>
      <c r="M605" s="8" t="n"/>
      <c r="N605" s="7" t="n"/>
      <c r="O605" s="8" t="n"/>
      <c r="P605" s="6" t="n"/>
      <c r="Q605" s="8" t="n"/>
      <c r="S605" s="8">
        <f>IF(B605="","",E605*F605)</f>
        <v/>
      </c>
      <c r="T605" s="8">
        <f>IF(OR(B605="",N(G605)=0),"",ABS(F605-G605)*E605)</f>
        <v/>
      </c>
      <c r="U605" s="8">
        <f>IF(OR(B605="",P605=""),"",IF(D605="Venda",-1,1)*((N(J605)*N(K605)+N(L605)*N(M605)+N(N605)*N(O605))-(N(J605)+N(L605)+N(N605))*F605)-N(Q605))</f>
        <v/>
      </c>
      <c r="V605" s="9">
        <f>IF(OR(B605="",P605=""),"",U605/S605)</f>
        <v/>
      </c>
      <c r="W605">
        <f>IF(OR(B605="",P605=""),"",NETWORKDAYS(C605,P605)-1)</f>
        <v/>
      </c>
      <c r="X605">
        <f>IF(B605="","",IF(P605="","Aberto","Fechado"))</f>
        <v/>
      </c>
    </row>
    <row r="606">
      <c r="C606" s="6" t="n"/>
      <c r="E606" s="7" t="n"/>
      <c r="F606" s="8" t="n"/>
      <c r="G606" s="8" t="n"/>
      <c r="H606" s="8" t="n"/>
      <c r="J606" s="7" t="n"/>
      <c r="K606" s="8" t="n"/>
      <c r="L606" s="7" t="n"/>
      <c r="M606" s="8" t="n"/>
      <c r="N606" s="7" t="n"/>
      <c r="O606" s="8" t="n"/>
      <c r="P606" s="6" t="n"/>
      <c r="Q606" s="8" t="n"/>
      <c r="S606" s="8">
        <f>IF(B606="","",E606*F606)</f>
        <v/>
      </c>
      <c r="T606" s="8">
        <f>IF(OR(B606="",N(G606)=0),"",ABS(F606-G606)*E606)</f>
        <v/>
      </c>
      <c r="U606" s="8">
        <f>IF(OR(B606="",P606=""),"",IF(D606="Venda",-1,1)*((N(J606)*N(K606)+N(L606)*N(M606)+N(N606)*N(O606))-(N(J606)+N(L606)+N(N606))*F606)-N(Q606))</f>
        <v/>
      </c>
      <c r="V606" s="9">
        <f>IF(OR(B606="",P606=""),"",U606/S606)</f>
        <v/>
      </c>
      <c r="W606">
        <f>IF(OR(B606="",P606=""),"",NETWORKDAYS(C606,P606)-1)</f>
        <v/>
      </c>
      <c r="X606">
        <f>IF(B606="","",IF(P606="","Aberto","Fechado"))</f>
        <v/>
      </c>
    </row>
    <row r="607">
      <c r="C607" s="6" t="n"/>
      <c r="E607" s="7" t="n"/>
      <c r="F607" s="8" t="n"/>
      <c r="G607" s="8" t="n"/>
      <c r="H607" s="8" t="n"/>
      <c r="J607" s="7" t="n"/>
      <c r="K607" s="8" t="n"/>
      <c r="L607" s="7" t="n"/>
      <c r="M607" s="8" t="n"/>
      <c r="N607" s="7" t="n"/>
      <c r="O607" s="8" t="n"/>
      <c r="P607" s="6" t="n"/>
      <c r="Q607" s="8" t="n"/>
      <c r="S607" s="8">
        <f>IF(B607="","",E607*F607)</f>
        <v/>
      </c>
      <c r="T607" s="8">
        <f>IF(OR(B607="",N(G607)=0),"",ABS(F607-G607)*E607)</f>
        <v/>
      </c>
      <c r="U607" s="8">
        <f>IF(OR(B607="",P607=""),"",IF(D607="Venda",-1,1)*((N(J607)*N(K607)+N(L607)*N(M607)+N(N607)*N(O607))-(N(J607)+N(L607)+N(N607))*F607)-N(Q607))</f>
        <v/>
      </c>
      <c r="V607" s="9">
        <f>IF(OR(B607="",P607=""),"",U607/S607)</f>
        <v/>
      </c>
      <c r="W607">
        <f>IF(OR(B607="",P607=""),"",NETWORKDAYS(C607,P607)-1)</f>
        <v/>
      </c>
      <c r="X607">
        <f>IF(B607="","",IF(P607="","Aberto","Fechado"))</f>
        <v/>
      </c>
    </row>
    <row r="608">
      <c r="C608" s="6" t="n"/>
      <c r="E608" s="7" t="n"/>
      <c r="F608" s="8" t="n"/>
      <c r="G608" s="8" t="n"/>
      <c r="H608" s="8" t="n"/>
      <c r="J608" s="7" t="n"/>
      <c r="K608" s="8" t="n"/>
      <c r="L608" s="7" t="n"/>
      <c r="M608" s="8" t="n"/>
      <c r="N608" s="7" t="n"/>
      <c r="O608" s="8" t="n"/>
      <c r="P608" s="6" t="n"/>
      <c r="Q608" s="8" t="n"/>
      <c r="S608" s="8">
        <f>IF(B608="","",E608*F608)</f>
        <v/>
      </c>
      <c r="T608" s="8">
        <f>IF(OR(B608="",N(G608)=0),"",ABS(F608-G608)*E608)</f>
        <v/>
      </c>
      <c r="U608" s="8">
        <f>IF(OR(B608="",P608=""),"",IF(D608="Venda",-1,1)*((N(J608)*N(K608)+N(L608)*N(M608)+N(N608)*N(O608))-(N(J608)+N(L608)+N(N608))*F608)-N(Q608))</f>
        <v/>
      </c>
      <c r="V608" s="9">
        <f>IF(OR(B608="",P608=""),"",U608/S608)</f>
        <v/>
      </c>
      <c r="W608">
        <f>IF(OR(B608="",P608=""),"",NETWORKDAYS(C608,P608)-1)</f>
        <v/>
      </c>
      <c r="X608">
        <f>IF(B608="","",IF(P608="","Aberto","Fechado"))</f>
        <v/>
      </c>
    </row>
    <row r="609">
      <c r="C609" s="6" t="n"/>
      <c r="E609" s="7" t="n"/>
      <c r="F609" s="8" t="n"/>
      <c r="G609" s="8" t="n"/>
      <c r="H609" s="8" t="n"/>
      <c r="J609" s="7" t="n"/>
      <c r="K609" s="8" t="n"/>
      <c r="L609" s="7" t="n"/>
      <c r="M609" s="8" t="n"/>
      <c r="N609" s="7" t="n"/>
      <c r="O609" s="8" t="n"/>
      <c r="P609" s="6" t="n"/>
      <c r="Q609" s="8" t="n"/>
      <c r="S609" s="8">
        <f>IF(B609="","",E609*F609)</f>
        <v/>
      </c>
      <c r="T609" s="8">
        <f>IF(OR(B609="",N(G609)=0),"",ABS(F609-G609)*E609)</f>
        <v/>
      </c>
      <c r="U609" s="8">
        <f>IF(OR(B609="",P609=""),"",IF(D609="Venda",-1,1)*((N(J609)*N(K609)+N(L609)*N(M609)+N(N609)*N(O609))-(N(J609)+N(L609)+N(N609))*F609)-N(Q609))</f>
        <v/>
      </c>
      <c r="V609" s="9">
        <f>IF(OR(B609="",P609=""),"",U609/S609)</f>
        <v/>
      </c>
      <c r="W609">
        <f>IF(OR(B609="",P609=""),"",NETWORKDAYS(C609,P609)-1)</f>
        <v/>
      </c>
      <c r="X609">
        <f>IF(B609="","",IF(P609="","Aberto","Fechado"))</f>
        <v/>
      </c>
    </row>
    <row r="610">
      <c r="C610" s="6" t="n"/>
      <c r="E610" s="7" t="n"/>
      <c r="F610" s="8" t="n"/>
      <c r="G610" s="8" t="n"/>
      <c r="H610" s="8" t="n"/>
      <c r="J610" s="7" t="n"/>
      <c r="K610" s="8" t="n"/>
      <c r="L610" s="7" t="n"/>
      <c r="M610" s="8" t="n"/>
      <c r="N610" s="7" t="n"/>
      <c r="O610" s="8" t="n"/>
      <c r="P610" s="6" t="n"/>
      <c r="Q610" s="8" t="n"/>
      <c r="S610" s="8">
        <f>IF(B610="","",E610*F610)</f>
        <v/>
      </c>
      <c r="T610" s="8">
        <f>IF(OR(B610="",N(G610)=0),"",ABS(F610-G610)*E610)</f>
        <v/>
      </c>
      <c r="U610" s="8">
        <f>IF(OR(B610="",P610=""),"",IF(D610="Venda",-1,1)*((N(J610)*N(K610)+N(L610)*N(M610)+N(N610)*N(O610))-(N(J610)+N(L610)+N(N610))*F610)-N(Q610))</f>
        <v/>
      </c>
      <c r="V610" s="9">
        <f>IF(OR(B610="",P610=""),"",U610/S610)</f>
        <v/>
      </c>
      <c r="W610">
        <f>IF(OR(B610="",P610=""),"",NETWORKDAYS(C610,P610)-1)</f>
        <v/>
      </c>
      <c r="X610">
        <f>IF(B610="","",IF(P610="","Aberto","Fechado"))</f>
        <v/>
      </c>
    </row>
    <row r="611">
      <c r="C611" s="6" t="n"/>
      <c r="E611" s="7" t="n"/>
      <c r="F611" s="8" t="n"/>
      <c r="G611" s="8" t="n"/>
      <c r="H611" s="8" t="n"/>
      <c r="J611" s="7" t="n"/>
      <c r="K611" s="8" t="n"/>
      <c r="L611" s="7" t="n"/>
      <c r="M611" s="8" t="n"/>
      <c r="N611" s="7" t="n"/>
      <c r="O611" s="8" t="n"/>
      <c r="P611" s="6" t="n"/>
      <c r="Q611" s="8" t="n"/>
      <c r="S611" s="8">
        <f>IF(B611="","",E611*F611)</f>
        <v/>
      </c>
      <c r="T611" s="8">
        <f>IF(OR(B611="",N(G611)=0),"",ABS(F611-G611)*E611)</f>
        <v/>
      </c>
      <c r="U611" s="8">
        <f>IF(OR(B611="",P611=""),"",IF(D611="Venda",-1,1)*((N(J611)*N(K611)+N(L611)*N(M611)+N(N611)*N(O611))-(N(J611)+N(L611)+N(N611))*F611)-N(Q611))</f>
        <v/>
      </c>
      <c r="V611" s="9">
        <f>IF(OR(B611="",P611=""),"",U611/S611)</f>
        <v/>
      </c>
      <c r="W611">
        <f>IF(OR(B611="",P611=""),"",NETWORKDAYS(C611,P611)-1)</f>
        <v/>
      </c>
      <c r="X611">
        <f>IF(B611="","",IF(P611="","Aberto","Fechado"))</f>
        <v/>
      </c>
    </row>
    <row r="612">
      <c r="C612" s="6" t="n"/>
      <c r="E612" s="7" t="n"/>
      <c r="F612" s="8" t="n"/>
      <c r="G612" s="8" t="n"/>
      <c r="H612" s="8" t="n"/>
      <c r="J612" s="7" t="n"/>
      <c r="K612" s="8" t="n"/>
      <c r="L612" s="7" t="n"/>
      <c r="M612" s="8" t="n"/>
      <c r="N612" s="7" t="n"/>
      <c r="O612" s="8" t="n"/>
      <c r="P612" s="6" t="n"/>
      <c r="Q612" s="8" t="n"/>
      <c r="S612" s="8">
        <f>IF(B612="","",E612*F612)</f>
        <v/>
      </c>
      <c r="T612" s="8">
        <f>IF(OR(B612="",N(G612)=0),"",ABS(F612-G612)*E612)</f>
        <v/>
      </c>
      <c r="U612" s="8">
        <f>IF(OR(B612="",P612=""),"",IF(D612="Venda",-1,1)*((N(J612)*N(K612)+N(L612)*N(M612)+N(N612)*N(O612))-(N(J612)+N(L612)+N(N612))*F612)-N(Q612))</f>
        <v/>
      </c>
      <c r="V612" s="9">
        <f>IF(OR(B612="",P612=""),"",U612/S612)</f>
        <v/>
      </c>
      <c r="W612">
        <f>IF(OR(B612="",P612=""),"",NETWORKDAYS(C612,P612)-1)</f>
        <v/>
      </c>
      <c r="X612">
        <f>IF(B612="","",IF(P612="","Aberto","Fechado"))</f>
        <v/>
      </c>
    </row>
    <row r="613">
      <c r="C613" s="6" t="n"/>
      <c r="E613" s="7" t="n"/>
      <c r="F613" s="8" t="n"/>
      <c r="G613" s="8" t="n"/>
      <c r="H613" s="8" t="n"/>
      <c r="J613" s="7" t="n"/>
      <c r="K613" s="8" t="n"/>
      <c r="L613" s="7" t="n"/>
      <c r="M613" s="8" t="n"/>
      <c r="N613" s="7" t="n"/>
      <c r="O613" s="8" t="n"/>
      <c r="P613" s="6" t="n"/>
      <c r="Q613" s="8" t="n"/>
      <c r="S613" s="8">
        <f>IF(B613="","",E613*F613)</f>
        <v/>
      </c>
      <c r="T613" s="8">
        <f>IF(OR(B613="",N(G613)=0),"",ABS(F613-G613)*E613)</f>
        <v/>
      </c>
      <c r="U613" s="8">
        <f>IF(OR(B613="",P613=""),"",IF(D613="Venda",-1,1)*((N(J613)*N(K613)+N(L613)*N(M613)+N(N613)*N(O613))-(N(J613)+N(L613)+N(N613))*F613)-N(Q613))</f>
        <v/>
      </c>
      <c r="V613" s="9">
        <f>IF(OR(B613="",P613=""),"",U613/S613)</f>
        <v/>
      </c>
      <c r="W613">
        <f>IF(OR(B613="",P613=""),"",NETWORKDAYS(C613,P613)-1)</f>
        <v/>
      </c>
      <c r="X613">
        <f>IF(B613="","",IF(P613="","Aberto","Fechado"))</f>
        <v/>
      </c>
    </row>
    <row r="614">
      <c r="C614" s="6" t="n"/>
      <c r="E614" s="7" t="n"/>
      <c r="F614" s="8" t="n"/>
      <c r="G614" s="8" t="n"/>
      <c r="H614" s="8" t="n"/>
      <c r="J614" s="7" t="n"/>
      <c r="K614" s="8" t="n"/>
      <c r="L614" s="7" t="n"/>
      <c r="M614" s="8" t="n"/>
      <c r="N614" s="7" t="n"/>
      <c r="O614" s="8" t="n"/>
      <c r="P614" s="6" t="n"/>
      <c r="Q614" s="8" t="n"/>
      <c r="S614" s="8">
        <f>IF(B614="","",E614*F614)</f>
        <v/>
      </c>
      <c r="T614" s="8">
        <f>IF(OR(B614="",N(G614)=0),"",ABS(F614-G614)*E614)</f>
        <v/>
      </c>
      <c r="U614" s="8">
        <f>IF(OR(B614="",P614=""),"",IF(D614="Venda",-1,1)*((N(J614)*N(K614)+N(L614)*N(M614)+N(N614)*N(O614))-(N(J614)+N(L614)+N(N614))*F614)-N(Q614))</f>
        <v/>
      </c>
      <c r="V614" s="9">
        <f>IF(OR(B614="",P614=""),"",U614/S614)</f>
        <v/>
      </c>
      <c r="W614">
        <f>IF(OR(B614="",P614=""),"",NETWORKDAYS(C614,P614)-1)</f>
        <v/>
      </c>
      <c r="X614">
        <f>IF(B614="","",IF(P614="","Aberto","Fechado"))</f>
        <v/>
      </c>
    </row>
    <row r="615">
      <c r="C615" s="6" t="n"/>
      <c r="E615" s="7" t="n"/>
      <c r="F615" s="8" t="n"/>
      <c r="G615" s="8" t="n"/>
      <c r="H615" s="8" t="n"/>
      <c r="J615" s="7" t="n"/>
      <c r="K615" s="8" t="n"/>
      <c r="L615" s="7" t="n"/>
      <c r="M615" s="8" t="n"/>
      <c r="N615" s="7" t="n"/>
      <c r="O615" s="8" t="n"/>
      <c r="P615" s="6" t="n"/>
      <c r="Q615" s="8" t="n"/>
      <c r="S615" s="8">
        <f>IF(B615="","",E615*F615)</f>
        <v/>
      </c>
      <c r="T615" s="8">
        <f>IF(OR(B615="",N(G615)=0),"",ABS(F615-G615)*E615)</f>
        <v/>
      </c>
      <c r="U615" s="8">
        <f>IF(OR(B615="",P615=""),"",IF(D615="Venda",-1,1)*((N(J615)*N(K615)+N(L615)*N(M615)+N(N615)*N(O615))-(N(J615)+N(L615)+N(N615))*F615)-N(Q615))</f>
        <v/>
      </c>
      <c r="V615" s="9">
        <f>IF(OR(B615="",P615=""),"",U615/S615)</f>
        <v/>
      </c>
      <c r="W615">
        <f>IF(OR(B615="",P615=""),"",NETWORKDAYS(C615,P615)-1)</f>
        <v/>
      </c>
      <c r="X615">
        <f>IF(B615="","",IF(P615="","Aberto","Fechado"))</f>
        <v/>
      </c>
    </row>
    <row r="616">
      <c r="C616" s="6" t="n"/>
      <c r="E616" s="7" t="n"/>
      <c r="F616" s="8" t="n"/>
      <c r="G616" s="8" t="n"/>
      <c r="H616" s="8" t="n"/>
      <c r="J616" s="7" t="n"/>
      <c r="K616" s="8" t="n"/>
      <c r="L616" s="7" t="n"/>
      <c r="M616" s="8" t="n"/>
      <c r="N616" s="7" t="n"/>
      <c r="O616" s="8" t="n"/>
      <c r="P616" s="6" t="n"/>
      <c r="Q616" s="8" t="n"/>
      <c r="S616" s="8">
        <f>IF(B616="","",E616*F616)</f>
        <v/>
      </c>
      <c r="T616" s="8">
        <f>IF(OR(B616="",N(G616)=0),"",ABS(F616-G616)*E616)</f>
        <v/>
      </c>
      <c r="U616" s="8">
        <f>IF(OR(B616="",P616=""),"",IF(D616="Venda",-1,1)*((N(J616)*N(K616)+N(L616)*N(M616)+N(N616)*N(O616))-(N(J616)+N(L616)+N(N616))*F616)-N(Q616))</f>
        <v/>
      </c>
      <c r="V616" s="9">
        <f>IF(OR(B616="",P616=""),"",U616/S616)</f>
        <v/>
      </c>
      <c r="W616">
        <f>IF(OR(B616="",P616=""),"",NETWORKDAYS(C616,P616)-1)</f>
        <v/>
      </c>
      <c r="X616">
        <f>IF(B616="","",IF(P616="","Aberto","Fechado"))</f>
        <v/>
      </c>
    </row>
    <row r="617">
      <c r="C617" s="6" t="n"/>
      <c r="E617" s="7" t="n"/>
      <c r="F617" s="8" t="n"/>
      <c r="G617" s="8" t="n"/>
      <c r="H617" s="8" t="n"/>
      <c r="J617" s="7" t="n"/>
      <c r="K617" s="8" t="n"/>
      <c r="L617" s="7" t="n"/>
      <c r="M617" s="8" t="n"/>
      <c r="N617" s="7" t="n"/>
      <c r="O617" s="8" t="n"/>
      <c r="P617" s="6" t="n"/>
      <c r="Q617" s="8" t="n"/>
      <c r="S617" s="8">
        <f>IF(B617="","",E617*F617)</f>
        <v/>
      </c>
      <c r="T617" s="8">
        <f>IF(OR(B617="",N(G617)=0),"",ABS(F617-G617)*E617)</f>
        <v/>
      </c>
      <c r="U617" s="8">
        <f>IF(OR(B617="",P617=""),"",IF(D617="Venda",-1,1)*((N(J617)*N(K617)+N(L617)*N(M617)+N(N617)*N(O617))-(N(J617)+N(L617)+N(N617))*F617)-N(Q617))</f>
        <v/>
      </c>
      <c r="V617" s="9">
        <f>IF(OR(B617="",P617=""),"",U617/S617)</f>
        <v/>
      </c>
      <c r="W617">
        <f>IF(OR(B617="",P617=""),"",NETWORKDAYS(C617,P617)-1)</f>
        <v/>
      </c>
      <c r="X617">
        <f>IF(B617="","",IF(P617="","Aberto","Fechado"))</f>
        <v/>
      </c>
    </row>
    <row r="618">
      <c r="C618" s="6" t="n"/>
      <c r="E618" s="7" t="n"/>
      <c r="F618" s="8" t="n"/>
      <c r="G618" s="8" t="n"/>
      <c r="H618" s="8" t="n"/>
      <c r="J618" s="7" t="n"/>
      <c r="K618" s="8" t="n"/>
      <c r="L618" s="7" t="n"/>
      <c r="M618" s="8" t="n"/>
      <c r="N618" s="7" t="n"/>
      <c r="O618" s="8" t="n"/>
      <c r="P618" s="6" t="n"/>
      <c r="Q618" s="8" t="n"/>
      <c r="S618" s="8">
        <f>IF(B618="","",E618*F618)</f>
        <v/>
      </c>
      <c r="T618" s="8">
        <f>IF(OR(B618="",N(G618)=0),"",ABS(F618-G618)*E618)</f>
        <v/>
      </c>
      <c r="U618" s="8">
        <f>IF(OR(B618="",P618=""),"",IF(D618="Venda",-1,1)*((N(J618)*N(K618)+N(L618)*N(M618)+N(N618)*N(O618))-(N(J618)+N(L618)+N(N618))*F618)-N(Q618))</f>
        <v/>
      </c>
      <c r="V618" s="9">
        <f>IF(OR(B618="",P618=""),"",U618/S618)</f>
        <v/>
      </c>
      <c r="W618">
        <f>IF(OR(B618="",P618=""),"",NETWORKDAYS(C618,P618)-1)</f>
        <v/>
      </c>
      <c r="X618">
        <f>IF(B618="","",IF(P618="","Aberto","Fechado"))</f>
        <v/>
      </c>
    </row>
    <row r="619">
      <c r="C619" s="6" t="n"/>
      <c r="E619" s="7" t="n"/>
      <c r="F619" s="8" t="n"/>
      <c r="G619" s="8" t="n"/>
      <c r="H619" s="8" t="n"/>
      <c r="J619" s="7" t="n"/>
      <c r="K619" s="8" t="n"/>
      <c r="L619" s="7" t="n"/>
      <c r="M619" s="8" t="n"/>
      <c r="N619" s="7" t="n"/>
      <c r="O619" s="8" t="n"/>
      <c r="P619" s="6" t="n"/>
      <c r="Q619" s="8" t="n"/>
      <c r="S619" s="8">
        <f>IF(B619="","",E619*F619)</f>
        <v/>
      </c>
      <c r="T619" s="8">
        <f>IF(OR(B619="",N(G619)=0),"",ABS(F619-G619)*E619)</f>
        <v/>
      </c>
      <c r="U619" s="8">
        <f>IF(OR(B619="",P619=""),"",IF(D619="Venda",-1,1)*((N(J619)*N(K619)+N(L619)*N(M619)+N(N619)*N(O619))-(N(J619)+N(L619)+N(N619))*F619)-N(Q619))</f>
        <v/>
      </c>
      <c r="V619" s="9">
        <f>IF(OR(B619="",P619=""),"",U619/S619)</f>
        <v/>
      </c>
      <c r="W619">
        <f>IF(OR(B619="",P619=""),"",NETWORKDAYS(C619,P619)-1)</f>
        <v/>
      </c>
      <c r="X619">
        <f>IF(B619="","",IF(P619="","Aberto","Fechado"))</f>
        <v/>
      </c>
    </row>
    <row r="620">
      <c r="C620" s="6" t="n"/>
      <c r="E620" s="7" t="n"/>
      <c r="F620" s="8" t="n"/>
      <c r="G620" s="8" t="n"/>
      <c r="H620" s="8" t="n"/>
      <c r="J620" s="7" t="n"/>
      <c r="K620" s="8" t="n"/>
      <c r="L620" s="7" t="n"/>
      <c r="M620" s="8" t="n"/>
      <c r="N620" s="7" t="n"/>
      <c r="O620" s="8" t="n"/>
      <c r="P620" s="6" t="n"/>
      <c r="Q620" s="8" t="n"/>
      <c r="S620" s="8">
        <f>IF(B620="","",E620*F620)</f>
        <v/>
      </c>
      <c r="T620" s="8">
        <f>IF(OR(B620="",N(G620)=0),"",ABS(F620-G620)*E620)</f>
        <v/>
      </c>
      <c r="U620" s="8">
        <f>IF(OR(B620="",P620=""),"",IF(D620="Venda",-1,1)*((N(J620)*N(K620)+N(L620)*N(M620)+N(N620)*N(O620))-(N(J620)+N(L620)+N(N620))*F620)-N(Q620))</f>
        <v/>
      </c>
      <c r="V620" s="9">
        <f>IF(OR(B620="",P620=""),"",U620/S620)</f>
        <v/>
      </c>
      <c r="W620">
        <f>IF(OR(B620="",P620=""),"",NETWORKDAYS(C620,P620)-1)</f>
        <v/>
      </c>
      <c r="X620">
        <f>IF(B620="","",IF(P620="","Aberto","Fechado"))</f>
        <v/>
      </c>
    </row>
    <row r="621">
      <c r="C621" s="6" t="n"/>
      <c r="E621" s="7" t="n"/>
      <c r="F621" s="8" t="n"/>
      <c r="G621" s="8" t="n"/>
      <c r="H621" s="8" t="n"/>
      <c r="J621" s="7" t="n"/>
      <c r="K621" s="8" t="n"/>
      <c r="L621" s="7" t="n"/>
      <c r="M621" s="8" t="n"/>
      <c r="N621" s="7" t="n"/>
      <c r="O621" s="8" t="n"/>
      <c r="P621" s="6" t="n"/>
      <c r="Q621" s="8" t="n"/>
      <c r="S621" s="8">
        <f>IF(B621="","",E621*F621)</f>
        <v/>
      </c>
      <c r="T621" s="8">
        <f>IF(OR(B621="",N(G621)=0),"",ABS(F621-G621)*E621)</f>
        <v/>
      </c>
      <c r="U621" s="8">
        <f>IF(OR(B621="",P621=""),"",IF(D621="Venda",-1,1)*((N(J621)*N(K621)+N(L621)*N(M621)+N(N621)*N(O621))-(N(J621)+N(L621)+N(N621))*F621)-N(Q621))</f>
        <v/>
      </c>
      <c r="V621" s="9">
        <f>IF(OR(B621="",P621=""),"",U621/S621)</f>
        <v/>
      </c>
      <c r="W621">
        <f>IF(OR(B621="",P621=""),"",NETWORKDAYS(C621,P621)-1)</f>
        <v/>
      </c>
      <c r="X621">
        <f>IF(B621="","",IF(P621="","Aberto","Fechado"))</f>
        <v/>
      </c>
    </row>
    <row r="622">
      <c r="C622" s="6" t="n"/>
      <c r="E622" s="7" t="n"/>
      <c r="F622" s="8" t="n"/>
      <c r="G622" s="8" t="n"/>
      <c r="H622" s="8" t="n"/>
      <c r="J622" s="7" t="n"/>
      <c r="K622" s="8" t="n"/>
      <c r="L622" s="7" t="n"/>
      <c r="M622" s="8" t="n"/>
      <c r="N622" s="7" t="n"/>
      <c r="O622" s="8" t="n"/>
      <c r="P622" s="6" t="n"/>
      <c r="Q622" s="8" t="n"/>
      <c r="S622" s="8">
        <f>IF(B622="","",E622*F622)</f>
        <v/>
      </c>
      <c r="T622" s="8">
        <f>IF(OR(B622="",N(G622)=0),"",ABS(F622-G622)*E622)</f>
        <v/>
      </c>
      <c r="U622" s="8">
        <f>IF(OR(B622="",P622=""),"",IF(D622="Venda",-1,1)*((N(J622)*N(K622)+N(L622)*N(M622)+N(N622)*N(O622))-(N(J622)+N(L622)+N(N622))*F622)-N(Q622))</f>
        <v/>
      </c>
      <c r="V622" s="9">
        <f>IF(OR(B622="",P622=""),"",U622/S622)</f>
        <v/>
      </c>
      <c r="W622">
        <f>IF(OR(B622="",P622=""),"",NETWORKDAYS(C622,P622)-1)</f>
        <v/>
      </c>
      <c r="X622">
        <f>IF(B622="","",IF(P622="","Aberto","Fechado"))</f>
        <v/>
      </c>
    </row>
    <row r="623">
      <c r="C623" s="6" t="n"/>
      <c r="E623" s="7" t="n"/>
      <c r="F623" s="8" t="n"/>
      <c r="G623" s="8" t="n"/>
      <c r="H623" s="8" t="n"/>
      <c r="J623" s="7" t="n"/>
      <c r="K623" s="8" t="n"/>
      <c r="L623" s="7" t="n"/>
      <c r="M623" s="8" t="n"/>
      <c r="N623" s="7" t="n"/>
      <c r="O623" s="8" t="n"/>
      <c r="P623" s="6" t="n"/>
      <c r="Q623" s="8" t="n"/>
      <c r="S623" s="8">
        <f>IF(B623="","",E623*F623)</f>
        <v/>
      </c>
      <c r="T623" s="8">
        <f>IF(OR(B623="",N(G623)=0),"",ABS(F623-G623)*E623)</f>
        <v/>
      </c>
      <c r="U623" s="8">
        <f>IF(OR(B623="",P623=""),"",IF(D623="Venda",-1,1)*((N(J623)*N(K623)+N(L623)*N(M623)+N(N623)*N(O623))-(N(J623)+N(L623)+N(N623))*F623)-N(Q623))</f>
        <v/>
      </c>
      <c r="V623" s="9">
        <f>IF(OR(B623="",P623=""),"",U623/S623)</f>
        <v/>
      </c>
      <c r="W623">
        <f>IF(OR(B623="",P623=""),"",NETWORKDAYS(C623,P623)-1)</f>
        <v/>
      </c>
      <c r="X623">
        <f>IF(B623="","",IF(P623="","Aberto","Fechado"))</f>
        <v/>
      </c>
    </row>
    <row r="624">
      <c r="C624" s="6" t="n"/>
      <c r="E624" s="7" t="n"/>
      <c r="F624" s="8" t="n"/>
      <c r="G624" s="8" t="n"/>
      <c r="H624" s="8" t="n"/>
      <c r="J624" s="7" t="n"/>
      <c r="K624" s="8" t="n"/>
      <c r="L624" s="7" t="n"/>
      <c r="M624" s="8" t="n"/>
      <c r="N624" s="7" t="n"/>
      <c r="O624" s="8" t="n"/>
      <c r="P624" s="6" t="n"/>
      <c r="Q624" s="8" t="n"/>
      <c r="S624" s="8">
        <f>IF(B624="","",E624*F624)</f>
        <v/>
      </c>
      <c r="T624" s="8">
        <f>IF(OR(B624="",N(G624)=0),"",ABS(F624-G624)*E624)</f>
        <v/>
      </c>
      <c r="U624" s="8">
        <f>IF(OR(B624="",P624=""),"",IF(D624="Venda",-1,1)*((N(J624)*N(K624)+N(L624)*N(M624)+N(N624)*N(O624))-(N(J624)+N(L624)+N(N624))*F624)-N(Q624))</f>
        <v/>
      </c>
      <c r="V624" s="9">
        <f>IF(OR(B624="",P624=""),"",U624/S624)</f>
        <v/>
      </c>
      <c r="W624">
        <f>IF(OR(B624="",P624=""),"",NETWORKDAYS(C624,P624)-1)</f>
        <v/>
      </c>
      <c r="X624">
        <f>IF(B624="","",IF(P624="","Aberto","Fechado"))</f>
        <v/>
      </c>
    </row>
    <row r="625">
      <c r="C625" s="6" t="n"/>
      <c r="E625" s="7" t="n"/>
      <c r="F625" s="8" t="n"/>
      <c r="G625" s="8" t="n"/>
      <c r="H625" s="8" t="n"/>
      <c r="J625" s="7" t="n"/>
      <c r="K625" s="8" t="n"/>
      <c r="L625" s="7" t="n"/>
      <c r="M625" s="8" t="n"/>
      <c r="N625" s="7" t="n"/>
      <c r="O625" s="8" t="n"/>
      <c r="P625" s="6" t="n"/>
      <c r="Q625" s="8" t="n"/>
      <c r="S625" s="8">
        <f>IF(B625="","",E625*F625)</f>
        <v/>
      </c>
      <c r="T625" s="8">
        <f>IF(OR(B625="",N(G625)=0),"",ABS(F625-G625)*E625)</f>
        <v/>
      </c>
      <c r="U625" s="8">
        <f>IF(OR(B625="",P625=""),"",IF(D625="Venda",-1,1)*((N(J625)*N(K625)+N(L625)*N(M625)+N(N625)*N(O625))-(N(J625)+N(L625)+N(N625))*F625)-N(Q625))</f>
        <v/>
      </c>
      <c r="V625" s="9">
        <f>IF(OR(B625="",P625=""),"",U625/S625)</f>
        <v/>
      </c>
      <c r="W625">
        <f>IF(OR(B625="",P625=""),"",NETWORKDAYS(C625,P625)-1)</f>
        <v/>
      </c>
      <c r="X625">
        <f>IF(B625="","",IF(P625="","Aberto","Fechado"))</f>
        <v/>
      </c>
    </row>
    <row r="626">
      <c r="C626" s="6" t="n"/>
      <c r="E626" s="7" t="n"/>
      <c r="F626" s="8" t="n"/>
      <c r="G626" s="8" t="n"/>
      <c r="H626" s="8" t="n"/>
      <c r="J626" s="7" t="n"/>
      <c r="K626" s="8" t="n"/>
      <c r="L626" s="7" t="n"/>
      <c r="M626" s="8" t="n"/>
      <c r="N626" s="7" t="n"/>
      <c r="O626" s="8" t="n"/>
      <c r="P626" s="6" t="n"/>
      <c r="Q626" s="8" t="n"/>
      <c r="S626" s="8">
        <f>IF(B626="","",E626*F626)</f>
        <v/>
      </c>
      <c r="T626" s="8">
        <f>IF(OR(B626="",N(G626)=0),"",ABS(F626-G626)*E626)</f>
        <v/>
      </c>
      <c r="U626" s="8">
        <f>IF(OR(B626="",P626=""),"",IF(D626="Venda",-1,1)*((N(J626)*N(K626)+N(L626)*N(M626)+N(N626)*N(O626))-(N(J626)+N(L626)+N(N626))*F626)-N(Q626))</f>
        <v/>
      </c>
      <c r="V626" s="9">
        <f>IF(OR(B626="",P626=""),"",U626/S626)</f>
        <v/>
      </c>
      <c r="W626">
        <f>IF(OR(B626="",P626=""),"",NETWORKDAYS(C626,P626)-1)</f>
        <v/>
      </c>
      <c r="X626">
        <f>IF(B626="","",IF(P626="","Aberto","Fechado"))</f>
        <v/>
      </c>
    </row>
    <row r="627">
      <c r="C627" s="6" t="n"/>
      <c r="E627" s="7" t="n"/>
      <c r="F627" s="8" t="n"/>
      <c r="G627" s="8" t="n"/>
      <c r="H627" s="8" t="n"/>
      <c r="J627" s="7" t="n"/>
      <c r="K627" s="8" t="n"/>
      <c r="L627" s="7" t="n"/>
      <c r="M627" s="8" t="n"/>
      <c r="N627" s="7" t="n"/>
      <c r="O627" s="8" t="n"/>
      <c r="P627" s="6" t="n"/>
      <c r="Q627" s="8" t="n"/>
      <c r="S627" s="8">
        <f>IF(B627="","",E627*F627)</f>
        <v/>
      </c>
      <c r="T627" s="8">
        <f>IF(OR(B627="",N(G627)=0),"",ABS(F627-G627)*E627)</f>
        <v/>
      </c>
      <c r="U627" s="8">
        <f>IF(OR(B627="",P627=""),"",IF(D627="Venda",-1,1)*((N(J627)*N(K627)+N(L627)*N(M627)+N(N627)*N(O627))-(N(J627)+N(L627)+N(N627))*F627)-N(Q627))</f>
        <v/>
      </c>
      <c r="V627" s="9">
        <f>IF(OR(B627="",P627=""),"",U627/S627)</f>
        <v/>
      </c>
      <c r="W627">
        <f>IF(OR(B627="",P627=""),"",NETWORKDAYS(C627,P627)-1)</f>
        <v/>
      </c>
      <c r="X627">
        <f>IF(B627="","",IF(P627="","Aberto","Fechado"))</f>
        <v/>
      </c>
    </row>
    <row r="628">
      <c r="C628" s="6" t="n"/>
      <c r="E628" s="7" t="n"/>
      <c r="F628" s="8" t="n"/>
      <c r="G628" s="8" t="n"/>
      <c r="H628" s="8" t="n"/>
      <c r="J628" s="7" t="n"/>
      <c r="K628" s="8" t="n"/>
      <c r="L628" s="7" t="n"/>
      <c r="M628" s="8" t="n"/>
      <c r="N628" s="7" t="n"/>
      <c r="O628" s="8" t="n"/>
      <c r="P628" s="6" t="n"/>
      <c r="Q628" s="8" t="n"/>
      <c r="S628" s="8">
        <f>IF(B628="","",E628*F628)</f>
        <v/>
      </c>
      <c r="T628" s="8">
        <f>IF(OR(B628="",N(G628)=0),"",ABS(F628-G628)*E628)</f>
        <v/>
      </c>
      <c r="U628" s="8">
        <f>IF(OR(B628="",P628=""),"",IF(D628="Venda",-1,1)*((N(J628)*N(K628)+N(L628)*N(M628)+N(N628)*N(O628))-(N(J628)+N(L628)+N(N628))*F628)-N(Q628))</f>
        <v/>
      </c>
      <c r="V628" s="9">
        <f>IF(OR(B628="",P628=""),"",U628/S628)</f>
        <v/>
      </c>
      <c r="W628">
        <f>IF(OR(B628="",P628=""),"",NETWORKDAYS(C628,P628)-1)</f>
        <v/>
      </c>
      <c r="X628">
        <f>IF(B628="","",IF(P628="","Aberto","Fechado"))</f>
        <v/>
      </c>
    </row>
    <row r="629">
      <c r="C629" s="6" t="n"/>
      <c r="E629" s="7" t="n"/>
      <c r="F629" s="8" t="n"/>
      <c r="G629" s="8" t="n"/>
      <c r="H629" s="8" t="n"/>
      <c r="J629" s="7" t="n"/>
      <c r="K629" s="8" t="n"/>
      <c r="L629" s="7" t="n"/>
      <c r="M629" s="8" t="n"/>
      <c r="N629" s="7" t="n"/>
      <c r="O629" s="8" t="n"/>
      <c r="P629" s="6" t="n"/>
      <c r="Q629" s="8" t="n"/>
      <c r="S629" s="8">
        <f>IF(B629="","",E629*F629)</f>
        <v/>
      </c>
      <c r="T629" s="8">
        <f>IF(OR(B629="",N(G629)=0),"",ABS(F629-G629)*E629)</f>
        <v/>
      </c>
      <c r="U629" s="8">
        <f>IF(OR(B629="",P629=""),"",IF(D629="Venda",-1,1)*((N(J629)*N(K629)+N(L629)*N(M629)+N(N629)*N(O629))-(N(J629)+N(L629)+N(N629))*F629)-N(Q629))</f>
        <v/>
      </c>
      <c r="V629" s="9">
        <f>IF(OR(B629="",P629=""),"",U629/S629)</f>
        <v/>
      </c>
      <c r="W629">
        <f>IF(OR(B629="",P629=""),"",NETWORKDAYS(C629,P629)-1)</f>
        <v/>
      </c>
      <c r="X629">
        <f>IF(B629="","",IF(P629="","Aberto","Fechado"))</f>
        <v/>
      </c>
    </row>
    <row r="630">
      <c r="C630" s="6" t="n"/>
      <c r="E630" s="7" t="n"/>
      <c r="F630" s="8" t="n"/>
      <c r="G630" s="8" t="n"/>
      <c r="H630" s="8" t="n"/>
      <c r="J630" s="7" t="n"/>
      <c r="K630" s="8" t="n"/>
      <c r="L630" s="7" t="n"/>
      <c r="M630" s="8" t="n"/>
      <c r="N630" s="7" t="n"/>
      <c r="O630" s="8" t="n"/>
      <c r="P630" s="6" t="n"/>
      <c r="Q630" s="8" t="n"/>
      <c r="S630" s="8">
        <f>IF(B630="","",E630*F630)</f>
        <v/>
      </c>
      <c r="T630" s="8">
        <f>IF(OR(B630="",N(G630)=0),"",ABS(F630-G630)*E630)</f>
        <v/>
      </c>
      <c r="U630" s="8">
        <f>IF(OR(B630="",P630=""),"",IF(D630="Venda",-1,1)*((N(J630)*N(K630)+N(L630)*N(M630)+N(N630)*N(O630))-(N(J630)+N(L630)+N(N630))*F630)-N(Q630))</f>
        <v/>
      </c>
      <c r="V630" s="9">
        <f>IF(OR(B630="",P630=""),"",U630/S630)</f>
        <v/>
      </c>
      <c r="W630">
        <f>IF(OR(B630="",P630=""),"",NETWORKDAYS(C630,P630)-1)</f>
        <v/>
      </c>
      <c r="X630">
        <f>IF(B630="","",IF(P630="","Aberto","Fechado"))</f>
        <v/>
      </c>
    </row>
    <row r="631">
      <c r="C631" s="6" t="n"/>
      <c r="E631" s="7" t="n"/>
      <c r="F631" s="8" t="n"/>
      <c r="G631" s="8" t="n"/>
      <c r="H631" s="8" t="n"/>
      <c r="J631" s="7" t="n"/>
      <c r="K631" s="8" t="n"/>
      <c r="L631" s="7" t="n"/>
      <c r="M631" s="8" t="n"/>
      <c r="N631" s="7" t="n"/>
      <c r="O631" s="8" t="n"/>
      <c r="P631" s="6" t="n"/>
      <c r="Q631" s="8" t="n"/>
      <c r="S631" s="8">
        <f>IF(B631="","",E631*F631)</f>
        <v/>
      </c>
      <c r="T631" s="8">
        <f>IF(OR(B631="",N(G631)=0),"",ABS(F631-G631)*E631)</f>
        <v/>
      </c>
      <c r="U631" s="8">
        <f>IF(OR(B631="",P631=""),"",IF(D631="Venda",-1,1)*((N(J631)*N(K631)+N(L631)*N(M631)+N(N631)*N(O631))-(N(J631)+N(L631)+N(N631))*F631)-N(Q631))</f>
        <v/>
      </c>
      <c r="V631" s="9">
        <f>IF(OR(B631="",P631=""),"",U631/S631)</f>
        <v/>
      </c>
      <c r="W631">
        <f>IF(OR(B631="",P631=""),"",NETWORKDAYS(C631,P631)-1)</f>
        <v/>
      </c>
      <c r="X631">
        <f>IF(B631="","",IF(P631="","Aberto","Fechado"))</f>
        <v/>
      </c>
    </row>
    <row r="632">
      <c r="C632" s="6" t="n"/>
      <c r="E632" s="7" t="n"/>
      <c r="F632" s="8" t="n"/>
      <c r="G632" s="8" t="n"/>
      <c r="H632" s="8" t="n"/>
      <c r="J632" s="7" t="n"/>
      <c r="K632" s="8" t="n"/>
      <c r="L632" s="7" t="n"/>
      <c r="M632" s="8" t="n"/>
      <c r="N632" s="7" t="n"/>
      <c r="O632" s="8" t="n"/>
      <c r="P632" s="6" t="n"/>
      <c r="Q632" s="8" t="n"/>
      <c r="S632" s="8">
        <f>IF(B632="","",E632*F632)</f>
        <v/>
      </c>
      <c r="T632" s="8">
        <f>IF(OR(B632="",N(G632)=0),"",ABS(F632-G632)*E632)</f>
        <v/>
      </c>
      <c r="U632" s="8">
        <f>IF(OR(B632="",P632=""),"",IF(D632="Venda",-1,1)*((N(J632)*N(K632)+N(L632)*N(M632)+N(N632)*N(O632))-(N(J632)+N(L632)+N(N632))*F632)-N(Q632))</f>
        <v/>
      </c>
      <c r="V632" s="9">
        <f>IF(OR(B632="",P632=""),"",U632/S632)</f>
        <v/>
      </c>
      <c r="W632">
        <f>IF(OR(B632="",P632=""),"",NETWORKDAYS(C632,P632)-1)</f>
        <v/>
      </c>
      <c r="X632">
        <f>IF(B632="","",IF(P632="","Aberto","Fechado"))</f>
        <v/>
      </c>
    </row>
    <row r="633">
      <c r="C633" s="6" t="n"/>
      <c r="E633" s="7" t="n"/>
      <c r="F633" s="8" t="n"/>
      <c r="G633" s="8" t="n"/>
      <c r="H633" s="8" t="n"/>
      <c r="J633" s="7" t="n"/>
      <c r="K633" s="8" t="n"/>
      <c r="L633" s="7" t="n"/>
      <c r="M633" s="8" t="n"/>
      <c r="N633" s="7" t="n"/>
      <c r="O633" s="8" t="n"/>
      <c r="P633" s="6" t="n"/>
      <c r="Q633" s="8" t="n"/>
      <c r="S633" s="8">
        <f>IF(B633="","",E633*F633)</f>
        <v/>
      </c>
      <c r="T633" s="8">
        <f>IF(OR(B633="",N(G633)=0),"",ABS(F633-G633)*E633)</f>
        <v/>
      </c>
      <c r="U633" s="8">
        <f>IF(OR(B633="",P633=""),"",IF(D633="Venda",-1,1)*((N(J633)*N(K633)+N(L633)*N(M633)+N(N633)*N(O633))-(N(J633)+N(L633)+N(N633))*F633)-N(Q633))</f>
        <v/>
      </c>
      <c r="V633" s="9">
        <f>IF(OR(B633="",P633=""),"",U633/S633)</f>
        <v/>
      </c>
      <c r="W633">
        <f>IF(OR(B633="",P633=""),"",NETWORKDAYS(C633,P633)-1)</f>
        <v/>
      </c>
      <c r="X633">
        <f>IF(B633="","",IF(P633="","Aberto","Fechado"))</f>
        <v/>
      </c>
    </row>
    <row r="634">
      <c r="C634" s="6" t="n"/>
      <c r="E634" s="7" t="n"/>
      <c r="F634" s="8" t="n"/>
      <c r="G634" s="8" t="n"/>
      <c r="H634" s="8" t="n"/>
      <c r="J634" s="7" t="n"/>
      <c r="K634" s="8" t="n"/>
      <c r="L634" s="7" t="n"/>
      <c r="M634" s="8" t="n"/>
      <c r="N634" s="7" t="n"/>
      <c r="O634" s="8" t="n"/>
      <c r="P634" s="6" t="n"/>
      <c r="Q634" s="8" t="n"/>
      <c r="S634" s="8">
        <f>IF(B634="","",E634*F634)</f>
        <v/>
      </c>
      <c r="T634" s="8">
        <f>IF(OR(B634="",N(G634)=0),"",ABS(F634-G634)*E634)</f>
        <v/>
      </c>
      <c r="U634" s="8">
        <f>IF(OR(B634="",P634=""),"",IF(D634="Venda",-1,1)*((N(J634)*N(K634)+N(L634)*N(M634)+N(N634)*N(O634))-(N(J634)+N(L634)+N(N634))*F634)-N(Q634))</f>
        <v/>
      </c>
      <c r="V634" s="9">
        <f>IF(OR(B634="",P634=""),"",U634/S634)</f>
        <v/>
      </c>
      <c r="W634">
        <f>IF(OR(B634="",P634=""),"",NETWORKDAYS(C634,P634)-1)</f>
        <v/>
      </c>
      <c r="X634">
        <f>IF(B634="","",IF(P634="","Aberto","Fechado"))</f>
        <v/>
      </c>
    </row>
    <row r="635">
      <c r="C635" s="6" t="n"/>
      <c r="E635" s="7" t="n"/>
      <c r="F635" s="8" t="n"/>
      <c r="G635" s="8" t="n"/>
      <c r="H635" s="8" t="n"/>
      <c r="J635" s="7" t="n"/>
      <c r="K635" s="8" t="n"/>
      <c r="L635" s="7" t="n"/>
      <c r="M635" s="8" t="n"/>
      <c r="N635" s="7" t="n"/>
      <c r="O635" s="8" t="n"/>
      <c r="P635" s="6" t="n"/>
      <c r="Q635" s="8" t="n"/>
      <c r="S635" s="8">
        <f>IF(B635="","",E635*F635)</f>
        <v/>
      </c>
      <c r="T635" s="8">
        <f>IF(OR(B635="",N(G635)=0),"",ABS(F635-G635)*E635)</f>
        <v/>
      </c>
      <c r="U635" s="8">
        <f>IF(OR(B635="",P635=""),"",IF(D635="Venda",-1,1)*((N(J635)*N(K635)+N(L635)*N(M635)+N(N635)*N(O635))-(N(J635)+N(L635)+N(N635))*F635)-N(Q635))</f>
        <v/>
      </c>
      <c r="V635" s="9">
        <f>IF(OR(B635="",P635=""),"",U635/S635)</f>
        <v/>
      </c>
      <c r="W635">
        <f>IF(OR(B635="",P635=""),"",NETWORKDAYS(C635,P635)-1)</f>
        <v/>
      </c>
      <c r="X635">
        <f>IF(B635="","",IF(P635="","Aberto","Fechado"))</f>
        <v/>
      </c>
    </row>
    <row r="636">
      <c r="C636" s="6" t="n"/>
      <c r="E636" s="7" t="n"/>
      <c r="F636" s="8" t="n"/>
      <c r="G636" s="8" t="n"/>
      <c r="H636" s="8" t="n"/>
      <c r="J636" s="7" t="n"/>
      <c r="K636" s="8" t="n"/>
      <c r="L636" s="7" t="n"/>
      <c r="M636" s="8" t="n"/>
      <c r="N636" s="7" t="n"/>
      <c r="O636" s="8" t="n"/>
      <c r="P636" s="6" t="n"/>
      <c r="Q636" s="8" t="n"/>
      <c r="S636" s="8">
        <f>IF(B636="","",E636*F636)</f>
        <v/>
      </c>
      <c r="T636" s="8">
        <f>IF(OR(B636="",N(G636)=0),"",ABS(F636-G636)*E636)</f>
        <v/>
      </c>
      <c r="U636" s="8">
        <f>IF(OR(B636="",P636=""),"",IF(D636="Venda",-1,1)*((N(J636)*N(K636)+N(L636)*N(M636)+N(N636)*N(O636))-(N(J636)+N(L636)+N(N636))*F636)-N(Q636))</f>
        <v/>
      </c>
      <c r="V636" s="9">
        <f>IF(OR(B636="",P636=""),"",U636/S636)</f>
        <v/>
      </c>
      <c r="W636">
        <f>IF(OR(B636="",P636=""),"",NETWORKDAYS(C636,P636)-1)</f>
        <v/>
      </c>
      <c r="X636">
        <f>IF(B636="","",IF(P636="","Aberto","Fechado"))</f>
        <v/>
      </c>
    </row>
    <row r="637">
      <c r="C637" s="6" t="n"/>
      <c r="E637" s="7" t="n"/>
      <c r="F637" s="8" t="n"/>
      <c r="G637" s="8" t="n"/>
      <c r="H637" s="8" t="n"/>
      <c r="J637" s="7" t="n"/>
      <c r="K637" s="8" t="n"/>
      <c r="L637" s="7" t="n"/>
      <c r="M637" s="8" t="n"/>
      <c r="N637" s="7" t="n"/>
      <c r="O637" s="8" t="n"/>
      <c r="P637" s="6" t="n"/>
      <c r="Q637" s="8" t="n"/>
      <c r="S637" s="8">
        <f>IF(B637="","",E637*F637)</f>
        <v/>
      </c>
      <c r="T637" s="8">
        <f>IF(OR(B637="",N(G637)=0),"",ABS(F637-G637)*E637)</f>
        <v/>
      </c>
      <c r="U637" s="8">
        <f>IF(OR(B637="",P637=""),"",IF(D637="Venda",-1,1)*((N(J637)*N(K637)+N(L637)*N(M637)+N(N637)*N(O637))-(N(J637)+N(L637)+N(N637))*F637)-N(Q637))</f>
        <v/>
      </c>
      <c r="V637" s="9">
        <f>IF(OR(B637="",P637=""),"",U637/S637)</f>
        <v/>
      </c>
      <c r="W637">
        <f>IF(OR(B637="",P637=""),"",NETWORKDAYS(C637,P637)-1)</f>
        <v/>
      </c>
      <c r="X637">
        <f>IF(B637="","",IF(P637="","Aberto","Fechado"))</f>
        <v/>
      </c>
    </row>
    <row r="638">
      <c r="C638" s="6" t="n"/>
      <c r="E638" s="7" t="n"/>
      <c r="F638" s="8" t="n"/>
      <c r="G638" s="8" t="n"/>
      <c r="H638" s="8" t="n"/>
      <c r="J638" s="7" t="n"/>
      <c r="K638" s="8" t="n"/>
      <c r="L638" s="7" t="n"/>
      <c r="M638" s="8" t="n"/>
      <c r="N638" s="7" t="n"/>
      <c r="O638" s="8" t="n"/>
      <c r="P638" s="6" t="n"/>
      <c r="Q638" s="8" t="n"/>
      <c r="S638" s="8">
        <f>IF(B638="","",E638*F638)</f>
        <v/>
      </c>
      <c r="T638" s="8">
        <f>IF(OR(B638="",N(G638)=0),"",ABS(F638-G638)*E638)</f>
        <v/>
      </c>
      <c r="U638" s="8">
        <f>IF(OR(B638="",P638=""),"",IF(D638="Venda",-1,1)*((N(J638)*N(K638)+N(L638)*N(M638)+N(N638)*N(O638))-(N(J638)+N(L638)+N(N638))*F638)-N(Q638))</f>
        <v/>
      </c>
      <c r="V638" s="9">
        <f>IF(OR(B638="",P638=""),"",U638/S638)</f>
        <v/>
      </c>
      <c r="W638">
        <f>IF(OR(B638="",P638=""),"",NETWORKDAYS(C638,P638)-1)</f>
        <v/>
      </c>
      <c r="X638">
        <f>IF(B638="","",IF(P638="","Aberto","Fechado"))</f>
        <v/>
      </c>
    </row>
    <row r="639">
      <c r="C639" s="6" t="n"/>
      <c r="E639" s="7" t="n"/>
      <c r="F639" s="8" t="n"/>
      <c r="G639" s="8" t="n"/>
      <c r="H639" s="8" t="n"/>
      <c r="J639" s="7" t="n"/>
      <c r="K639" s="8" t="n"/>
      <c r="L639" s="7" t="n"/>
      <c r="M639" s="8" t="n"/>
      <c r="N639" s="7" t="n"/>
      <c r="O639" s="8" t="n"/>
      <c r="P639" s="6" t="n"/>
      <c r="Q639" s="8" t="n"/>
      <c r="S639" s="8">
        <f>IF(B639="","",E639*F639)</f>
        <v/>
      </c>
      <c r="T639" s="8">
        <f>IF(OR(B639="",N(G639)=0),"",ABS(F639-G639)*E639)</f>
        <v/>
      </c>
      <c r="U639" s="8">
        <f>IF(OR(B639="",P639=""),"",IF(D639="Venda",-1,1)*((N(J639)*N(K639)+N(L639)*N(M639)+N(N639)*N(O639))-(N(J639)+N(L639)+N(N639))*F639)-N(Q639))</f>
        <v/>
      </c>
      <c r="V639" s="9">
        <f>IF(OR(B639="",P639=""),"",U639/S639)</f>
        <v/>
      </c>
      <c r="W639">
        <f>IF(OR(B639="",P639=""),"",NETWORKDAYS(C639,P639)-1)</f>
        <v/>
      </c>
      <c r="X639">
        <f>IF(B639="","",IF(P639="","Aberto","Fechado"))</f>
        <v/>
      </c>
    </row>
    <row r="640">
      <c r="C640" s="6" t="n"/>
      <c r="E640" s="7" t="n"/>
      <c r="F640" s="8" t="n"/>
      <c r="G640" s="8" t="n"/>
      <c r="H640" s="8" t="n"/>
      <c r="J640" s="7" t="n"/>
      <c r="K640" s="8" t="n"/>
      <c r="L640" s="7" t="n"/>
      <c r="M640" s="8" t="n"/>
      <c r="N640" s="7" t="n"/>
      <c r="O640" s="8" t="n"/>
      <c r="P640" s="6" t="n"/>
      <c r="Q640" s="8" t="n"/>
      <c r="S640" s="8">
        <f>IF(B640="","",E640*F640)</f>
        <v/>
      </c>
      <c r="T640" s="8">
        <f>IF(OR(B640="",N(G640)=0),"",ABS(F640-G640)*E640)</f>
        <v/>
      </c>
      <c r="U640" s="8">
        <f>IF(OR(B640="",P640=""),"",IF(D640="Venda",-1,1)*((N(J640)*N(K640)+N(L640)*N(M640)+N(N640)*N(O640))-(N(J640)+N(L640)+N(N640))*F640)-N(Q640))</f>
        <v/>
      </c>
      <c r="V640" s="9">
        <f>IF(OR(B640="",P640=""),"",U640/S640)</f>
        <v/>
      </c>
      <c r="W640">
        <f>IF(OR(B640="",P640=""),"",NETWORKDAYS(C640,P640)-1)</f>
        <v/>
      </c>
      <c r="X640">
        <f>IF(B640="","",IF(P640="","Aberto","Fechado"))</f>
        <v/>
      </c>
    </row>
    <row r="641">
      <c r="C641" s="6" t="n"/>
      <c r="E641" s="7" t="n"/>
      <c r="F641" s="8" t="n"/>
      <c r="G641" s="8" t="n"/>
      <c r="H641" s="8" t="n"/>
      <c r="J641" s="7" t="n"/>
      <c r="K641" s="8" t="n"/>
      <c r="L641" s="7" t="n"/>
      <c r="M641" s="8" t="n"/>
      <c r="N641" s="7" t="n"/>
      <c r="O641" s="8" t="n"/>
      <c r="P641" s="6" t="n"/>
      <c r="Q641" s="8" t="n"/>
      <c r="S641" s="8">
        <f>IF(B641="","",E641*F641)</f>
        <v/>
      </c>
      <c r="T641" s="8">
        <f>IF(OR(B641="",N(G641)=0),"",ABS(F641-G641)*E641)</f>
        <v/>
      </c>
      <c r="U641" s="8">
        <f>IF(OR(B641="",P641=""),"",IF(D641="Venda",-1,1)*((N(J641)*N(K641)+N(L641)*N(M641)+N(N641)*N(O641))-(N(J641)+N(L641)+N(N641))*F641)-N(Q641))</f>
        <v/>
      </c>
      <c r="V641" s="9">
        <f>IF(OR(B641="",P641=""),"",U641/S641)</f>
        <v/>
      </c>
      <c r="W641">
        <f>IF(OR(B641="",P641=""),"",NETWORKDAYS(C641,P641)-1)</f>
        <v/>
      </c>
      <c r="X641">
        <f>IF(B641="","",IF(P641="","Aberto","Fechado"))</f>
        <v/>
      </c>
    </row>
    <row r="642">
      <c r="C642" s="6" t="n"/>
      <c r="E642" s="7" t="n"/>
      <c r="F642" s="8" t="n"/>
      <c r="G642" s="8" t="n"/>
      <c r="H642" s="8" t="n"/>
      <c r="J642" s="7" t="n"/>
      <c r="K642" s="8" t="n"/>
      <c r="L642" s="7" t="n"/>
      <c r="M642" s="8" t="n"/>
      <c r="N642" s="7" t="n"/>
      <c r="O642" s="8" t="n"/>
      <c r="P642" s="6" t="n"/>
      <c r="Q642" s="8" t="n"/>
      <c r="S642" s="8">
        <f>IF(B642="","",E642*F642)</f>
        <v/>
      </c>
      <c r="T642" s="8">
        <f>IF(OR(B642="",N(G642)=0),"",ABS(F642-G642)*E642)</f>
        <v/>
      </c>
      <c r="U642" s="8">
        <f>IF(OR(B642="",P642=""),"",IF(D642="Venda",-1,1)*((N(J642)*N(K642)+N(L642)*N(M642)+N(N642)*N(O642))-(N(J642)+N(L642)+N(N642))*F642)-N(Q642))</f>
        <v/>
      </c>
      <c r="V642" s="9">
        <f>IF(OR(B642="",P642=""),"",U642/S642)</f>
        <v/>
      </c>
      <c r="W642">
        <f>IF(OR(B642="",P642=""),"",NETWORKDAYS(C642,P642)-1)</f>
        <v/>
      </c>
      <c r="X642">
        <f>IF(B642="","",IF(P642="","Aberto","Fechado"))</f>
        <v/>
      </c>
    </row>
    <row r="643">
      <c r="C643" s="6" t="n"/>
      <c r="E643" s="7" t="n"/>
      <c r="F643" s="8" t="n"/>
      <c r="G643" s="8" t="n"/>
      <c r="H643" s="8" t="n"/>
      <c r="J643" s="7" t="n"/>
      <c r="K643" s="8" t="n"/>
      <c r="L643" s="7" t="n"/>
      <c r="M643" s="8" t="n"/>
      <c r="N643" s="7" t="n"/>
      <c r="O643" s="8" t="n"/>
      <c r="P643" s="6" t="n"/>
      <c r="Q643" s="8" t="n"/>
      <c r="S643" s="8">
        <f>IF(B643="","",E643*F643)</f>
        <v/>
      </c>
      <c r="T643" s="8">
        <f>IF(OR(B643="",N(G643)=0),"",ABS(F643-G643)*E643)</f>
        <v/>
      </c>
      <c r="U643" s="8">
        <f>IF(OR(B643="",P643=""),"",IF(D643="Venda",-1,1)*((N(J643)*N(K643)+N(L643)*N(M643)+N(N643)*N(O643))-(N(J643)+N(L643)+N(N643))*F643)-N(Q643))</f>
        <v/>
      </c>
      <c r="V643" s="9">
        <f>IF(OR(B643="",P643=""),"",U643/S643)</f>
        <v/>
      </c>
      <c r="W643">
        <f>IF(OR(B643="",P643=""),"",NETWORKDAYS(C643,P643)-1)</f>
        <v/>
      </c>
      <c r="X643">
        <f>IF(B643="","",IF(P643="","Aberto","Fechado"))</f>
        <v/>
      </c>
    </row>
    <row r="644">
      <c r="C644" s="6" t="n"/>
      <c r="E644" s="7" t="n"/>
      <c r="F644" s="8" t="n"/>
      <c r="G644" s="8" t="n"/>
      <c r="H644" s="8" t="n"/>
      <c r="J644" s="7" t="n"/>
      <c r="K644" s="8" t="n"/>
      <c r="L644" s="7" t="n"/>
      <c r="M644" s="8" t="n"/>
      <c r="N644" s="7" t="n"/>
      <c r="O644" s="8" t="n"/>
      <c r="P644" s="6" t="n"/>
      <c r="Q644" s="8" t="n"/>
      <c r="S644" s="8">
        <f>IF(B644="","",E644*F644)</f>
        <v/>
      </c>
      <c r="T644" s="8">
        <f>IF(OR(B644="",N(G644)=0),"",ABS(F644-G644)*E644)</f>
        <v/>
      </c>
      <c r="U644" s="8">
        <f>IF(OR(B644="",P644=""),"",IF(D644="Venda",-1,1)*((N(J644)*N(K644)+N(L644)*N(M644)+N(N644)*N(O644))-(N(J644)+N(L644)+N(N644))*F644)-N(Q644))</f>
        <v/>
      </c>
      <c r="V644" s="9">
        <f>IF(OR(B644="",P644=""),"",U644/S644)</f>
        <v/>
      </c>
      <c r="W644">
        <f>IF(OR(B644="",P644=""),"",NETWORKDAYS(C644,P644)-1)</f>
        <v/>
      </c>
      <c r="X644">
        <f>IF(B644="","",IF(P644="","Aberto","Fechado"))</f>
        <v/>
      </c>
    </row>
    <row r="645">
      <c r="C645" s="6" t="n"/>
      <c r="E645" s="7" t="n"/>
      <c r="F645" s="8" t="n"/>
      <c r="G645" s="8" t="n"/>
      <c r="H645" s="8" t="n"/>
      <c r="J645" s="7" t="n"/>
      <c r="K645" s="8" t="n"/>
      <c r="L645" s="7" t="n"/>
      <c r="M645" s="8" t="n"/>
      <c r="N645" s="7" t="n"/>
      <c r="O645" s="8" t="n"/>
      <c r="P645" s="6" t="n"/>
      <c r="Q645" s="8" t="n"/>
      <c r="S645" s="8">
        <f>IF(B645="","",E645*F645)</f>
        <v/>
      </c>
      <c r="T645" s="8">
        <f>IF(OR(B645="",N(G645)=0),"",ABS(F645-G645)*E645)</f>
        <v/>
      </c>
      <c r="U645" s="8">
        <f>IF(OR(B645="",P645=""),"",IF(D645="Venda",-1,1)*((N(J645)*N(K645)+N(L645)*N(M645)+N(N645)*N(O645))-(N(J645)+N(L645)+N(N645))*F645)-N(Q645))</f>
        <v/>
      </c>
      <c r="V645" s="9">
        <f>IF(OR(B645="",P645=""),"",U645/S645)</f>
        <v/>
      </c>
      <c r="W645">
        <f>IF(OR(B645="",P645=""),"",NETWORKDAYS(C645,P645)-1)</f>
        <v/>
      </c>
      <c r="X645">
        <f>IF(B645="","",IF(P645="","Aberto","Fechado"))</f>
        <v/>
      </c>
    </row>
    <row r="646">
      <c r="C646" s="6" t="n"/>
      <c r="E646" s="7" t="n"/>
      <c r="F646" s="8" t="n"/>
      <c r="G646" s="8" t="n"/>
      <c r="H646" s="8" t="n"/>
      <c r="J646" s="7" t="n"/>
      <c r="K646" s="8" t="n"/>
      <c r="L646" s="7" t="n"/>
      <c r="M646" s="8" t="n"/>
      <c r="N646" s="7" t="n"/>
      <c r="O646" s="8" t="n"/>
      <c r="P646" s="6" t="n"/>
      <c r="Q646" s="8" t="n"/>
      <c r="S646" s="8">
        <f>IF(B646="","",E646*F646)</f>
        <v/>
      </c>
      <c r="T646" s="8">
        <f>IF(OR(B646="",N(G646)=0),"",ABS(F646-G646)*E646)</f>
        <v/>
      </c>
      <c r="U646" s="8">
        <f>IF(OR(B646="",P646=""),"",IF(D646="Venda",-1,1)*((N(J646)*N(K646)+N(L646)*N(M646)+N(N646)*N(O646))-(N(J646)+N(L646)+N(N646))*F646)-N(Q646))</f>
        <v/>
      </c>
      <c r="V646" s="9">
        <f>IF(OR(B646="",P646=""),"",U646/S646)</f>
        <v/>
      </c>
      <c r="W646">
        <f>IF(OR(B646="",P646=""),"",NETWORKDAYS(C646,P646)-1)</f>
        <v/>
      </c>
      <c r="X646">
        <f>IF(B646="","",IF(P646="","Aberto","Fechado"))</f>
        <v/>
      </c>
    </row>
    <row r="647">
      <c r="C647" s="6" t="n"/>
      <c r="E647" s="7" t="n"/>
      <c r="F647" s="8" t="n"/>
      <c r="G647" s="8" t="n"/>
      <c r="H647" s="8" t="n"/>
      <c r="J647" s="7" t="n"/>
      <c r="K647" s="8" t="n"/>
      <c r="L647" s="7" t="n"/>
      <c r="M647" s="8" t="n"/>
      <c r="N647" s="7" t="n"/>
      <c r="O647" s="8" t="n"/>
      <c r="P647" s="6" t="n"/>
      <c r="Q647" s="8" t="n"/>
      <c r="S647" s="8">
        <f>IF(B647="","",E647*F647)</f>
        <v/>
      </c>
      <c r="T647" s="8">
        <f>IF(OR(B647="",N(G647)=0),"",ABS(F647-G647)*E647)</f>
        <v/>
      </c>
      <c r="U647" s="8">
        <f>IF(OR(B647="",P647=""),"",IF(D647="Venda",-1,1)*((N(J647)*N(K647)+N(L647)*N(M647)+N(N647)*N(O647))-(N(J647)+N(L647)+N(N647))*F647)-N(Q647))</f>
        <v/>
      </c>
      <c r="V647" s="9">
        <f>IF(OR(B647="",P647=""),"",U647/S647)</f>
        <v/>
      </c>
      <c r="W647">
        <f>IF(OR(B647="",P647=""),"",NETWORKDAYS(C647,P647)-1)</f>
        <v/>
      </c>
      <c r="X647">
        <f>IF(B647="","",IF(P647="","Aberto","Fechado"))</f>
        <v/>
      </c>
    </row>
    <row r="648">
      <c r="C648" s="6" t="n"/>
      <c r="E648" s="7" t="n"/>
      <c r="F648" s="8" t="n"/>
      <c r="G648" s="8" t="n"/>
      <c r="H648" s="8" t="n"/>
      <c r="J648" s="7" t="n"/>
      <c r="K648" s="8" t="n"/>
      <c r="L648" s="7" t="n"/>
      <c r="M648" s="8" t="n"/>
      <c r="N648" s="7" t="n"/>
      <c r="O648" s="8" t="n"/>
      <c r="P648" s="6" t="n"/>
      <c r="Q648" s="8" t="n"/>
      <c r="S648" s="8">
        <f>IF(B648="","",E648*F648)</f>
        <v/>
      </c>
      <c r="T648" s="8">
        <f>IF(OR(B648="",N(G648)=0),"",ABS(F648-G648)*E648)</f>
        <v/>
      </c>
      <c r="U648" s="8">
        <f>IF(OR(B648="",P648=""),"",IF(D648="Venda",-1,1)*((N(J648)*N(K648)+N(L648)*N(M648)+N(N648)*N(O648))-(N(J648)+N(L648)+N(N648))*F648)-N(Q648))</f>
        <v/>
      </c>
      <c r="V648" s="9">
        <f>IF(OR(B648="",P648=""),"",U648/S648)</f>
        <v/>
      </c>
      <c r="W648">
        <f>IF(OR(B648="",P648=""),"",NETWORKDAYS(C648,P648)-1)</f>
        <v/>
      </c>
      <c r="X648">
        <f>IF(B648="","",IF(P648="","Aberto","Fechado"))</f>
        <v/>
      </c>
    </row>
    <row r="649">
      <c r="C649" s="6" t="n"/>
      <c r="E649" s="7" t="n"/>
      <c r="F649" s="8" t="n"/>
      <c r="G649" s="8" t="n"/>
      <c r="H649" s="8" t="n"/>
      <c r="J649" s="7" t="n"/>
      <c r="K649" s="8" t="n"/>
      <c r="L649" s="7" t="n"/>
      <c r="M649" s="8" t="n"/>
      <c r="N649" s="7" t="n"/>
      <c r="O649" s="8" t="n"/>
      <c r="P649" s="6" t="n"/>
      <c r="Q649" s="8" t="n"/>
      <c r="S649" s="8">
        <f>IF(B649="","",E649*F649)</f>
        <v/>
      </c>
      <c r="T649" s="8">
        <f>IF(OR(B649="",N(G649)=0),"",ABS(F649-G649)*E649)</f>
        <v/>
      </c>
      <c r="U649" s="8">
        <f>IF(OR(B649="",P649=""),"",IF(D649="Venda",-1,1)*((N(J649)*N(K649)+N(L649)*N(M649)+N(N649)*N(O649))-(N(J649)+N(L649)+N(N649))*F649)-N(Q649))</f>
        <v/>
      </c>
      <c r="V649" s="9">
        <f>IF(OR(B649="",P649=""),"",U649/S649)</f>
        <v/>
      </c>
      <c r="W649">
        <f>IF(OR(B649="",P649=""),"",NETWORKDAYS(C649,P649)-1)</f>
        <v/>
      </c>
      <c r="X649">
        <f>IF(B649="","",IF(P649="","Aberto","Fechado"))</f>
        <v/>
      </c>
    </row>
    <row r="650">
      <c r="C650" s="6" t="n"/>
      <c r="E650" s="7" t="n"/>
      <c r="F650" s="8" t="n"/>
      <c r="G650" s="8" t="n"/>
      <c r="H650" s="8" t="n"/>
      <c r="J650" s="7" t="n"/>
      <c r="K650" s="8" t="n"/>
      <c r="L650" s="7" t="n"/>
      <c r="M650" s="8" t="n"/>
      <c r="N650" s="7" t="n"/>
      <c r="O650" s="8" t="n"/>
      <c r="P650" s="6" t="n"/>
      <c r="Q650" s="8" t="n"/>
      <c r="S650" s="8">
        <f>IF(B650="","",E650*F650)</f>
        <v/>
      </c>
      <c r="T650" s="8">
        <f>IF(OR(B650="",N(G650)=0),"",ABS(F650-G650)*E650)</f>
        <v/>
      </c>
      <c r="U650" s="8">
        <f>IF(OR(B650="",P650=""),"",IF(D650="Venda",-1,1)*((N(J650)*N(K650)+N(L650)*N(M650)+N(N650)*N(O650))-(N(J650)+N(L650)+N(N650))*F650)-N(Q650))</f>
        <v/>
      </c>
      <c r="V650" s="9">
        <f>IF(OR(B650="",P650=""),"",U650/S650)</f>
        <v/>
      </c>
      <c r="W650">
        <f>IF(OR(B650="",P650=""),"",NETWORKDAYS(C650,P650)-1)</f>
        <v/>
      </c>
      <c r="X650">
        <f>IF(B650="","",IF(P650="","Aberto","Fechado"))</f>
        <v/>
      </c>
    </row>
    <row r="651">
      <c r="C651" s="6" t="n"/>
      <c r="E651" s="7" t="n"/>
      <c r="F651" s="8" t="n"/>
      <c r="G651" s="8" t="n"/>
      <c r="H651" s="8" t="n"/>
      <c r="J651" s="7" t="n"/>
      <c r="K651" s="8" t="n"/>
      <c r="L651" s="7" t="n"/>
      <c r="M651" s="8" t="n"/>
      <c r="N651" s="7" t="n"/>
      <c r="O651" s="8" t="n"/>
      <c r="P651" s="6" t="n"/>
      <c r="Q651" s="8" t="n"/>
      <c r="S651" s="8">
        <f>IF(B651="","",E651*F651)</f>
        <v/>
      </c>
      <c r="T651" s="8">
        <f>IF(OR(B651="",N(G651)=0),"",ABS(F651-G651)*E651)</f>
        <v/>
      </c>
      <c r="U651" s="8">
        <f>IF(OR(B651="",P651=""),"",IF(D651="Venda",-1,1)*((N(J651)*N(K651)+N(L651)*N(M651)+N(N651)*N(O651))-(N(J651)+N(L651)+N(N651))*F651)-N(Q651))</f>
        <v/>
      </c>
      <c r="V651" s="9">
        <f>IF(OR(B651="",P651=""),"",U651/S651)</f>
        <v/>
      </c>
      <c r="W651">
        <f>IF(OR(B651="",P651=""),"",NETWORKDAYS(C651,P651)-1)</f>
        <v/>
      </c>
      <c r="X651">
        <f>IF(B651="","",IF(P651="","Aberto","Fechado"))</f>
        <v/>
      </c>
    </row>
    <row r="652">
      <c r="C652" s="6" t="n"/>
      <c r="E652" s="7" t="n"/>
      <c r="F652" s="8" t="n"/>
      <c r="G652" s="8" t="n"/>
      <c r="H652" s="8" t="n"/>
      <c r="J652" s="7" t="n"/>
      <c r="K652" s="8" t="n"/>
      <c r="L652" s="7" t="n"/>
      <c r="M652" s="8" t="n"/>
      <c r="N652" s="7" t="n"/>
      <c r="O652" s="8" t="n"/>
      <c r="P652" s="6" t="n"/>
      <c r="Q652" s="8" t="n"/>
      <c r="S652" s="8">
        <f>IF(B652="","",E652*F652)</f>
        <v/>
      </c>
      <c r="T652" s="8">
        <f>IF(OR(B652="",N(G652)=0),"",ABS(F652-G652)*E652)</f>
        <v/>
      </c>
      <c r="U652" s="8">
        <f>IF(OR(B652="",P652=""),"",IF(D652="Venda",-1,1)*((N(J652)*N(K652)+N(L652)*N(M652)+N(N652)*N(O652))-(N(J652)+N(L652)+N(N652))*F652)-N(Q652))</f>
        <v/>
      </c>
      <c r="V652" s="9">
        <f>IF(OR(B652="",P652=""),"",U652/S652)</f>
        <v/>
      </c>
      <c r="W652">
        <f>IF(OR(B652="",P652=""),"",NETWORKDAYS(C652,P652)-1)</f>
        <v/>
      </c>
      <c r="X652">
        <f>IF(B652="","",IF(P652="","Aberto","Fechado"))</f>
        <v/>
      </c>
    </row>
    <row r="653">
      <c r="C653" s="6" t="n"/>
      <c r="E653" s="7" t="n"/>
      <c r="F653" s="8" t="n"/>
      <c r="G653" s="8" t="n"/>
      <c r="H653" s="8" t="n"/>
      <c r="J653" s="7" t="n"/>
      <c r="K653" s="8" t="n"/>
      <c r="L653" s="7" t="n"/>
      <c r="M653" s="8" t="n"/>
      <c r="N653" s="7" t="n"/>
      <c r="O653" s="8" t="n"/>
      <c r="P653" s="6" t="n"/>
      <c r="Q653" s="8" t="n"/>
      <c r="S653" s="8">
        <f>IF(B653="","",E653*F653)</f>
        <v/>
      </c>
      <c r="T653" s="8">
        <f>IF(OR(B653="",N(G653)=0),"",ABS(F653-G653)*E653)</f>
        <v/>
      </c>
      <c r="U653" s="8">
        <f>IF(OR(B653="",P653=""),"",IF(D653="Venda",-1,1)*((N(J653)*N(K653)+N(L653)*N(M653)+N(N653)*N(O653))-(N(J653)+N(L653)+N(N653))*F653)-N(Q653))</f>
        <v/>
      </c>
      <c r="V653" s="9">
        <f>IF(OR(B653="",P653=""),"",U653/S653)</f>
        <v/>
      </c>
      <c r="W653">
        <f>IF(OR(B653="",P653=""),"",NETWORKDAYS(C653,P653)-1)</f>
        <v/>
      </c>
      <c r="X653">
        <f>IF(B653="","",IF(P653="","Aberto","Fechado"))</f>
        <v/>
      </c>
    </row>
    <row r="654">
      <c r="C654" s="6" t="n"/>
      <c r="E654" s="7" t="n"/>
      <c r="F654" s="8" t="n"/>
      <c r="G654" s="8" t="n"/>
      <c r="H654" s="8" t="n"/>
      <c r="J654" s="7" t="n"/>
      <c r="K654" s="8" t="n"/>
      <c r="L654" s="7" t="n"/>
      <c r="M654" s="8" t="n"/>
      <c r="N654" s="7" t="n"/>
      <c r="O654" s="8" t="n"/>
      <c r="P654" s="6" t="n"/>
      <c r="Q654" s="8" t="n"/>
      <c r="S654" s="8">
        <f>IF(B654="","",E654*F654)</f>
        <v/>
      </c>
      <c r="T654" s="8">
        <f>IF(OR(B654="",N(G654)=0),"",ABS(F654-G654)*E654)</f>
        <v/>
      </c>
      <c r="U654" s="8">
        <f>IF(OR(B654="",P654=""),"",IF(D654="Venda",-1,1)*((N(J654)*N(K654)+N(L654)*N(M654)+N(N654)*N(O654))-(N(J654)+N(L654)+N(N654))*F654)-N(Q654))</f>
        <v/>
      </c>
      <c r="V654" s="9">
        <f>IF(OR(B654="",P654=""),"",U654/S654)</f>
        <v/>
      </c>
      <c r="W654">
        <f>IF(OR(B654="",P654=""),"",NETWORKDAYS(C654,P654)-1)</f>
        <v/>
      </c>
      <c r="X654">
        <f>IF(B654="","",IF(P654="","Aberto","Fechado"))</f>
        <v/>
      </c>
    </row>
    <row r="655">
      <c r="C655" s="6" t="n"/>
      <c r="E655" s="7" t="n"/>
      <c r="F655" s="8" t="n"/>
      <c r="G655" s="8" t="n"/>
      <c r="H655" s="8" t="n"/>
      <c r="J655" s="7" t="n"/>
      <c r="K655" s="8" t="n"/>
      <c r="L655" s="7" t="n"/>
      <c r="M655" s="8" t="n"/>
      <c r="N655" s="7" t="n"/>
      <c r="O655" s="8" t="n"/>
      <c r="P655" s="6" t="n"/>
      <c r="Q655" s="8" t="n"/>
      <c r="S655" s="8">
        <f>IF(B655="","",E655*F655)</f>
        <v/>
      </c>
      <c r="T655" s="8">
        <f>IF(OR(B655="",N(G655)=0),"",ABS(F655-G655)*E655)</f>
        <v/>
      </c>
      <c r="U655" s="8">
        <f>IF(OR(B655="",P655=""),"",IF(D655="Venda",-1,1)*((N(J655)*N(K655)+N(L655)*N(M655)+N(N655)*N(O655))-(N(J655)+N(L655)+N(N655))*F655)-N(Q655))</f>
        <v/>
      </c>
      <c r="V655" s="9">
        <f>IF(OR(B655="",P655=""),"",U655/S655)</f>
        <v/>
      </c>
      <c r="W655">
        <f>IF(OR(B655="",P655=""),"",NETWORKDAYS(C655,P655)-1)</f>
        <v/>
      </c>
      <c r="X655">
        <f>IF(B655="","",IF(P655="","Aberto","Fechado"))</f>
        <v/>
      </c>
    </row>
    <row r="656">
      <c r="C656" s="6" t="n"/>
      <c r="E656" s="7" t="n"/>
      <c r="F656" s="8" t="n"/>
      <c r="G656" s="8" t="n"/>
      <c r="H656" s="8" t="n"/>
      <c r="J656" s="7" t="n"/>
      <c r="K656" s="8" t="n"/>
      <c r="L656" s="7" t="n"/>
      <c r="M656" s="8" t="n"/>
      <c r="N656" s="7" t="n"/>
      <c r="O656" s="8" t="n"/>
      <c r="P656" s="6" t="n"/>
      <c r="Q656" s="8" t="n"/>
      <c r="S656" s="8">
        <f>IF(B656="","",E656*F656)</f>
        <v/>
      </c>
      <c r="T656" s="8">
        <f>IF(OR(B656="",N(G656)=0),"",ABS(F656-G656)*E656)</f>
        <v/>
      </c>
      <c r="U656" s="8">
        <f>IF(OR(B656="",P656=""),"",IF(D656="Venda",-1,1)*((N(J656)*N(K656)+N(L656)*N(M656)+N(N656)*N(O656))-(N(J656)+N(L656)+N(N656))*F656)-N(Q656))</f>
        <v/>
      </c>
      <c r="V656" s="9">
        <f>IF(OR(B656="",P656=""),"",U656/S656)</f>
        <v/>
      </c>
      <c r="W656">
        <f>IF(OR(B656="",P656=""),"",NETWORKDAYS(C656,P656)-1)</f>
        <v/>
      </c>
      <c r="X656">
        <f>IF(B656="","",IF(P656="","Aberto","Fechado"))</f>
        <v/>
      </c>
    </row>
    <row r="657">
      <c r="C657" s="6" t="n"/>
      <c r="E657" s="7" t="n"/>
      <c r="F657" s="8" t="n"/>
      <c r="G657" s="8" t="n"/>
      <c r="H657" s="8" t="n"/>
      <c r="J657" s="7" t="n"/>
      <c r="K657" s="8" t="n"/>
      <c r="L657" s="7" t="n"/>
      <c r="M657" s="8" t="n"/>
      <c r="N657" s="7" t="n"/>
      <c r="O657" s="8" t="n"/>
      <c r="P657" s="6" t="n"/>
      <c r="Q657" s="8" t="n"/>
      <c r="S657" s="8">
        <f>IF(B657="","",E657*F657)</f>
        <v/>
      </c>
      <c r="T657" s="8">
        <f>IF(OR(B657="",N(G657)=0),"",ABS(F657-G657)*E657)</f>
        <v/>
      </c>
      <c r="U657" s="8">
        <f>IF(OR(B657="",P657=""),"",IF(D657="Venda",-1,1)*((N(J657)*N(K657)+N(L657)*N(M657)+N(N657)*N(O657))-(N(J657)+N(L657)+N(N657))*F657)-N(Q657))</f>
        <v/>
      </c>
      <c r="V657" s="9">
        <f>IF(OR(B657="",P657=""),"",U657/S657)</f>
        <v/>
      </c>
      <c r="W657">
        <f>IF(OR(B657="",P657=""),"",NETWORKDAYS(C657,P657)-1)</f>
        <v/>
      </c>
      <c r="X657">
        <f>IF(B657="","",IF(P657="","Aberto","Fechado"))</f>
        <v/>
      </c>
    </row>
    <row r="658">
      <c r="C658" s="6" t="n"/>
      <c r="E658" s="7" t="n"/>
      <c r="F658" s="8" t="n"/>
      <c r="G658" s="8" t="n"/>
      <c r="H658" s="8" t="n"/>
      <c r="J658" s="7" t="n"/>
      <c r="K658" s="8" t="n"/>
      <c r="L658" s="7" t="n"/>
      <c r="M658" s="8" t="n"/>
      <c r="N658" s="7" t="n"/>
      <c r="O658" s="8" t="n"/>
      <c r="P658" s="6" t="n"/>
      <c r="Q658" s="8" t="n"/>
      <c r="S658" s="8">
        <f>IF(B658="","",E658*F658)</f>
        <v/>
      </c>
      <c r="T658" s="8">
        <f>IF(OR(B658="",N(G658)=0),"",ABS(F658-G658)*E658)</f>
        <v/>
      </c>
      <c r="U658" s="8">
        <f>IF(OR(B658="",P658=""),"",IF(D658="Venda",-1,1)*((N(J658)*N(K658)+N(L658)*N(M658)+N(N658)*N(O658))-(N(J658)+N(L658)+N(N658))*F658)-N(Q658))</f>
        <v/>
      </c>
      <c r="V658" s="9">
        <f>IF(OR(B658="",P658=""),"",U658/S658)</f>
        <v/>
      </c>
      <c r="W658">
        <f>IF(OR(B658="",P658=""),"",NETWORKDAYS(C658,P658)-1)</f>
        <v/>
      </c>
      <c r="X658">
        <f>IF(B658="","",IF(P658="","Aberto","Fechado"))</f>
        <v/>
      </c>
    </row>
    <row r="659">
      <c r="C659" s="6" t="n"/>
      <c r="E659" s="7" t="n"/>
      <c r="F659" s="8" t="n"/>
      <c r="G659" s="8" t="n"/>
      <c r="H659" s="8" t="n"/>
      <c r="J659" s="7" t="n"/>
      <c r="K659" s="8" t="n"/>
      <c r="L659" s="7" t="n"/>
      <c r="M659" s="8" t="n"/>
      <c r="N659" s="7" t="n"/>
      <c r="O659" s="8" t="n"/>
      <c r="P659" s="6" t="n"/>
      <c r="Q659" s="8" t="n"/>
      <c r="S659" s="8">
        <f>IF(B659="","",E659*F659)</f>
        <v/>
      </c>
      <c r="T659" s="8">
        <f>IF(OR(B659="",N(G659)=0),"",ABS(F659-G659)*E659)</f>
        <v/>
      </c>
      <c r="U659" s="8">
        <f>IF(OR(B659="",P659=""),"",IF(D659="Venda",-1,1)*((N(J659)*N(K659)+N(L659)*N(M659)+N(N659)*N(O659))-(N(J659)+N(L659)+N(N659))*F659)-N(Q659))</f>
        <v/>
      </c>
      <c r="V659" s="9">
        <f>IF(OR(B659="",P659=""),"",U659/S659)</f>
        <v/>
      </c>
      <c r="W659">
        <f>IF(OR(B659="",P659=""),"",NETWORKDAYS(C659,P659)-1)</f>
        <v/>
      </c>
      <c r="X659">
        <f>IF(B659="","",IF(P659="","Aberto","Fechado"))</f>
        <v/>
      </c>
    </row>
    <row r="660">
      <c r="C660" s="6" t="n"/>
      <c r="E660" s="7" t="n"/>
      <c r="F660" s="8" t="n"/>
      <c r="G660" s="8" t="n"/>
      <c r="H660" s="8" t="n"/>
      <c r="J660" s="7" t="n"/>
      <c r="K660" s="8" t="n"/>
      <c r="L660" s="7" t="n"/>
      <c r="M660" s="8" t="n"/>
      <c r="N660" s="7" t="n"/>
      <c r="O660" s="8" t="n"/>
      <c r="P660" s="6" t="n"/>
      <c r="Q660" s="8" t="n"/>
      <c r="S660" s="8">
        <f>IF(B660="","",E660*F660)</f>
        <v/>
      </c>
      <c r="T660" s="8">
        <f>IF(OR(B660="",N(G660)=0),"",ABS(F660-G660)*E660)</f>
        <v/>
      </c>
      <c r="U660" s="8">
        <f>IF(OR(B660="",P660=""),"",IF(D660="Venda",-1,1)*((N(J660)*N(K660)+N(L660)*N(M660)+N(N660)*N(O660))-(N(J660)+N(L660)+N(N660))*F660)-N(Q660))</f>
        <v/>
      </c>
      <c r="V660" s="9">
        <f>IF(OR(B660="",P660=""),"",U660/S660)</f>
        <v/>
      </c>
      <c r="W660">
        <f>IF(OR(B660="",P660=""),"",NETWORKDAYS(C660,P660)-1)</f>
        <v/>
      </c>
      <c r="X660">
        <f>IF(B660="","",IF(P660="","Aberto","Fechado"))</f>
        <v/>
      </c>
    </row>
    <row r="661">
      <c r="C661" s="6" t="n"/>
      <c r="E661" s="7" t="n"/>
      <c r="F661" s="8" t="n"/>
      <c r="G661" s="8" t="n"/>
      <c r="H661" s="8" t="n"/>
      <c r="J661" s="7" t="n"/>
      <c r="K661" s="8" t="n"/>
      <c r="L661" s="7" t="n"/>
      <c r="M661" s="8" t="n"/>
      <c r="N661" s="7" t="n"/>
      <c r="O661" s="8" t="n"/>
      <c r="P661" s="6" t="n"/>
      <c r="Q661" s="8" t="n"/>
      <c r="S661" s="8">
        <f>IF(B661="","",E661*F661)</f>
        <v/>
      </c>
      <c r="T661" s="8">
        <f>IF(OR(B661="",N(G661)=0),"",ABS(F661-G661)*E661)</f>
        <v/>
      </c>
      <c r="U661" s="8">
        <f>IF(OR(B661="",P661=""),"",IF(D661="Venda",-1,1)*((N(J661)*N(K661)+N(L661)*N(M661)+N(N661)*N(O661))-(N(J661)+N(L661)+N(N661))*F661)-N(Q661))</f>
        <v/>
      </c>
      <c r="V661" s="9">
        <f>IF(OR(B661="",P661=""),"",U661/S661)</f>
        <v/>
      </c>
      <c r="W661">
        <f>IF(OR(B661="",P661=""),"",NETWORKDAYS(C661,P661)-1)</f>
        <v/>
      </c>
      <c r="X661">
        <f>IF(B661="","",IF(P661="","Aberto","Fechado"))</f>
        <v/>
      </c>
    </row>
    <row r="662">
      <c r="C662" s="6" t="n"/>
      <c r="E662" s="7" t="n"/>
      <c r="F662" s="8" t="n"/>
      <c r="G662" s="8" t="n"/>
      <c r="H662" s="8" t="n"/>
      <c r="J662" s="7" t="n"/>
      <c r="K662" s="8" t="n"/>
      <c r="L662" s="7" t="n"/>
      <c r="M662" s="8" t="n"/>
      <c r="N662" s="7" t="n"/>
      <c r="O662" s="8" t="n"/>
      <c r="P662" s="6" t="n"/>
      <c r="Q662" s="8" t="n"/>
      <c r="S662" s="8">
        <f>IF(B662="","",E662*F662)</f>
        <v/>
      </c>
      <c r="T662" s="8">
        <f>IF(OR(B662="",N(G662)=0),"",ABS(F662-G662)*E662)</f>
        <v/>
      </c>
      <c r="U662" s="8">
        <f>IF(OR(B662="",P662=""),"",IF(D662="Venda",-1,1)*((N(J662)*N(K662)+N(L662)*N(M662)+N(N662)*N(O662))-(N(J662)+N(L662)+N(N662))*F662)-N(Q662))</f>
        <v/>
      </c>
      <c r="V662" s="9">
        <f>IF(OR(B662="",P662=""),"",U662/S662)</f>
        <v/>
      </c>
      <c r="W662">
        <f>IF(OR(B662="",P662=""),"",NETWORKDAYS(C662,P662)-1)</f>
        <v/>
      </c>
      <c r="X662">
        <f>IF(B662="","",IF(P662="","Aberto","Fechado"))</f>
        <v/>
      </c>
    </row>
    <row r="663">
      <c r="C663" s="6" t="n"/>
      <c r="E663" s="7" t="n"/>
      <c r="F663" s="8" t="n"/>
      <c r="G663" s="8" t="n"/>
      <c r="H663" s="8" t="n"/>
      <c r="J663" s="7" t="n"/>
      <c r="K663" s="8" t="n"/>
      <c r="L663" s="7" t="n"/>
      <c r="M663" s="8" t="n"/>
      <c r="N663" s="7" t="n"/>
      <c r="O663" s="8" t="n"/>
      <c r="P663" s="6" t="n"/>
      <c r="Q663" s="8" t="n"/>
      <c r="S663" s="8">
        <f>IF(B663="","",E663*F663)</f>
        <v/>
      </c>
      <c r="T663" s="8">
        <f>IF(OR(B663="",N(G663)=0),"",ABS(F663-G663)*E663)</f>
        <v/>
      </c>
      <c r="U663" s="8">
        <f>IF(OR(B663="",P663=""),"",IF(D663="Venda",-1,1)*((N(J663)*N(K663)+N(L663)*N(M663)+N(N663)*N(O663))-(N(J663)+N(L663)+N(N663))*F663)-N(Q663))</f>
        <v/>
      </c>
      <c r="V663" s="9">
        <f>IF(OR(B663="",P663=""),"",U663/S663)</f>
        <v/>
      </c>
      <c r="W663">
        <f>IF(OR(B663="",P663=""),"",NETWORKDAYS(C663,P663)-1)</f>
        <v/>
      </c>
      <c r="X663">
        <f>IF(B663="","",IF(P663="","Aberto","Fechado"))</f>
        <v/>
      </c>
    </row>
    <row r="664">
      <c r="C664" s="6" t="n"/>
      <c r="E664" s="7" t="n"/>
      <c r="F664" s="8" t="n"/>
      <c r="G664" s="8" t="n"/>
      <c r="H664" s="8" t="n"/>
      <c r="J664" s="7" t="n"/>
      <c r="K664" s="8" t="n"/>
      <c r="L664" s="7" t="n"/>
      <c r="M664" s="8" t="n"/>
      <c r="N664" s="7" t="n"/>
      <c r="O664" s="8" t="n"/>
      <c r="P664" s="6" t="n"/>
      <c r="Q664" s="8" t="n"/>
      <c r="S664" s="8">
        <f>IF(B664="","",E664*F664)</f>
        <v/>
      </c>
      <c r="T664" s="8">
        <f>IF(OR(B664="",N(G664)=0),"",ABS(F664-G664)*E664)</f>
        <v/>
      </c>
      <c r="U664" s="8">
        <f>IF(OR(B664="",P664=""),"",IF(D664="Venda",-1,1)*((N(J664)*N(K664)+N(L664)*N(M664)+N(N664)*N(O664))-(N(J664)+N(L664)+N(N664))*F664)-N(Q664))</f>
        <v/>
      </c>
      <c r="V664" s="9">
        <f>IF(OR(B664="",P664=""),"",U664/S664)</f>
        <v/>
      </c>
      <c r="W664">
        <f>IF(OR(B664="",P664=""),"",NETWORKDAYS(C664,P664)-1)</f>
        <v/>
      </c>
      <c r="X664">
        <f>IF(B664="","",IF(P664="","Aberto","Fechado"))</f>
        <v/>
      </c>
    </row>
    <row r="665">
      <c r="C665" s="6" t="n"/>
      <c r="E665" s="7" t="n"/>
      <c r="F665" s="8" t="n"/>
      <c r="G665" s="8" t="n"/>
      <c r="H665" s="8" t="n"/>
      <c r="J665" s="7" t="n"/>
      <c r="K665" s="8" t="n"/>
      <c r="L665" s="7" t="n"/>
      <c r="M665" s="8" t="n"/>
      <c r="N665" s="7" t="n"/>
      <c r="O665" s="8" t="n"/>
      <c r="P665" s="6" t="n"/>
      <c r="Q665" s="8" t="n"/>
      <c r="S665" s="8">
        <f>IF(B665="","",E665*F665)</f>
        <v/>
      </c>
      <c r="T665" s="8">
        <f>IF(OR(B665="",N(G665)=0),"",ABS(F665-G665)*E665)</f>
        <v/>
      </c>
      <c r="U665" s="8">
        <f>IF(OR(B665="",P665=""),"",IF(D665="Venda",-1,1)*((N(J665)*N(K665)+N(L665)*N(M665)+N(N665)*N(O665))-(N(J665)+N(L665)+N(N665))*F665)-N(Q665))</f>
        <v/>
      </c>
      <c r="V665" s="9">
        <f>IF(OR(B665="",P665=""),"",U665/S665)</f>
        <v/>
      </c>
      <c r="W665">
        <f>IF(OR(B665="",P665=""),"",NETWORKDAYS(C665,P665)-1)</f>
        <v/>
      </c>
      <c r="X665">
        <f>IF(B665="","",IF(P665="","Aberto","Fechado"))</f>
        <v/>
      </c>
    </row>
    <row r="666">
      <c r="C666" s="6" t="n"/>
      <c r="E666" s="7" t="n"/>
      <c r="F666" s="8" t="n"/>
      <c r="G666" s="8" t="n"/>
      <c r="H666" s="8" t="n"/>
      <c r="J666" s="7" t="n"/>
      <c r="K666" s="8" t="n"/>
      <c r="L666" s="7" t="n"/>
      <c r="M666" s="8" t="n"/>
      <c r="N666" s="7" t="n"/>
      <c r="O666" s="8" t="n"/>
      <c r="P666" s="6" t="n"/>
      <c r="Q666" s="8" t="n"/>
      <c r="S666" s="8">
        <f>IF(B666="","",E666*F666)</f>
        <v/>
      </c>
      <c r="T666" s="8">
        <f>IF(OR(B666="",N(G666)=0),"",ABS(F666-G666)*E666)</f>
        <v/>
      </c>
      <c r="U666" s="8">
        <f>IF(OR(B666="",P666=""),"",IF(D666="Venda",-1,1)*((N(J666)*N(K666)+N(L666)*N(M666)+N(N666)*N(O666))-(N(J666)+N(L666)+N(N666))*F666)-N(Q666))</f>
        <v/>
      </c>
      <c r="V666" s="9">
        <f>IF(OR(B666="",P666=""),"",U666/S666)</f>
        <v/>
      </c>
      <c r="W666">
        <f>IF(OR(B666="",P666=""),"",NETWORKDAYS(C666,P666)-1)</f>
        <v/>
      </c>
      <c r="X666">
        <f>IF(B666="","",IF(P666="","Aberto","Fechado"))</f>
        <v/>
      </c>
    </row>
    <row r="667">
      <c r="C667" s="6" t="n"/>
      <c r="E667" s="7" t="n"/>
      <c r="F667" s="8" t="n"/>
      <c r="G667" s="8" t="n"/>
      <c r="H667" s="8" t="n"/>
      <c r="J667" s="7" t="n"/>
      <c r="K667" s="8" t="n"/>
      <c r="L667" s="7" t="n"/>
      <c r="M667" s="8" t="n"/>
      <c r="N667" s="7" t="n"/>
      <c r="O667" s="8" t="n"/>
      <c r="P667" s="6" t="n"/>
      <c r="Q667" s="8" t="n"/>
      <c r="S667" s="8">
        <f>IF(B667="","",E667*F667)</f>
        <v/>
      </c>
      <c r="T667" s="8">
        <f>IF(OR(B667="",N(G667)=0),"",ABS(F667-G667)*E667)</f>
        <v/>
      </c>
      <c r="U667" s="8">
        <f>IF(OR(B667="",P667=""),"",IF(D667="Venda",-1,1)*((N(J667)*N(K667)+N(L667)*N(M667)+N(N667)*N(O667))-(N(J667)+N(L667)+N(N667))*F667)-N(Q667))</f>
        <v/>
      </c>
      <c r="V667" s="9">
        <f>IF(OR(B667="",P667=""),"",U667/S667)</f>
        <v/>
      </c>
      <c r="W667">
        <f>IF(OR(B667="",P667=""),"",NETWORKDAYS(C667,P667)-1)</f>
        <v/>
      </c>
      <c r="X667">
        <f>IF(B667="","",IF(P667="","Aberto","Fechado"))</f>
        <v/>
      </c>
    </row>
    <row r="668">
      <c r="C668" s="6" t="n"/>
      <c r="E668" s="7" t="n"/>
      <c r="F668" s="8" t="n"/>
      <c r="G668" s="8" t="n"/>
      <c r="H668" s="8" t="n"/>
      <c r="J668" s="7" t="n"/>
      <c r="K668" s="8" t="n"/>
      <c r="L668" s="7" t="n"/>
      <c r="M668" s="8" t="n"/>
      <c r="N668" s="7" t="n"/>
      <c r="O668" s="8" t="n"/>
      <c r="P668" s="6" t="n"/>
      <c r="Q668" s="8" t="n"/>
      <c r="S668" s="8">
        <f>IF(B668="","",E668*F668)</f>
        <v/>
      </c>
      <c r="T668" s="8">
        <f>IF(OR(B668="",N(G668)=0),"",ABS(F668-G668)*E668)</f>
        <v/>
      </c>
      <c r="U668" s="8">
        <f>IF(OR(B668="",P668=""),"",IF(D668="Venda",-1,1)*((N(J668)*N(K668)+N(L668)*N(M668)+N(N668)*N(O668))-(N(J668)+N(L668)+N(N668))*F668)-N(Q668))</f>
        <v/>
      </c>
      <c r="V668" s="9">
        <f>IF(OR(B668="",P668=""),"",U668/S668)</f>
        <v/>
      </c>
      <c r="W668">
        <f>IF(OR(B668="",P668=""),"",NETWORKDAYS(C668,P668)-1)</f>
        <v/>
      </c>
      <c r="X668">
        <f>IF(B668="","",IF(P668="","Aberto","Fechado"))</f>
        <v/>
      </c>
    </row>
    <row r="669">
      <c r="C669" s="6" t="n"/>
      <c r="E669" s="7" t="n"/>
      <c r="F669" s="8" t="n"/>
      <c r="G669" s="8" t="n"/>
      <c r="H669" s="8" t="n"/>
      <c r="J669" s="7" t="n"/>
      <c r="K669" s="8" t="n"/>
      <c r="L669" s="7" t="n"/>
      <c r="M669" s="8" t="n"/>
      <c r="N669" s="7" t="n"/>
      <c r="O669" s="8" t="n"/>
      <c r="P669" s="6" t="n"/>
      <c r="Q669" s="8" t="n"/>
      <c r="S669" s="8">
        <f>IF(B669="","",E669*F669)</f>
        <v/>
      </c>
      <c r="T669" s="8">
        <f>IF(OR(B669="",N(G669)=0),"",ABS(F669-G669)*E669)</f>
        <v/>
      </c>
      <c r="U669" s="8">
        <f>IF(OR(B669="",P669=""),"",IF(D669="Venda",-1,1)*((N(J669)*N(K669)+N(L669)*N(M669)+N(N669)*N(O669))-(N(J669)+N(L669)+N(N669))*F669)-N(Q669))</f>
        <v/>
      </c>
      <c r="V669" s="9">
        <f>IF(OR(B669="",P669=""),"",U669/S669)</f>
        <v/>
      </c>
      <c r="W669">
        <f>IF(OR(B669="",P669=""),"",NETWORKDAYS(C669,P669)-1)</f>
        <v/>
      </c>
      <c r="X669">
        <f>IF(B669="","",IF(P669="","Aberto","Fechado"))</f>
        <v/>
      </c>
    </row>
    <row r="670">
      <c r="C670" s="6" t="n"/>
      <c r="E670" s="7" t="n"/>
      <c r="F670" s="8" t="n"/>
      <c r="G670" s="8" t="n"/>
      <c r="H670" s="8" t="n"/>
      <c r="J670" s="7" t="n"/>
      <c r="K670" s="8" t="n"/>
      <c r="L670" s="7" t="n"/>
      <c r="M670" s="8" t="n"/>
      <c r="N670" s="7" t="n"/>
      <c r="O670" s="8" t="n"/>
      <c r="P670" s="6" t="n"/>
      <c r="Q670" s="8" t="n"/>
      <c r="S670" s="8">
        <f>IF(B670="","",E670*F670)</f>
        <v/>
      </c>
      <c r="T670" s="8">
        <f>IF(OR(B670="",N(G670)=0),"",ABS(F670-G670)*E670)</f>
        <v/>
      </c>
      <c r="U670" s="8">
        <f>IF(OR(B670="",P670=""),"",IF(D670="Venda",-1,1)*((N(J670)*N(K670)+N(L670)*N(M670)+N(N670)*N(O670))-(N(J670)+N(L670)+N(N670))*F670)-N(Q670))</f>
        <v/>
      </c>
      <c r="V670" s="9">
        <f>IF(OR(B670="",P670=""),"",U670/S670)</f>
        <v/>
      </c>
      <c r="W670">
        <f>IF(OR(B670="",P670=""),"",NETWORKDAYS(C670,P670)-1)</f>
        <v/>
      </c>
      <c r="X670">
        <f>IF(B670="","",IF(P670="","Aberto","Fechado"))</f>
        <v/>
      </c>
    </row>
    <row r="671">
      <c r="C671" s="6" t="n"/>
      <c r="E671" s="7" t="n"/>
      <c r="F671" s="8" t="n"/>
      <c r="G671" s="8" t="n"/>
      <c r="H671" s="8" t="n"/>
      <c r="J671" s="7" t="n"/>
      <c r="K671" s="8" t="n"/>
      <c r="L671" s="7" t="n"/>
      <c r="M671" s="8" t="n"/>
      <c r="N671" s="7" t="n"/>
      <c r="O671" s="8" t="n"/>
      <c r="P671" s="6" t="n"/>
      <c r="Q671" s="8" t="n"/>
      <c r="S671" s="8">
        <f>IF(B671="","",E671*F671)</f>
        <v/>
      </c>
      <c r="T671" s="8">
        <f>IF(OR(B671="",N(G671)=0),"",ABS(F671-G671)*E671)</f>
        <v/>
      </c>
      <c r="U671" s="8">
        <f>IF(OR(B671="",P671=""),"",IF(D671="Venda",-1,1)*((N(J671)*N(K671)+N(L671)*N(M671)+N(N671)*N(O671))-(N(J671)+N(L671)+N(N671))*F671)-N(Q671))</f>
        <v/>
      </c>
      <c r="V671" s="9">
        <f>IF(OR(B671="",P671=""),"",U671/S671)</f>
        <v/>
      </c>
      <c r="W671">
        <f>IF(OR(B671="",P671=""),"",NETWORKDAYS(C671,P671)-1)</f>
        <v/>
      </c>
      <c r="X671">
        <f>IF(B671="","",IF(P671="","Aberto","Fechado"))</f>
        <v/>
      </c>
    </row>
    <row r="672">
      <c r="C672" s="6" t="n"/>
      <c r="E672" s="7" t="n"/>
      <c r="F672" s="8" t="n"/>
      <c r="G672" s="8" t="n"/>
      <c r="H672" s="8" t="n"/>
      <c r="J672" s="7" t="n"/>
      <c r="K672" s="8" t="n"/>
      <c r="L672" s="7" t="n"/>
      <c r="M672" s="8" t="n"/>
      <c r="N672" s="7" t="n"/>
      <c r="O672" s="8" t="n"/>
      <c r="P672" s="6" t="n"/>
      <c r="Q672" s="8" t="n"/>
      <c r="S672" s="8">
        <f>IF(B672="","",E672*F672)</f>
        <v/>
      </c>
      <c r="T672" s="8">
        <f>IF(OR(B672="",N(G672)=0),"",ABS(F672-G672)*E672)</f>
        <v/>
      </c>
      <c r="U672" s="8">
        <f>IF(OR(B672="",P672=""),"",IF(D672="Venda",-1,1)*((N(J672)*N(K672)+N(L672)*N(M672)+N(N672)*N(O672))-(N(J672)+N(L672)+N(N672))*F672)-N(Q672))</f>
        <v/>
      </c>
      <c r="V672" s="9">
        <f>IF(OR(B672="",P672=""),"",U672/S672)</f>
        <v/>
      </c>
      <c r="W672">
        <f>IF(OR(B672="",P672=""),"",NETWORKDAYS(C672,P672)-1)</f>
        <v/>
      </c>
      <c r="X672">
        <f>IF(B672="","",IF(P672="","Aberto","Fechado"))</f>
        <v/>
      </c>
    </row>
    <row r="673">
      <c r="C673" s="6" t="n"/>
      <c r="E673" s="7" t="n"/>
      <c r="F673" s="8" t="n"/>
      <c r="G673" s="8" t="n"/>
      <c r="H673" s="8" t="n"/>
      <c r="J673" s="7" t="n"/>
      <c r="K673" s="8" t="n"/>
      <c r="L673" s="7" t="n"/>
      <c r="M673" s="8" t="n"/>
      <c r="N673" s="7" t="n"/>
      <c r="O673" s="8" t="n"/>
      <c r="P673" s="6" t="n"/>
      <c r="Q673" s="8" t="n"/>
      <c r="S673" s="8">
        <f>IF(B673="","",E673*F673)</f>
        <v/>
      </c>
      <c r="T673" s="8">
        <f>IF(OR(B673="",N(G673)=0),"",ABS(F673-G673)*E673)</f>
        <v/>
      </c>
      <c r="U673" s="8">
        <f>IF(OR(B673="",P673=""),"",IF(D673="Venda",-1,1)*((N(J673)*N(K673)+N(L673)*N(M673)+N(N673)*N(O673))-(N(J673)+N(L673)+N(N673))*F673)-N(Q673))</f>
        <v/>
      </c>
      <c r="V673" s="9">
        <f>IF(OR(B673="",P673=""),"",U673/S673)</f>
        <v/>
      </c>
      <c r="W673">
        <f>IF(OR(B673="",P673=""),"",NETWORKDAYS(C673,P673)-1)</f>
        <v/>
      </c>
      <c r="X673">
        <f>IF(B673="","",IF(P673="","Aberto","Fechado"))</f>
        <v/>
      </c>
    </row>
    <row r="674">
      <c r="C674" s="6" t="n"/>
      <c r="E674" s="7" t="n"/>
      <c r="F674" s="8" t="n"/>
      <c r="G674" s="8" t="n"/>
      <c r="H674" s="8" t="n"/>
      <c r="J674" s="7" t="n"/>
      <c r="K674" s="8" t="n"/>
      <c r="L674" s="7" t="n"/>
      <c r="M674" s="8" t="n"/>
      <c r="N674" s="7" t="n"/>
      <c r="O674" s="8" t="n"/>
      <c r="P674" s="6" t="n"/>
      <c r="Q674" s="8" t="n"/>
      <c r="S674" s="8">
        <f>IF(B674="","",E674*F674)</f>
        <v/>
      </c>
      <c r="T674" s="8">
        <f>IF(OR(B674="",N(G674)=0),"",ABS(F674-G674)*E674)</f>
        <v/>
      </c>
      <c r="U674" s="8">
        <f>IF(OR(B674="",P674=""),"",IF(D674="Venda",-1,1)*((N(J674)*N(K674)+N(L674)*N(M674)+N(N674)*N(O674))-(N(J674)+N(L674)+N(N674))*F674)-N(Q674))</f>
        <v/>
      </c>
      <c r="V674" s="9">
        <f>IF(OR(B674="",P674=""),"",U674/S674)</f>
        <v/>
      </c>
      <c r="W674">
        <f>IF(OR(B674="",P674=""),"",NETWORKDAYS(C674,P674)-1)</f>
        <v/>
      </c>
      <c r="X674">
        <f>IF(B674="","",IF(P674="","Aberto","Fechado"))</f>
        <v/>
      </c>
    </row>
    <row r="675">
      <c r="C675" s="6" t="n"/>
      <c r="E675" s="7" t="n"/>
      <c r="F675" s="8" t="n"/>
      <c r="G675" s="8" t="n"/>
      <c r="H675" s="8" t="n"/>
      <c r="J675" s="7" t="n"/>
      <c r="K675" s="8" t="n"/>
      <c r="L675" s="7" t="n"/>
      <c r="M675" s="8" t="n"/>
      <c r="N675" s="7" t="n"/>
      <c r="O675" s="8" t="n"/>
      <c r="P675" s="6" t="n"/>
      <c r="Q675" s="8" t="n"/>
      <c r="S675" s="8">
        <f>IF(B675="","",E675*F675)</f>
        <v/>
      </c>
      <c r="T675" s="8">
        <f>IF(OR(B675="",N(G675)=0),"",ABS(F675-G675)*E675)</f>
        <v/>
      </c>
      <c r="U675" s="8">
        <f>IF(OR(B675="",P675=""),"",IF(D675="Venda",-1,1)*((N(J675)*N(K675)+N(L675)*N(M675)+N(N675)*N(O675))-(N(J675)+N(L675)+N(N675))*F675)-N(Q675))</f>
        <v/>
      </c>
      <c r="V675" s="9">
        <f>IF(OR(B675="",P675=""),"",U675/S675)</f>
        <v/>
      </c>
      <c r="W675">
        <f>IF(OR(B675="",P675=""),"",NETWORKDAYS(C675,P675)-1)</f>
        <v/>
      </c>
      <c r="X675">
        <f>IF(B675="","",IF(P675="","Aberto","Fechado"))</f>
        <v/>
      </c>
    </row>
    <row r="676">
      <c r="C676" s="6" t="n"/>
      <c r="E676" s="7" t="n"/>
      <c r="F676" s="8" t="n"/>
      <c r="G676" s="8" t="n"/>
      <c r="H676" s="8" t="n"/>
      <c r="J676" s="7" t="n"/>
      <c r="K676" s="8" t="n"/>
      <c r="L676" s="7" t="n"/>
      <c r="M676" s="8" t="n"/>
      <c r="N676" s="7" t="n"/>
      <c r="O676" s="8" t="n"/>
      <c r="P676" s="6" t="n"/>
      <c r="Q676" s="8" t="n"/>
      <c r="S676" s="8">
        <f>IF(B676="","",E676*F676)</f>
        <v/>
      </c>
      <c r="T676" s="8">
        <f>IF(OR(B676="",N(G676)=0),"",ABS(F676-G676)*E676)</f>
        <v/>
      </c>
      <c r="U676" s="8">
        <f>IF(OR(B676="",P676=""),"",IF(D676="Venda",-1,1)*((N(J676)*N(K676)+N(L676)*N(M676)+N(N676)*N(O676))-(N(J676)+N(L676)+N(N676))*F676)-N(Q676))</f>
        <v/>
      </c>
      <c r="V676" s="9">
        <f>IF(OR(B676="",P676=""),"",U676/S676)</f>
        <v/>
      </c>
      <c r="W676">
        <f>IF(OR(B676="",P676=""),"",NETWORKDAYS(C676,P676)-1)</f>
        <v/>
      </c>
      <c r="X676">
        <f>IF(B676="","",IF(P676="","Aberto","Fechado"))</f>
        <v/>
      </c>
    </row>
    <row r="677">
      <c r="C677" s="6" t="n"/>
      <c r="E677" s="7" t="n"/>
      <c r="F677" s="8" t="n"/>
      <c r="G677" s="8" t="n"/>
      <c r="H677" s="8" t="n"/>
      <c r="J677" s="7" t="n"/>
      <c r="K677" s="8" t="n"/>
      <c r="L677" s="7" t="n"/>
      <c r="M677" s="8" t="n"/>
      <c r="N677" s="7" t="n"/>
      <c r="O677" s="8" t="n"/>
      <c r="P677" s="6" t="n"/>
      <c r="Q677" s="8" t="n"/>
      <c r="S677" s="8">
        <f>IF(B677="","",E677*F677)</f>
        <v/>
      </c>
      <c r="T677" s="8">
        <f>IF(OR(B677="",N(G677)=0),"",ABS(F677-G677)*E677)</f>
        <v/>
      </c>
      <c r="U677" s="8">
        <f>IF(OR(B677="",P677=""),"",IF(D677="Venda",-1,1)*((N(J677)*N(K677)+N(L677)*N(M677)+N(N677)*N(O677))-(N(J677)+N(L677)+N(N677))*F677)-N(Q677))</f>
        <v/>
      </c>
      <c r="V677" s="9">
        <f>IF(OR(B677="",P677=""),"",U677/S677)</f>
        <v/>
      </c>
      <c r="W677">
        <f>IF(OR(B677="",P677=""),"",NETWORKDAYS(C677,P677)-1)</f>
        <v/>
      </c>
      <c r="X677">
        <f>IF(B677="","",IF(P677="","Aberto","Fechado"))</f>
        <v/>
      </c>
    </row>
    <row r="678">
      <c r="C678" s="6" t="n"/>
      <c r="E678" s="7" t="n"/>
      <c r="F678" s="8" t="n"/>
      <c r="G678" s="8" t="n"/>
      <c r="H678" s="8" t="n"/>
      <c r="J678" s="7" t="n"/>
      <c r="K678" s="8" t="n"/>
      <c r="L678" s="7" t="n"/>
      <c r="M678" s="8" t="n"/>
      <c r="N678" s="7" t="n"/>
      <c r="O678" s="8" t="n"/>
      <c r="P678" s="6" t="n"/>
      <c r="Q678" s="8" t="n"/>
      <c r="S678" s="8">
        <f>IF(B678="","",E678*F678)</f>
        <v/>
      </c>
      <c r="T678" s="8">
        <f>IF(OR(B678="",N(G678)=0),"",ABS(F678-G678)*E678)</f>
        <v/>
      </c>
      <c r="U678" s="8">
        <f>IF(OR(B678="",P678=""),"",IF(D678="Venda",-1,1)*((N(J678)*N(K678)+N(L678)*N(M678)+N(N678)*N(O678))-(N(J678)+N(L678)+N(N678))*F678)-N(Q678))</f>
        <v/>
      </c>
      <c r="V678" s="9">
        <f>IF(OR(B678="",P678=""),"",U678/S678)</f>
        <v/>
      </c>
      <c r="W678">
        <f>IF(OR(B678="",P678=""),"",NETWORKDAYS(C678,P678)-1)</f>
        <v/>
      </c>
      <c r="X678">
        <f>IF(B678="","",IF(P678="","Aberto","Fechado"))</f>
        <v/>
      </c>
    </row>
    <row r="679">
      <c r="C679" s="6" t="n"/>
      <c r="E679" s="7" t="n"/>
      <c r="F679" s="8" t="n"/>
      <c r="G679" s="8" t="n"/>
      <c r="H679" s="8" t="n"/>
      <c r="J679" s="7" t="n"/>
      <c r="K679" s="8" t="n"/>
      <c r="L679" s="7" t="n"/>
      <c r="M679" s="8" t="n"/>
      <c r="N679" s="7" t="n"/>
      <c r="O679" s="8" t="n"/>
      <c r="P679" s="6" t="n"/>
      <c r="Q679" s="8" t="n"/>
      <c r="S679" s="8">
        <f>IF(B679="","",E679*F679)</f>
        <v/>
      </c>
      <c r="T679" s="8">
        <f>IF(OR(B679="",N(G679)=0),"",ABS(F679-G679)*E679)</f>
        <v/>
      </c>
      <c r="U679" s="8">
        <f>IF(OR(B679="",P679=""),"",IF(D679="Venda",-1,1)*((N(J679)*N(K679)+N(L679)*N(M679)+N(N679)*N(O679))-(N(J679)+N(L679)+N(N679))*F679)-N(Q679))</f>
        <v/>
      </c>
      <c r="V679" s="9">
        <f>IF(OR(B679="",P679=""),"",U679/S679)</f>
        <v/>
      </c>
      <c r="W679">
        <f>IF(OR(B679="",P679=""),"",NETWORKDAYS(C679,P679)-1)</f>
        <v/>
      </c>
      <c r="X679">
        <f>IF(B679="","",IF(P679="","Aberto","Fechado"))</f>
        <v/>
      </c>
    </row>
    <row r="680">
      <c r="C680" s="6" t="n"/>
      <c r="E680" s="7" t="n"/>
      <c r="F680" s="8" t="n"/>
      <c r="G680" s="8" t="n"/>
      <c r="H680" s="8" t="n"/>
      <c r="J680" s="7" t="n"/>
      <c r="K680" s="8" t="n"/>
      <c r="L680" s="7" t="n"/>
      <c r="M680" s="8" t="n"/>
      <c r="N680" s="7" t="n"/>
      <c r="O680" s="8" t="n"/>
      <c r="P680" s="6" t="n"/>
      <c r="Q680" s="8" t="n"/>
      <c r="S680" s="8">
        <f>IF(B680="","",E680*F680)</f>
        <v/>
      </c>
      <c r="T680" s="8">
        <f>IF(OR(B680="",N(G680)=0),"",ABS(F680-G680)*E680)</f>
        <v/>
      </c>
      <c r="U680" s="8">
        <f>IF(OR(B680="",P680=""),"",IF(D680="Venda",-1,1)*((N(J680)*N(K680)+N(L680)*N(M680)+N(N680)*N(O680))-(N(J680)+N(L680)+N(N680))*F680)-N(Q680))</f>
        <v/>
      </c>
      <c r="V680" s="9">
        <f>IF(OR(B680="",P680=""),"",U680/S680)</f>
        <v/>
      </c>
      <c r="W680">
        <f>IF(OR(B680="",P680=""),"",NETWORKDAYS(C680,P680)-1)</f>
        <v/>
      </c>
      <c r="X680">
        <f>IF(B680="","",IF(P680="","Aberto","Fechado"))</f>
        <v/>
      </c>
    </row>
    <row r="681">
      <c r="C681" s="6" t="n"/>
      <c r="E681" s="7" t="n"/>
      <c r="F681" s="8" t="n"/>
      <c r="G681" s="8" t="n"/>
      <c r="H681" s="8" t="n"/>
      <c r="J681" s="7" t="n"/>
      <c r="K681" s="8" t="n"/>
      <c r="L681" s="7" t="n"/>
      <c r="M681" s="8" t="n"/>
      <c r="N681" s="7" t="n"/>
      <c r="O681" s="8" t="n"/>
      <c r="P681" s="6" t="n"/>
      <c r="Q681" s="8" t="n"/>
      <c r="S681" s="8">
        <f>IF(B681="","",E681*F681)</f>
        <v/>
      </c>
      <c r="T681" s="8">
        <f>IF(OR(B681="",N(G681)=0),"",ABS(F681-G681)*E681)</f>
        <v/>
      </c>
      <c r="U681" s="8">
        <f>IF(OR(B681="",P681=""),"",IF(D681="Venda",-1,1)*((N(J681)*N(K681)+N(L681)*N(M681)+N(N681)*N(O681))-(N(J681)+N(L681)+N(N681))*F681)-N(Q681))</f>
        <v/>
      </c>
      <c r="V681" s="9">
        <f>IF(OR(B681="",P681=""),"",U681/S681)</f>
        <v/>
      </c>
      <c r="W681">
        <f>IF(OR(B681="",P681=""),"",NETWORKDAYS(C681,P681)-1)</f>
        <v/>
      </c>
      <c r="X681">
        <f>IF(B681="","",IF(P681="","Aberto","Fechado"))</f>
        <v/>
      </c>
    </row>
    <row r="682">
      <c r="C682" s="6" t="n"/>
      <c r="E682" s="7" t="n"/>
      <c r="F682" s="8" t="n"/>
      <c r="G682" s="8" t="n"/>
      <c r="H682" s="8" t="n"/>
      <c r="J682" s="7" t="n"/>
      <c r="K682" s="8" t="n"/>
      <c r="L682" s="7" t="n"/>
      <c r="M682" s="8" t="n"/>
      <c r="N682" s="7" t="n"/>
      <c r="O682" s="8" t="n"/>
      <c r="P682" s="6" t="n"/>
      <c r="Q682" s="8" t="n"/>
      <c r="S682" s="8">
        <f>IF(B682="","",E682*F682)</f>
        <v/>
      </c>
      <c r="T682" s="8">
        <f>IF(OR(B682="",N(G682)=0),"",ABS(F682-G682)*E682)</f>
        <v/>
      </c>
      <c r="U682" s="8">
        <f>IF(OR(B682="",P682=""),"",IF(D682="Venda",-1,1)*((N(J682)*N(K682)+N(L682)*N(M682)+N(N682)*N(O682))-(N(J682)+N(L682)+N(N682))*F682)-N(Q682))</f>
        <v/>
      </c>
      <c r="V682" s="9">
        <f>IF(OR(B682="",P682=""),"",U682/S682)</f>
        <v/>
      </c>
      <c r="W682">
        <f>IF(OR(B682="",P682=""),"",NETWORKDAYS(C682,P682)-1)</f>
        <v/>
      </c>
      <c r="X682">
        <f>IF(B682="","",IF(P682="","Aberto","Fechado"))</f>
        <v/>
      </c>
    </row>
    <row r="683">
      <c r="C683" s="6" t="n"/>
      <c r="E683" s="7" t="n"/>
      <c r="F683" s="8" t="n"/>
      <c r="G683" s="8" t="n"/>
      <c r="H683" s="8" t="n"/>
      <c r="J683" s="7" t="n"/>
      <c r="K683" s="8" t="n"/>
      <c r="L683" s="7" t="n"/>
      <c r="M683" s="8" t="n"/>
      <c r="N683" s="7" t="n"/>
      <c r="O683" s="8" t="n"/>
      <c r="P683" s="6" t="n"/>
      <c r="Q683" s="8" t="n"/>
      <c r="S683" s="8">
        <f>IF(B683="","",E683*F683)</f>
        <v/>
      </c>
      <c r="T683" s="8">
        <f>IF(OR(B683="",N(G683)=0),"",ABS(F683-G683)*E683)</f>
        <v/>
      </c>
      <c r="U683" s="8">
        <f>IF(OR(B683="",P683=""),"",IF(D683="Venda",-1,1)*((N(J683)*N(K683)+N(L683)*N(M683)+N(N683)*N(O683))-(N(J683)+N(L683)+N(N683))*F683)-N(Q683))</f>
        <v/>
      </c>
      <c r="V683" s="9">
        <f>IF(OR(B683="",P683=""),"",U683/S683)</f>
        <v/>
      </c>
      <c r="W683">
        <f>IF(OR(B683="",P683=""),"",NETWORKDAYS(C683,P683)-1)</f>
        <v/>
      </c>
      <c r="X683">
        <f>IF(B683="","",IF(P683="","Aberto","Fechado"))</f>
        <v/>
      </c>
    </row>
    <row r="684">
      <c r="C684" s="6" t="n"/>
      <c r="E684" s="7" t="n"/>
      <c r="F684" s="8" t="n"/>
      <c r="G684" s="8" t="n"/>
      <c r="H684" s="8" t="n"/>
      <c r="J684" s="7" t="n"/>
      <c r="K684" s="8" t="n"/>
      <c r="L684" s="7" t="n"/>
      <c r="M684" s="8" t="n"/>
      <c r="N684" s="7" t="n"/>
      <c r="O684" s="8" t="n"/>
      <c r="P684" s="6" t="n"/>
      <c r="Q684" s="8" t="n"/>
      <c r="S684" s="8">
        <f>IF(B684="","",E684*F684)</f>
        <v/>
      </c>
      <c r="T684" s="8">
        <f>IF(OR(B684="",N(G684)=0),"",ABS(F684-G684)*E684)</f>
        <v/>
      </c>
      <c r="U684" s="8">
        <f>IF(OR(B684="",P684=""),"",IF(D684="Venda",-1,1)*((N(J684)*N(K684)+N(L684)*N(M684)+N(N684)*N(O684))-(N(J684)+N(L684)+N(N684))*F684)-N(Q684))</f>
        <v/>
      </c>
      <c r="V684" s="9">
        <f>IF(OR(B684="",P684=""),"",U684/S684)</f>
        <v/>
      </c>
      <c r="W684">
        <f>IF(OR(B684="",P684=""),"",NETWORKDAYS(C684,P684)-1)</f>
        <v/>
      </c>
      <c r="X684">
        <f>IF(B684="","",IF(P684="","Aberto","Fechado"))</f>
        <v/>
      </c>
    </row>
    <row r="685">
      <c r="C685" s="6" t="n"/>
      <c r="E685" s="7" t="n"/>
      <c r="F685" s="8" t="n"/>
      <c r="G685" s="8" t="n"/>
      <c r="H685" s="8" t="n"/>
      <c r="J685" s="7" t="n"/>
      <c r="K685" s="8" t="n"/>
      <c r="L685" s="7" t="n"/>
      <c r="M685" s="8" t="n"/>
      <c r="N685" s="7" t="n"/>
      <c r="O685" s="8" t="n"/>
      <c r="P685" s="6" t="n"/>
      <c r="Q685" s="8" t="n"/>
      <c r="S685" s="8">
        <f>IF(B685="","",E685*F685)</f>
        <v/>
      </c>
      <c r="T685" s="8">
        <f>IF(OR(B685="",N(G685)=0),"",ABS(F685-G685)*E685)</f>
        <v/>
      </c>
      <c r="U685" s="8">
        <f>IF(OR(B685="",P685=""),"",IF(D685="Venda",-1,1)*((N(J685)*N(K685)+N(L685)*N(M685)+N(N685)*N(O685))-(N(J685)+N(L685)+N(N685))*F685)-N(Q685))</f>
        <v/>
      </c>
      <c r="V685" s="9">
        <f>IF(OR(B685="",P685=""),"",U685/S685)</f>
        <v/>
      </c>
      <c r="W685">
        <f>IF(OR(B685="",P685=""),"",NETWORKDAYS(C685,P685)-1)</f>
        <v/>
      </c>
      <c r="X685">
        <f>IF(B685="","",IF(P685="","Aberto","Fechado"))</f>
        <v/>
      </c>
    </row>
    <row r="686">
      <c r="C686" s="6" t="n"/>
      <c r="E686" s="7" t="n"/>
      <c r="F686" s="8" t="n"/>
      <c r="G686" s="8" t="n"/>
      <c r="H686" s="8" t="n"/>
      <c r="J686" s="7" t="n"/>
      <c r="K686" s="8" t="n"/>
      <c r="L686" s="7" t="n"/>
      <c r="M686" s="8" t="n"/>
      <c r="N686" s="7" t="n"/>
      <c r="O686" s="8" t="n"/>
      <c r="P686" s="6" t="n"/>
      <c r="Q686" s="8" t="n"/>
      <c r="S686" s="8">
        <f>IF(B686="","",E686*F686)</f>
        <v/>
      </c>
      <c r="T686" s="8">
        <f>IF(OR(B686="",N(G686)=0),"",ABS(F686-G686)*E686)</f>
        <v/>
      </c>
      <c r="U686" s="8">
        <f>IF(OR(B686="",P686=""),"",IF(D686="Venda",-1,1)*((N(J686)*N(K686)+N(L686)*N(M686)+N(N686)*N(O686))-(N(J686)+N(L686)+N(N686))*F686)-N(Q686))</f>
        <v/>
      </c>
      <c r="V686" s="9">
        <f>IF(OR(B686="",P686=""),"",U686/S686)</f>
        <v/>
      </c>
      <c r="W686">
        <f>IF(OR(B686="",P686=""),"",NETWORKDAYS(C686,P686)-1)</f>
        <v/>
      </c>
      <c r="X686">
        <f>IF(B686="","",IF(P686="","Aberto","Fechado"))</f>
        <v/>
      </c>
    </row>
    <row r="687">
      <c r="C687" s="6" t="n"/>
      <c r="E687" s="7" t="n"/>
      <c r="F687" s="8" t="n"/>
      <c r="G687" s="8" t="n"/>
      <c r="H687" s="8" t="n"/>
      <c r="J687" s="7" t="n"/>
      <c r="K687" s="8" t="n"/>
      <c r="L687" s="7" t="n"/>
      <c r="M687" s="8" t="n"/>
      <c r="N687" s="7" t="n"/>
      <c r="O687" s="8" t="n"/>
      <c r="P687" s="6" t="n"/>
      <c r="Q687" s="8" t="n"/>
      <c r="S687" s="8">
        <f>IF(B687="","",E687*F687)</f>
        <v/>
      </c>
      <c r="T687" s="8">
        <f>IF(OR(B687="",N(G687)=0),"",ABS(F687-G687)*E687)</f>
        <v/>
      </c>
      <c r="U687" s="8">
        <f>IF(OR(B687="",P687=""),"",IF(D687="Venda",-1,1)*((N(J687)*N(K687)+N(L687)*N(M687)+N(N687)*N(O687))-(N(J687)+N(L687)+N(N687))*F687)-N(Q687))</f>
        <v/>
      </c>
      <c r="V687" s="9">
        <f>IF(OR(B687="",P687=""),"",U687/S687)</f>
        <v/>
      </c>
      <c r="W687">
        <f>IF(OR(B687="",P687=""),"",NETWORKDAYS(C687,P687)-1)</f>
        <v/>
      </c>
      <c r="X687">
        <f>IF(B687="","",IF(P687="","Aberto","Fechado"))</f>
        <v/>
      </c>
    </row>
    <row r="688">
      <c r="C688" s="6" t="n"/>
      <c r="E688" s="7" t="n"/>
      <c r="F688" s="8" t="n"/>
      <c r="G688" s="8" t="n"/>
      <c r="H688" s="8" t="n"/>
      <c r="J688" s="7" t="n"/>
      <c r="K688" s="8" t="n"/>
      <c r="L688" s="7" t="n"/>
      <c r="M688" s="8" t="n"/>
      <c r="N688" s="7" t="n"/>
      <c r="O688" s="8" t="n"/>
      <c r="P688" s="6" t="n"/>
      <c r="Q688" s="8" t="n"/>
      <c r="S688" s="8">
        <f>IF(B688="","",E688*F688)</f>
        <v/>
      </c>
      <c r="T688" s="8">
        <f>IF(OR(B688="",N(G688)=0),"",ABS(F688-G688)*E688)</f>
        <v/>
      </c>
      <c r="U688" s="8">
        <f>IF(OR(B688="",P688=""),"",IF(D688="Venda",-1,1)*((N(J688)*N(K688)+N(L688)*N(M688)+N(N688)*N(O688))-(N(J688)+N(L688)+N(N688))*F688)-N(Q688))</f>
        <v/>
      </c>
      <c r="V688" s="9">
        <f>IF(OR(B688="",P688=""),"",U688/S688)</f>
        <v/>
      </c>
      <c r="W688">
        <f>IF(OR(B688="",P688=""),"",NETWORKDAYS(C688,P688)-1)</f>
        <v/>
      </c>
      <c r="X688">
        <f>IF(B688="","",IF(P688="","Aberto","Fechado"))</f>
        <v/>
      </c>
    </row>
    <row r="689">
      <c r="C689" s="6" t="n"/>
      <c r="E689" s="7" t="n"/>
      <c r="F689" s="8" t="n"/>
      <c r="G689" s="8" t="n"/>
      <c r="H689" s="8" t="n"/>
      <c r="J689" s="7" t="n"/>
      <c r="K689" s="8" t="n"/>
      <c r="L689" s="7" t="n"/>
      <c r="M689" s="8" t="n"/>
      <c r="N689" s="7" t="n"/>
      <c r="O689" s="8" t="n"/>
      <c r="P689" s="6" t="n"/>
      <c r="Q689" s="8" t="n"/>
      <c r="S689" s="8">
        <f>IF(B689="","",E689*F689)</f>
        <v/>
      </c>
      <c r="T689" s="8">
        <f>IF(OR(B689="",N(G689)=0),"",ABS(F689-G689)*E689)</f>
        <v/>
      </c>
      <c r="U689" s="8">
        <f>IF(OR(B689="",P689=""),"",IF(D689="Venda",-1,1)*((N(J689)*N(K689)+N(L689)*N(M689)+N(N689)*N(O689))-(N(J689)+N(L689)+N(N689))*F689)-N(Q689))</f>
        <v/>
      </c>
      <c r="V689" s="9">
        <f>IF(OR(B689="",P689=""),"",U689/S689)</f>
        <v/>
      </c>
      <c r="W689">
        <f>IF(OR(B689="",P689=""),"",NETWORKDAYS(C689,P689)-1)</f>
        <v/>
      </c>
      <c r="X689">
        <f>IF(B689="","",IF(P689="","Aberto","Fechado"))</f>
        <v/>
      </c>
    </row>
    <row r="690">
      <c r="C690" s="6" t="n"/>
      <c r="E690" s="7" t="n"/>
      <c r="F690" s="8" t="n"/>
      <c r="G690" s="8" t="n"/>
      <c r="H690" s="8" t="n"/>
      <c r="J690" s="7" t="n"/>
      <c r="K690" s="8" t="n"/>
      <c r="L690" s="7" t="n"/>
      <c r="M690" s="8" t="n"/>
      <c r="N690" s="7" t="n"/>
      <c r="O690" s="8" t="n"/>
      <c r="P690" s="6" t="n"/>
      <c r="Q690" s="8" t="n"/>
      <c r="S690" s="8">
        <f>IF(B690="","",E690*F690)</f>
        <v/>
      </c>
      <c r="T690" s="8">
        <f>IF(OR(B690="",N(G690)=0),"",ABS(F690-G690)*E690)</f>
        <v/>
      </c>
      <c r="U690" s="8">
        <f>IF(OR(B690="",P690=""),"",IF(D690="Venda",-1,1)*((N(J690)*N(K690)+N(L690)*N(M690)+N(N690)*N(O690))-(N(J690)+N(L690)+N(N690))*F690)-N(Q690))</f>
        <v/>
      </c>
      <c r="V690" s="9">
        <f>IF(OR(B690="",P690=""),"",U690/S690)</f>
        <v/>
      </c>
      <c r="W690">
        <f>IF(OR(B690="",P690=""),"",NETWORKDAYS(C690,P690)-1)</f>
        <v/>
      </c>
      <c r="X690">
        <f>IF(B690="","",IF(P690="","Aberto","Fechado"))</f>
        <v/>
      </c>
    </row>
    <row r="691">
      <c r="C691" s="6" t="n"/>
      <c r="E691" s="7" t="n"/>
      <c r="F691" s="8" t="n"/>
      <c r="G691" s="8" t="n"/>
      <c r="H691" s="8" t="n"/>
      <c r="J691" s="7" t="n"/>
      <c r="K691" s="8" t="n"/>
      <c r="L691" s="7" t="n"/>
      <c r="M691" s="8" t="n"/>
      <c r="N691" s="7" t="n"/>
      <c r="O691" s="8" t="n"/>
      <c r="P691" s="6" t="n"/>
      <c r="Q691" s="8" t="n"/>
      <c r="S691" s="8">
        <f>IF(B691="","",E691*F691)</f>
        <v/>
      </c>
      <c r="T691" s="8">
        <f>IF(OR(B691="",N(G691)=0),"",ABS(F691-G691)*E691)</f>
        <v/>
      </c>
      <c r="U691" s="8">
        <f>IF(OR(B691="",P691=""),"",IF(D691="Venda",-1,1)*((N(J691)*N(K691)+N(L691)*N(M691)+N(N691)*N(O691))-(N(J691)+N(L691)+N(N691))*F691)-N(Q691))</f>
        <v/>
      </c>
      <c r="V691" s="9">
        <f>IF(OR(B691="",P691=""),"",U691/S691)</f>
        <v/>
      </c>
      <c r="W691">
        <f>IF(OR(B691="",P691=""),"",NETWORKDAYS(C691,P691)-1)</f>
        <v/>
      </c>
      <c r="X691">
        <f>IF(B691="","",IF(P691="","Aberto","Fechado"))</f>
        <v/>
      </c>
    </row>
    <row r="692">
      <c r="C692" s="6" t="n"/>
      <c r="E692" s="7" t="n"/>
      <c r="F692" s="8" t="n"/>
      <c r="G692" s="8" t="n"/>
      <c r="H692" s="8" t="n"/>
      <c r="J692" s="7" t="n"/>
      <c r="K692" s="8" t="n"/>
      <c r="L692" s="7" t="n"/>
      <c r="M692" s="8" t="n"/>
      <c r="N692" s="7" t="n"/>
      <c r="O692" s="8" t="n"/>
      <c r="P692" s="6" t="n"/>
      <c r="Q692" s="8" t="n"/>
      <c r="S692" s="8">
        <f>IF(B692="","",E692*F692)</f>
        <v/>
      </c>
      <c r="T692" s="8">
        <f>IF(OR(B692="",N(G692)=0),"",ABS(F692-G692)*E692)</f>
        <v/>
      </c>
      <c r="U692" s="8">
        <f>IF(OR(B692="",P692=""),"",IF(D692="Venda",-1,1)*((N(J692)*N(K692)+N(L692)*N(M692)+N(N692)*N(O692))-(N(J692)+N(L692)+N(N692))*F692)-N(Q692))</f>
        <v/>
      </c>
      <c r="V692" s="9">
        <f>IF(OR(B692="",P692=""),"",U692/S692)</f>
        <v/>
      </c>
      <c r="W692">
        <f>IF(OR(B692="",P692=""),"",NETWORKDAYS(C692,P692)-1)</f>
        <v/>
      </c>
      <c r="X692">
        <f>IF(B692="","",IF(P692="","Aberto","Fechado"))</f>
        <v/>
      </c>
    </row>
    <row r="693">
      <c r="C693" s="6" t="n"/>
      <c r="E693" s="7" t="n"/>
      <c r="F693" s="8" t="n"/>
      <c r="G693" s="8" t="n"/>
      <c r="H693" s="8" t="n"/>
      <c r="J693" s="7" t="n"/>
      <c r="K693" s="8" t="n"/>
      <c r="L693" s="7" t="n"/>
      <c r="M693" s="8" t="n"/>
      <c r="N693" s="7" t="n"/>
      <c r="O693" s="8" t="n"/>
      <c r="P693" s="6" t="n"/>
      <c r="Q693" s="8" t="n"/>
      <c r="S693" s="8">
        <f>IF(B693="","",E693*F693)</f>
        <v/>
      </c>
      <c r="T693" s="8">
        <f>IF(OR(B693="",N(G693)=0),"",ABS(F693-G693)*E693)</f>
        <v/>
      </c>
      <c r="U693" s="8">
        <f>IF(OR(B693="",P693=""),"",IF(D693="Venda",-1,1)*((N(J693)*N(K693)+N(L693)*N(M693)+N(N693)*N(O693))-(N(J693)+N(L693)+N(N693))*F693)-N(Q693))</f>
        <v/>
      </c>
      <c r="V693" s="9">
        <f>IF(OR(B693="",P693=""),"",U693/S693)</f>
        <v/>
      </c>
      <c r="W693">
        <f>IF(OR(B693="",P693=""),"",NETWORKDAYS(C693,P693)-1)</f>
        <v/>
      </c>
      <c r="X693">
        <f>IF(B693="","",IF(P693="","Aberto","Fechado"))</f>
        <v/>
      </c>
    </row>
    <row r="694">
      <c r="C694" s="6" t="n"/>
      <c r="E694" s="7" t="n"/>
      <c r="F694" s="8" t="n"/>
      <c r="G694" s="8" t="n"/>
      <c r="H694" s="8" t="n"/>
      <c r="J694" s="7" t="n"/>
      <c r="K694" s="8" t="n"/>
      <c r="L694" s="7" t="n"/>
      <c r="M694" s="8" t="n"/>
      <c r="N694" s="7" t="n"/>
      <c r="O694" s="8" t="n"/>
      <c r="P694" s="6" t="n"/>
      <c r="Q694" s="8" t="n"/>
      <c r="S694" s="8">
        <f>IF(B694="","",E694*F694)</f>
        <v/>
      </c>
      <c r="T694" s="8">
        <f>IF(OR(B694="",N(G694)=0),"",ABS(F694-G694)*E694)</f>
        <v/>
      </c>
      <c r="U694" s="8">
        <f>IF(OR(B694="",P694=""),"",IF(D694="Venda",-1,1)*((N(J694)*N(K694)+N(L694)*N(M694)+N(N694)*N(O694))-(N(J694)+N(L694)+N(N694))*F694)-N(Q694))</f>
        <v/>
      </c>
      <c r="V694" s="9">
        <f>IF(OR(B694="",P694=""),"",U694/S694)</f>
        <v/>
      </c>
      <c r="W694">
        <f>IF(OR(B694="",P694=""),"",NETWORKDAYS(C694,P694)-1)</f>
        <v/>
      </c>
      <c r="X694">
        <f>IF(B694="","",IF(P694="","Aberto","Fechado"))</f>
        <v/>
      </c>
    </row>
    <row r="695">
      <c r="C695" s="6" t="n"/>
      <c r="E695" s="7" t="n"/>
      <c r="F695" s="8" t="n"/>
      <c r="G695" s="8" t="n"/>
      <c r="H695" s="8" t="n"/>
      <c r="J695" s="7" t="n"/>
      <c r="K695" s="8" t="n"/>
      <c r="L695" s="7" t="n"/>
      <c r="M695" s="8" t="n"/>
      <c r="N695" s="7" t="n"/>
      <c r="O695" s="8" t="n"/>
      <c r="P695" s="6" t="n"/>
      <c r="Q695" s="8" t="n"/>
      <c r="S695" s="8">
        <f>IF(B695="","",E695*F695)</f>
        <v/>
      </c>
      <c r="T695" s="8">
        <f>IF(OR(B695="",N(G695)=0),"",ABS(F695-G695)*E695)</f>
        <v/>
      </c>
      <c r="U695" s="8">
        <f>IF(OR(B695="",P695=""),"",IF(D695="Venda",-1,1)*((N(J695)*N(K695)+N(L695)*N(M695)+N(N695)*N(O695))-(N(J695)+N(L695)+N(N695))*F695)-N(Q695))</f>
        <v/>
      </c>
      <c r="V695" s="9">
        <f>IF(OR(B695="",P695=""),"",U695/S695)</f>
        <v/>
      </c>
      <c r="W695">
        <f>IF(OR(B695="",P695=""),"",NETWORKDAYS(C695,P695)-1)</f>
        <v/>
      </c>
      <c r="X695">
        <f>IF(B695="","",IF(P695="","Aberto","Fechado"))</f>
        <v/>
      </c>
    </row>
    <row r="696">
      <c r="C696" s="6" t="n"/>
      <c r="E696" s="7" t="n"/>
      <c r="F696" s="8" t="n"/>
      <c r="G696" s="8" t="n"/>
      <c r="H696" s="8" t="n"/>
      <c r="J696" s="7" t="n"/>
      <c r="K696" s="8" t="n"/>
      <c r="L696" s="7" t="n"/>
      <c r="M696" s="8" t="n"/>
      <c r="N696" s="7" t="n"/>
      <c r="O696" s="8" t="n"/>
      <c r="P696" s="6" t="n"/>
      <c r="Q696" s="8" t="n"/>
      <c r="S696" s="8">
        <f>IF(B696="","",E696*F696)</f>
        <v/>
      </c>
      <c r="T696" s="8">
        <f>IF(OR(B696="",N(G696)=0),"",ABS(F696-G696)*E696)</f>
        <v/>
      </c>
      <c r="U696" s="8">
        <f>IF(OR(B696="",P696=""),"",IF(D696="Venda",-1,1)*((N(J696)*N(K696)+N(L696)*N(M696)+N(N696)*N(O696))-(N(J696)+N(L696)+N(N696))*F696)-N(Q696))</f>
        <v/>
      </c>
      <c r="V696" s="9">
        <f>IF(OR(B696="",P696=""),"",U696/S696)</f>
        <v/>
      </c>
      <c r="W696">
        <f>IF(OR(B696="",P696=""),"",NETWORKDAYS(C696,P696)-1)</f>
        <v/>
      </c>
      <c r="X696">
        <f>IF(B696="","",IF(P696="","Aberto","Fechado"))</f>
        <v/>
      </c>
    </row>
    <row r="697">
      <c r="C697" s="6" t="n"/>
      <c r="E697" s="7" t="n"/>
      <c r="F697" s="8" t="n"/>
      <c r="G697" s="8" t="n"/>
      <c r="H697" s="8" t="n"/>
      <c r="J697" s="7" t="n"/>
      <c r="K697" s="8" t="n"/>
      <c r="L697" s="7" t="n"/>
      <c r="M697" s="8" t="n"/>
      <c r="N697" s="7" t="n"/>
      <c r="O697" s="8" t="n"/>
      <c r="P697" s="6" t="n"/>
      <c r="Q697" s="8" t="n"/>
      <c r="S697" s="8">
        <f>IF(B697="","",E697*F697)</f>
        <v/>
      </c>
      <c r="T697" s="8">
        <f>IF(OR(B697="",N(G697)=0),"",ABS(F697-G697)*E697)</f>
        <v/>
      </c>
      <c r="U697" s="8">
        <f>IF(OR(B697="",P697=""),"",IF(D697="Venda",-1,1)*((N(J697)*N(K697)+N(L697)*N(M697)+N(N697)*N(O697))-(N(J697)+N(L697)+N(N697))*F697)-N(Q697))</f>
        <v/>
      </c>
      <c r="V697" s="9">
        <f>IF(OR(B697="",P697=""),"",U697/S697)</f>
        <v/>
      </c>
      <c r="W697">
        <f>IF(OR(B697="",P697=""),"",NETWORKDAYS(C697,P697)-1)</f>
        <v/>
      </c>
      <c r="X697">
        <f>IF(B697="","",IF(P697="","Aberto","Fechado"))</f>
        <v/>
      </c>
    </row>
    <row r="698">
      <c r="C698" s="6" t="n"/>
      <c r="E698" s="7" t="n"/>
      <c r="F698" s="8" t="n"/>
      <c r="G698" s="8" t="n"/>
      <c r="H698" s="8" t="n"/>
      <c r="J698" s="7" t="n"/>
      <c r="K698" s="8" t="n"/>
      <c r="L698" s="7" t="n"/>
      <c r="M698" s="8" t="n"/>
      <c r="N698" s="7" t="n"/>
      <c r="O698" s="8" t="n"/>
      <c r="P698" s="6" t="n"/>
      <c r="Q698" s="8" t="n"/>
      <c r="S698" s="8">
        <f>IF(B698="","",E698*F698)</f>
        <v/>
      </c>
      <c r="T698" s="8">
        <f>IF(OR(B698="",N(G698)=0),"",ABS(F698-G698)*E698)</f>
        <v/>
      </c>
      <c r="U698" s="8">
        <f>IF(OR(B698="",P698=""),"",IF(D698="Venda",-1,1)*((N(J698)*N(K698)+N(L698)*N(M698)+N(N698)*N(O698))-(N(J698)+N(L698)+N(N698))*F698)-N(Q698))</f>
        <v/>
      </c>
      <c r="V698" s="9">
        <f>IF(OR(B698="",P698=""),"",U698/S698)</f>
        <v/>
      </c>
      <c r="W698">
        <f>IF(OR(B698="",P698=""),"",NETWORKDAYS(C698,P698)-1)</f>
        <v/>
      </c>
      <c r="X698">
        <f>IF(B698="","",IF(P698="","Aberto","Fechado"))</f>
        <v/>
      </c>
    </row>
    <row r="699">
      <c r="C699" s="6" t="n"/>
      <c r="E699" s="7" t="n"/>
      <c r="F699" s="8" t="n"/>
      <c r="G699" s="8" t="n"/>
      <c r="H699" s="8" t="n"/>
      <c r="J699" s="7" t="n"/>
      <c r="K699" s="8" t="n"/>
      <c r="L699" s="7" t="n"/>
      <c r="M699" s="8" t="n"/>
      <c r="N699" s="7" t="n"/>
      <c r="O699" s="8" t="n"/>
      <c r="P699" s="6" t="n"/>
      <c r="Q699" s="8" t="n"/>
      <c r="S699" s="8">
        <f>IF(B699="","",E699*F699)</f>
        <v/>
      </c>
      <c r="T699" s="8">
        <f>IF(OR(B699="",N(G699)=0),"",ABS(F699-G699)*E699)</f>
        <v/>
      </c>
      <c r="U699" s="8">
        <f>IF(OR(B699="",P699=""),"",IF(D699="Venda",-1,1)*((N(J699)*N(K699)+N(L699)*N(M699)+N(N699)*N(O699))-(N(J699)+N(L699)+N(N699))*F699)-N(Q699))</f>
        <v/>
      </c>
      <c r="V699" s="9">
        <f>IF(OR(B699="",P699=""),"",U699/S699)</f>
        <v/>
      </c>
      <c r="W699">
        <f>IF(OR(B699="",P699=""),"",NETWORKDAYS(C699,P699)-1)</f>
        <v/>
      </c>
      <c r="X699">
        <f>IF(B699="","",IF(P699="","Aberto","Fechado"))</f>
        <v/>
      </c>
    </row>
    <row r="700">
      <c r="C700" s="6" t="n"/>
      <c r="E700" s="7" t="n"/>
      <c r="F700" s="8" t="n"/>
      <c r="G700" s="8" t="n"/>
      <c r="H700" s="8" t="n"/>
      <c r="J700" s="7" t="n"/>
      <c r="K700" s="8" t="n"/>
      <c r="L700" s="7" t="n"/>
      <c r="M700" s="8" t="n"/>
      <c r="N700" s="7" t="n"/>
      <c r="O700" s="8" t="n"/>
      <c r="P700" s="6" t="n"/>
      <c r="Q700" s="8" t="n"/>
      <c r="S700" s="8">
        <f>IF(B700="","",E700*F700)</f>
        <v/>
      </c>
      <c r="T700" s="8">
        <f>IF(OR(B700="",N(G700)=0),"",ABS(F700-G700)*E700)</f>
        <v/>
      </c>
      <c r="U700" s="8">
        <f>IF(OR(B700="",P700=""),"",IF(D700="Venda",-1,1)*((N(J700)*N(K700)+N(L700)*N(M700)+N(N700)*N(O700))-(N(J700)+N(L700)+N(N700))*F700)-N(Q700))</f>
        <v/>
      </c>
      <c r="V700" s="9">
        <f>IF(OR(B700="",P700=""),"",U700/S700)</f>
        <v/>
      </c>
      <c r="W700">
        <f>IF(OR(B700="",P700=""),"",NETWORKDAYS(C700,P700)-1)</f>
        <v/>
      </c>
      <c r="X700">
        <f>IF(B700="","",IF(P700="","Aberto","Fechado"))</f>
        <v/>
      </c>
    </row>
    <row r="701">
      <c r="C701" s="6" t="n"/>
      <c r="E701" s="7" t="n"/>
      <c r="F701" s="8" t="n"/>
      <c r="G701" s="8" t="n"/>
      <c r="H701" s="8" t="n"/>
      <c r="J701" s="7" t="n"/>
      <c r="K701" s="8" t="n"/>
      <c r="L701" s="7" t="n"/>
      <c r="M701" s="8" t="n"/>
      <c r="N701" s="7" t="n"/>
      <c r="O701" s="8" t="n"/>
      <c r="P701" s="6" t="n"/>
      <c r="Q701" s="8" t="n"/>
      <c r="S701" s="8">
        <f>IF(B701="","",E701*F701)</f>
        <v/>
      </c>
      <c r="T701" s="8">
        <f>IF(OR(B701="",N(G701)=0),"",ABS(F701-G701)*E701)</f>
        <v/>
      </c>
      <c r="U701" s="8">
        <f>IF(OR(B701="",P701=""),"",IF(D701="Venda",-1,1)*((N(J701)*N(K701)+N(L701)*N(M701)+N(N701)*N(O701))-(N(J701)+N(L701)+N(N701))*F701)-N(Q701))</f>
        <v/>
      </c>
      <c r="V701" s="9">
        <f>IF(OR(B701="",P701=""),"",U701/S701)</f>
        <v/>
      </c>
      <c r="W701">
        <f>IF(OR(B701="",P701=""),"",NETWORKDAYS(C701,P701)-1)</f>
        <v/>
      </c>
      <c r="X701">
        <f>IF(B701="","",IF(P701="","Aberto","Fechado"))</f>
        <v/>
      </c>
    </row>
    <row r="702">
      <c r="C702" s="6" t="n"/>
      <c r="E702" s="7" t="n"/>
      <c r="F702" s="8" t="n"/>
      <c r="G702" s="8" t="n"/>
      <c r="H702" s="8" t="n"/>
      <c r="J702" s="7" t="n"/>
      <c r="K702" s="8" t="n"/>
      <c r="L702" s="7" t="n"/>
      <c r="M702" s="8" t="n"/>
      <c r="N702" s="7" t="n"/>
      <c r="O702" s="8" t="n"/>
      <c r="P702" s="6" t="n"/>
      <c r="Q702" s="8" t="n"/>
      <c r="S702" s="8">
        <f>IF(B702="","",E702*F702)</f>
        <v/>
      </c>
      <c r="T702" s="8">
        <f>IF(OR(B702="",N(G702)=0),"",ABS(F702-G702)*E702)</f>
        <v/>
      </c>
      <c r="U702" s="8">
        <f>IF(OR(B702="",P702=""),"",IF(D702="Venda",-1,1)*((N(J702)*N(K702)+N(L702)*N(M702)+N(N702)*N(O702))-(N(J702)+N(L702)+N(N702))*F702)-N(Q702))</f>
        <v/>
      </c>
      <c r="V702" s="9">
        <f>IF(OR(B702="",P702=""),"",U702/S702)</f>
        <v/>
      </c>
      <c r="W702">
        <f>IF(OR(B702="",P702=""),"",NETWORKDAYS(C702,P702)-1)</f>
        <v/>
      </c>
      <c r="X702">
        <f>IF(B702="","",IF(P702="","Aberto","Fechado"))</f>
        <v/>
      </c>
    </row>
    <row r="703">
      <c r="C703" s="6" t="n"/>
      <c r="E703" s="7" t="n"/>
      <c r="F703" s="8" t="n"/>
      <c r="G703" s="8" t="n"/>
      <c r="H703" s="8" t="n"/>
      <c r="J703" s="7" t="n"/>
      <c r="K703" s="8" t="n"/>
      <c r="L703" s="7" t="n"/>
      <c r="M703" s="8" t="n"/>
      <c r="N703" s="7" t="n"/>
      <c r="O703" s="8" t="n"/>
      <c r="P703" s="6" t="n"/>
      <c r="Q703" s="8" t="n"/>
      <c r="S703" s="8">
        <f>IF(B703="","",E703*F703)</f>
        <v/>
      </c>
      <c r="T703" s="8">
        <f>IF(OR(B703="",N(G703)=0),"",ABS(F703-G703)*E703)</f>
        <v/>
      </c>
      <c r="U703" s="8">
        <f>IF(OR(B703="",P703=""),"",IF(D703="Venda",-1,1)*((N(J703)*N(K703)+N(L703)*N(M703)+N(N703)*N(O703))-(N(J703)+N(L703)+N(N703))*F703)-N(Q703))</f>
        <v/>
      </c>
      <c r="V703" s="9">
        <f>IF(OR(B703="",P703=""),"",U703/S703)</f>
        <v/>
      </c>
      <c r="W703">
        <f>IF(OR(B703="",P703=""),"",NETWORKDAYS(C703,P703)-1)</f>
        <v/>
      </c>
      <c r="X703">
        <f>IF(B703="","",IF(P703="","Aberto","Fechado"))</f>
        <v/>
      </c>
    </row>
    <row r="704">
      <c r="C704" s="6" t="n"/>
      <c r="E704" s="7" t="n"/>
      <c r="F704" s="8" t="n"/>
      <c r="G704" s="8" t="n"/>
      <c r="H704" s="8" t="n"/>
      <c r="J704" s="7" t="n"/>
      <c r="K704" s="8" t="n"/>
      <c r="L704" s="7" t="n"/>
      <c r="M704" s="8" t="n"/>
      <c r="N704" s="7" t="n"/>
      <c r="O704" s="8" t="n"/>
      <c r="P704" s="6" t="n"/>
      <c r="Q704" s="8" t="n"/>
      <c r="S704" s="8">
        <f>IF(B704="","",E704*F704)</f>
        <v/>
      </c>
      <c r="T704" s="8">
        <f>IF(OR(B704="",N(G704)=0),"",ABS(F704-G704)*E704)</f>
        <v/>
      </c>
      <c r="U704" s="8">
        <f>IF(OR(B704="",P704=""),"",IF(D704="Venda",-1,1)*((N(J704)*N(K704)+N(L704)*N(M704)+N(N704)*N(O704))-(N(J704)+N(L704)+N(N704))*F704)-N(Q704))</f>
        <v/>
      </c>
      <c r="V704" s="9">
        <f>IF(OR(B704="",P704=""),"",U704/S704)</f>
        <v/>
      </c>
      <c r="W704">
        <f>IF(OR(B704="",P704=""),"",NETWORKDAYS(C704,P704)-1)</f>
        <v/>
      </c>
      <c r="X704">
        <f>IF(B704="","",IF(P704="","Aberto","Fechado"))</f>
        <v/>
      </c>
    </row>
    <row r="705">
      <c r="C705" s="6" t="n"/>
      <c r="E705" s="7" t="n"/>
      <c r="F705" s="8" t="n"/>
      <c r="G705" s="8" t="n"/>
      <c r="H705" s="8" t="n"/>
      <c r="J705" s="7" t="n"/>
      <c r="K705" s="8" t="n"/>
      <c r="L705" s="7" t="n"/>
      <c r="M705" s="8" t="n"/>
      <c r="N705" s="7" t="n"/>
      <c r="O705" s="8" t="n"/>
      <c r="P705" s="6" t="n"/>
      <c r="Q705" s="8" t="n"/>
      <c r="S705" s="8">
        <f>IF(B705="","",E705*F705)</f>
        <v/>
      </c>
      <c r="T705" s="8">
        <f>IF(OR(B705="",N(G705)=0),"",ABS(F705-G705)*E705)</f>
        <v/>
      </c>
      <c r="U705" s="8">
        <f>IF(OR(B705="",P705=""),"",IF(D705="Venda",-1,1)*((N(J705)*N(K705)+N(L705)*N(M705)+N(N705)*N(O705))-(N(J705)+N(L705)+N(N705))*F705)-N(Q705))</f>
        <v/>
      </c>
      <c r="V705" s="9">
        <f>IF(OR(B705="",P705=""),"",U705/S705)</f>
        <v/>
      </c>
      <c r="W705">
        <f>IF(OR(B705="",P705=""),"",NETWORKDAYS(C705,P705)-1)</f>
        <v/>
      </c>
      <c r="X705">
        <f>IF(B705="","",IF(P705="","Aberto","Fechado"))</f>
        <v/>
      </c>
    </row>
    <row r="706">
      <c r="C706" s="6" t="n"/>
      <c r="E706" s="7" t="n"/>
      <c r="F706" s="8" t="n"/>
      <c r="G706" s="8" t="n"/>
      <c r="H706" s="8" t="n"/>
      <c r="J706" s="7" t="n"/>
      <c r="K706" s="8" t="n"/>
      <c r="L706" s="7" t="n"/>
      <c r="M706" s="8" t="n"/>
      <c r="N706" s="7" t="n"/>
      <c r="O706" s="8" t="n"/>
      <c r="P706" s="6" t="n"/>
      <c r="Q706" s="8" t="n"/>
      <c r="S706" s="8">
        <f>IF(B706="","",E706*F706)</f>
        <v/>
      </c>
      <c r="T706" s="8">
        <f>IF(OR(B706="",N(G706)=0),"",ABS(F706-G706)*E706)</f>
        <v/>
      </c>
      <c r="U706" s="8">
        <f>IF(OR(B706="",P706=""),"",IF(D706="Venda",-1,1)*((N(J706)*N(K706)+N(L706)*N(M706)+N(N706)*N(O706))-(N(J706)+N(L706)+N(N706))*F706)-N(Q706))</f>
        <v/>
      </c>
      <c r="V706" s="9">
        <f>IF(OR(B706="",P706=""),"",U706/S706)</f>
        <v/>
      </c>
      <c r="W706">
        <f>IF(OR(B706="",P706=""),"",NETWORKDAYS(C706,P706)-1)</f>
        <v/>
      </c>
      <c r="X706">
        <f>IF(B706="","",IF(P706="","Aberto","Fechado"))</f>
        <v/>
      </c>
    </row>
    <row r="707">
      <c r="C707" s="6" t="n"/>
      <c r="E707" s="7" t="n"/>
      <c r="F707" s="8" t="n"/>
      <c r="G707" s="8" t="n"/>
      <c r="H707" s="8" t="n"/>
      <c r="J707" s="7" t="n"/>
      <c r="K707" s="8" t="n"/>
      <c r="L707" s="7" t="n"/>
      <c r="M707" s="8" t="n"/>
      <c r="N707" s="7" t="n"/>
      <c r="O707" s="8" t="n"/>
      <c r="P707" s="6" t="n"/>
      <c r="Q707" s="8" t="n"/>
      <c r="S707" s="8">
        <f>IF(B707="","",E707*F707)</f>
        <v/>
      </c>
      <c r="T707" s="8">
        <f>IF(OR(B707="",N(G707)=0),"",ABS(F707-G707)*E707)</f>
        <v/>
      </c>
      <c r="U707" s="8">
        <f>IF(OR(B707="",P707=""),"",IF(D707="Venda",-1,1)*((N(J707)*N(K707)+N(L707)*N(M707)+N(N707)*N(O707))-(N(J707)+N(L707)+N(N707))*F707)-N(Q707))</f>
        <v/>
      </c>
      <c r="V707" s="9">
        <f>IF(OR(B707="",P707=""),"",U707/S707)</f>
        <v/>
      </c>
      <c r="W707">
        <f>IF(OR(B707="",P707=""),"",NETWORKDAYS(C707,P707)-1)</f>
        <v/>
      </c>
      <c r="X707">
        <f>IF(B707="","",IF(P707="","Aberto","Fechado"))</f>
        <v/>
      </c>
    </row>
    <row r="708">
      <c r="C708" s="6" t="n"/>
      <c r="E708" s="7" t="n"/>
      <c r="F708" s="8" t="n"/>
      <c r="G708" s="8" t="n"/>
      <c r="H708" s="8" t="n"/>
      <c r="J708" s="7" t="n"/>
      <c r="K708" s="8" t="n"/>
      <c r="L708" s="7" t="n"/>
      <c r="M708" s="8" t="n"/>
      <c r="N708" s="7" t="n"/>
      <c r="O708" s="8" t="n"/>
      <c r="P708" s="6" t="n"/>
      <c r="Q708" s="8" t="n"/>
      <c r="S708" s="8">
        <f>IF(B708="","",E708*F708)</f>
        <v/>
      </c>
      <c r="T708" s="8">
        <f>IF(OR(B708="",N(G708)=0),"",ABS(F708-G708)*E708)</f>
        <v/>
      </c>
      <c r="U708" s="8">
        <f>IF(OR(B708="",P708=""),"",IF(D708="Venda",-1,1)*((N(J708)*N(K708)+N(L708)*N(M708)+N(N708)*N(O708))-(N(J708)+N(L708)+N(N708))*F708)-N(Q708))</f>
        <v/>
      </c>
      <c r="V708" s="9">
        <f>IF(OR(B708="",P708=""),"",U708/S708)</f>
        <v/>
      </c>
      <c r="W708">
        <f>IF(OR(B708="",P708=""),"",NETWORKDAYS(C708,P708)-1)</f>
        <v/>
      </c>
      <c r="X708">
        <f>IF(B708="","",IF(P708="","Aberto","Fechado"))</f>
        <v/>
      </c>
    </row>
    <row r="709">
      <c r="C709" s="6" t="n"/>
      <c r="E709" s="7" t="n"/>
      <c r="F709" s="8" t="n"/>
      <c r="G709" s="8" t="n"/>
      <c r="H709" s="8" t="n"/>
      <c r="J709" s="7" t="n"/>
      <c r="K709" s="8" t="n"/>
      <c r="L709" s="7" t="n"/>
      <c r="M709" s="8" t="n"/>
      <c r="N709" s="7" t="n"/>
      <c r="O709" s="8" t="n"/>
      <c r="P709" s="6" t="n"/>
      <c r="Q709" s="8" t="n"/>
      <c r="S709" s="8">
        <f>IF(B709="","",E709*F709)</f>
        <v/>
      </c>
      <c r="T709" s="8">
        <f>IF(OR(B709="",N(G709)=0),"",ABS(F709-G709)*E709)</f>
        <v/>
      </c>
      <c r="U709" s="8">
        <f>IF(OR(B709="",P709=""),"",IF(D709="Venda",-1,1)*((N(J709)*N(K709)+N(L709)*N(M709)+N(N709)*N(O709))-(N(J709)+N(L709)+N(N709))*F709)-N(Q709))</f>
        <v/>
      </c>
      <c r="V709" s="9">
        <f>IF(OR(B709="",P709=""),"",U709/S709)</f>
        <v/>
      </c>
      <c r="W709">
        <f>IF(OR(B709="",P709=""),"",NETWORKDAYS(C709,P709)-1)</f>
        <v/>
      </c>
      <c r="X709">
        <f>IF(B709="","",IF(P709="","Aberto","Fechado"))</f>
        <v/>
      </c>
    </row>
    <row r="710">
      <c r="C710" s="6" t="n"/>
      <c r="E710" s="7" t="n"/>
      <c r="F710" s="8" t="n"/>
      <c r="G710" s="8" t="n"/>
      <c r="H710" s="8" t="n"/>
      <c r="J710" s="7" t="n"/>
      <c r="K710" s="8" t="n"/>
      <c r="L710" s="7" t="n"/>
      <c r="M710" s="8" t="n"/>
      <c r="N710" s="7" t="n"/>
      <c r="O710" s="8" t="n"/>
      <c r="P710" s="6" t="n"/>
      <c r="Q710" s="8" t="n"/>
      <c r="S710" s="8">
        <f>IF(B710="","",E710*F710)</f>
        <v/>
      </c>
      <c r="T710" s="8">
        <f>IF(OR(B710="",N(G710)=0),"",ABS(F710-G710)*E710)</f>
        <v/>
      </c>
      <c r="U710" s="8">
        <f>IF(OR(B710="",P710=""),"",IF(D710="Venda",-1,1)*((N(J710)*N(K710)+N(L710)*N(M710)+N(N710)*N(O710))-(N(J710)+N(L710)+N(N710))*F710)-N(Q710))</f>
        <v/>
      </c>
      <c r="V710" s="9">
        <f>IF(OR(B710="",P710=""),"",U710/S710)</f>
        <v/>
      </c>
      <c r="W710">
        <f>IF(OR(B710="",P710=""),"",NETWORKDAYS(C710,P710)-1)</f>
        <v/>
      </c>
      <c r="X710">
        <f>IF(B710="","",IF(P710="","Aberto","Fechado"))</f>
        <v/>
      </c>
    </row>
    <row r="711">
      <c r="C711" s="6" t="n"/>
      <c r="E711" s="7" t="n"/>
      <c r="F711" s="8" t="n"/>
      <c r="G711" s="8" t="n"/>
      <c r="H711" s="8" t="n"/>
      <c r="J711" s="7" t="n"/>
      <c r="K711" s="8" t="n"/>
      <c r="L711" s="7" t="n"/>
      <c r="M711" s="8" t="n"/>
      <c r="N711" s="7" t="n"/>
      <c r="O711" s="8" t="n"/>
      <c r="P711" s="6" t="n"/>
      <c r="Q711" s="8" t="n"/>
      <c r="S711" s="8">
        <f>IF(B711="","",E711*F711)</f>
        <v/>
      </c>
      <c r="T711" s="8">
        <f>IF(OR(B711="",N(G711)=0),"",ABS(F711-G711)*E711)</f>
        <v/>
      </c>
      <c r="U711" s="8">
        <f>IF(OR(B711="",P711=""),"",IF(D711="Venda",-1,1)*((N(J711)*N(K711)+N(L711)*N(M711)+N(N711)*N(O711))-(N(J711)+N(L711)+N(N711))*F711)-N(Q711))</f>
        <v/>
      </c>
      <c r="V711" s="9">
        <f>IF(OR(B711="",P711=""),"",U711/S711)</f>
        <v/>
      </c>
      <c r="W711">
        <f>IF(OR(B711="",P711=""),"",NETWORKDAYS(C711,P711)-1)</f>
        <v/>
      </c>
      <c r="X711">
        <f>IF(B711="","",IF(P711="","Aberto","Fechado"))</f>
        <v/>
      </c>
    </row>
    <row r="712">
      <c r="C712" s="6" t="n"/>
      <c r="E712" s="7" t="n"/>
      <c r="F712" s="8" t="n"/>
      <c r="G712" s="8" t="n"/>
      <c r="H712" s="8" t="n"/>
      <c r="J712" s="7" t="n"/>
      <c r="K712" s="8" t="n"/>
      <c r="L712" s="7" t="n"/>
      <c r="M712" s="8" t="n"/>
      <c r="N712" s="7" t="n"/>
      <c r="O712" s="8" t="n"/>
      <c r="P712" s="6" t="n"/>
      <c r="Q712" s="8" t="n"/>
      <c r="S712" s="8">
        <f>IF(B712="","",E712*F712)</f>
        <v/>
      </c>
      <c r="T712" s="8">
        <f>IF(OR(B712="",N(G712)=0),"",ABS(F712-G712)*E712)</f>
        <v/>
      </c>
      <c r="U712" s="8">
        <f>IF(OR(B712="",P712=""),"",IF(D712="Venda",-1,1)*((N(J712)*N(K712)+N(L712)*N(M712)+N(N712)*N(O712))-(N(J712)+N(L712)+N(N712))*F712)-N(Q712))</f>
        <v/>
      </c>
      <c r="V712" s="9">
        <f>IF(OR(B712="",P712=""),"",U712/S712)</f>
        <v/>
      </c>
      <c r="W712">
        <f>IF(OR(B712="",P712=""),"",NETWORKDAYS(C712,P712)-1)</f>
        <v/>
      </c>
      <c r="X712">
        <f>IF(B712="","",IF(P712="","Aberto","Fechado"))</f>
        <v/>
      </c>
    </row>
    <row r="713">
      <c r="C713" s="6" t="n"/>
      <c r="E713" s="7" t="n"/>
      <c r="F713" s="8" t="n"/>
      <c r="G713" s="8" t="n"/>
      <c r="H713" s="8" t="n"/>
      <c r="J713" s="7" t="n"/>
      <c r="K713" s="8" t="n"/>
      <c r="L713" s="7" t="n"/>
      <c r="M713" s="8" t="n"/>
      <c r="N713" s="7" t="n"/>
      <c r="O713" s="8" t="n"/>
      <c r="P713" s="6" t="n"/>
      <c r="Q713" s="8" t="n"/>
      <c r="S713" s="8">
        <f>IF(B713="","",E713*F713)</f>
        <v/>
      </c>
      <c r="T713" s="8">
        <f>IF(OR(B713="",N(G713)=0),"",ABS(F713-G713)*E713)</f>
        <v/>
      </c>
      <c r="U713" s="8">
        <f>IF(OR(B713="",P713=""),"",IF(D713="Venda",-1,1)*((N(J713)*N(K713)+N(L713)*N(M713)+N(N713)*N(O713))-(N(J713)+N(L713)+N(N713))*F713)-N(Q713))</f>
        <v/>
      </c>
      <c r="V713" s="9">
        <f>IF(OR(B713="",P713=""),"",U713/S713)</f>
        <v/>
      </c>
      <c r="W713">
        <f>IF(OR(B713="",P713=""),"",NETWORKDAYS(C713,P713)-1)</f>
        <v/>
      </c>
      <c r="X713">
        <f>IF(B713="","",IF(P713="","Aberto","Fechado"))</f>
        <v/>
      </c>
    </row>
    <row r="714">
      <c r="C714" s="6" t="n"/>
      <c r="E714" s="7" t="n"/>
      <c r="F714" s="8" t="n"/>
      <c r="G714" s="8" t="n"/>
      <c r="H714" s="8" t="n"/>
      <c r="J714" s="7" t="n"/>
      <c r="K714" s="8" t="n"/>
      <c r="L714" s="7" t="n"/>
      <c r="M714" s="8" t="n"/>
      <c r="N714" s="7" t="n"/>
      <c r="O714" s="8" t="n"/>
      <c r="P714" s="6" t="n"/>
      <c r="Q714" s="8" t="n"/>
      <c r="S714" s="8">
        <f>IF(B714="","",E714*F714)</f>
        <v/>
      </c>
      <c r="T714" s="8">
        <f>IF(OR(B714="",N(G714)=0),"",ABS(F714-G714)*E714)</f>
        <v/>
      </c>
      <c r="U714" s="8">
        <f>IF(OR(B714="",P714=""),"",IF(D714="Venda",-1,1)*((N(J714)*N(K714)+N(L714)*N(M714)+N(N714)*N(O714))-(N(J714)+N(L714)+N(N714))*F714)-N(Q714))</f>
        <v/>
      </c>
      <c r="V714" s="9">
        <f>IF(OR(B714="",P714=""),"",U714/S714)</f>
        <v/>
      </c>
      <c r="W714">
        <f>IF(OR(B714="",P714=""),"",NETWORKDAYS(C714,P714)-1)</f>
        <v/>
      </c>
      <c r="X714">
        <f>IF(B714="","",IF(P714="","Aberto","Fechado"))</f>
        <v/>
      </c>
    </row>
    <row r="715">
      <c r="C715" s="6" t="n"/>
      <c r="E715" s="7" t="n"/>
      <c r="F715" s="8" t="n"/>
      <c r="G715" s="8" t="n"/>
      <c r="H715" s="8" t="n"/>
      <c r="J715" s="7" t="n"/>
      <c r="K715" s="8" t="n"/>
      <c r="L715" s="7" t="n"/>
      <c r="M715" s="8" t="n"/>
      <c r="N715" s="7" t="n"/>
      <c r="O715" s="8" t="n"/>
      <c r="P715" s="6" t="n"/>
      <c r="Q715" s="8" t="n"/>
      <c r="S715" s="8">
        <f>IF(B715="","",E715*F715)</f>
        <v/>
      </c>
      <c r="T715" s="8">
        <f>IF(OR(B715="",N(G715)=0),"",ABS(F715-G715)*E715)</f>
        <v/>
      </c>
      <c r="U715" s="8">
        <f>IF(OR(B715="",P715=""),"",IF(D715="Venda",-1,1)*((N(J715)*N(K715)+N(L715)*N(M715)+N(N715)*N(O715))-(N(J715)+N(L715)+N(N715))*F715)-N(Q715))</f>
        <v/>
      </c>
      <c r="V715" s="9">
        <f>IF(OR(B715="",P715=""),"",U715/S715)</f>
        <v/>
      </c>
      <c r="W715">
        <f>IF(OR(B715="",P715=""),"",NETWORKDAYS(C715,P715)-1)</f>
        <v/>
      </c>
      <c r="X715">
        <f>IF(B715="","",IF(P715="","Aberto","Fechado"))</f>
        <v/>
      </c>
    </row>
    <row r="716">
      <c r="C716" s="6" t="n"/>
      <c r="E716" s="7" t="n"/>
      <c r="F716" s="8" t="n"/>
      <c r="G716" s="8" t="n"/>
      <c r="H716" s="8" t="n"/>
      <c r="J716" s="7" t="n"/>
      <c r="K716" s="8" t="n"/>
      <c r="L716" s="7" t="n"/>
      <c r="M716" s="8" t="n"/>
      <c r="N716" s="7" t="n"/>
      <c r="O716" s="8" t="n"/>
      <c r="P716" s="6" t="n"/>
      <c r="Q716" s="8" t="n"/>
      <c r="S716" s="8">
        <f>IF(B716="","",E716*F716)</f>
        <v/>
      </c>
      <c r="T716" s="8">
        <f>IF(OR(B716="",N(G716)=0),"",ABS(F716-G716)*E716)</f>
        <v/>
      </c>
      <c r="U716" s="8">
        <f>IF(OR(B716="",P716=""),"",IF(D716="Venda",-1,1)*((N(J716)*N(K716)+N(L716)*N(M716)+N(N716)*N(O716))-(N(J716)+N(L716)+N(N716))*F716)-N(Q716))</f>
        <v/>
      </c>
      <c r="V716" s="9">
        <f>IF(OR(B716="",P716=""),"",U716/S716)</f>
        <v/>
      </c>
      <c r="W716">
        <f>IF(OR(B716="",P716=""),"",NETWORKDAYS(C716,P716)-1)</f>
        <v/>
      </c>
      <c r="X716">
        <f>IF(B716="","",IF(P716="","Aberto","Fechado"))</f>
        <v/>
      </c>
    </row>
    <row r="717">
      <c r="C717" s="6" t="n"/>
      <c r="E717" s="7" t="n"/>
      <c r="F717" s="8" t="n"/>
      <c r="G717" s="8" t="n"/>
      <c r="H717" s="8" t="n"/>
      <c r="J717" s="7" t="n"/>
      <c r="K717" s="8" t="n"/>
      <c r="L717" s="7" t="n"/>
      <c r="M717" s="8" t="n"/>
      <c r="N717" s="7" t="n"/>
      <c r="O717" s="8" t="n"/>
      <c r="P717" s="6" t="n"/>
      <c r="Q717" s="8" t="n"/>
      <c r="S717" s="8">
        <f>IF(B717="","",E717*F717)</f>
        <v/>
      </c>
      <c r="T717" s="8">
        <f>IF(OR(B717="",N(G717)=0),"",ABS(F717-G717)*E717)</f>
        <v/>
      </c>
      <c r="U717" s="8">
        <f>IF(OR(B717="",P717=""),"",IF(D717="Venda",-1,1)*((N(J717)*N(K717)+N(L717)*N(M717)+N(N717)*N(O717))-(N(J717)+N(L717)+N(N717))*F717)-N(Q717))</f>
        <v/>
      </c>
      <c r="V717" s="9">
        <f>IF(OR(B717="",P717=""),"",U717/S717)</f>
        <v/>
      </c>
      <c r="W717">
        <f>IF(OR(B717="",P717=""),"",NETWORKDAYS(C717,P717)-1)</f>
        <v/>
      </c>
      <c r="X717">
        <f>IF(B717="","",IF(P717="","Aberto","Fechado"))</f>
        <v/>
      </c>
    </row>
    <row r="718">
      <c r="C718" s="6" t="n"/>
      <c r="E718" s="7" t="n"/>
      <c r="F718" s="8" t="n"/>
      <c r="G718" s="8" t="n"/>
      <c r="H718" s="8" t="n"/>
      <c r="J718" s="7" t="n"/>
      <c r="K718" s="8" t="n"/>
      <c r="L718" s="7" t="n"/>
      <c r="M718" s="8" t="n"/>
      <c r="N718" s="7" t="n"/>
      <c r="O718" s="8" t="n"/>
      <c r="P718" s="6" t="n"/>
      <c r="Q718" s="8" t="n"/>
      <c r="S718" s="8">
        <f>IF(B718="","",E718*F718)</f>
        <v/>
      </c>
      <c r="T718" s="8">
        <f>IF(OR(B718="",N(G718)=0),"",ABS(F718-G718)*E718)</f>
        <v/>
      </c>
      <c r="U718" s="8">
        <f>IF(OR(B718="",P718=""),"",IF(D718="Venda",-1,1)*((N(J718)*N(K718)+N(L718)*N(M718)+N(N718)*N(O718))-(N(J718)+N(L718)+N(N718))*F718)-N(Q718))</f>
        <v/>
      </c>
      <c r="V718" s="9">
        <f>IF(OR(B718="",P718=""),"",U718/S718)</f>
        <v/>
      </c>
      <c r="W718">
        <f>IF(OR(B718="",P718=""),"",NETWORKDAYS(C718,P718)-1)</f>
        <v/>
      </c>
      <c r="X718">
        <f>IF(B718="","",IF(P718="","Aberto","Fechado"))</f>
        <v/>
      </c>
    </row>
    <row r="719">
      <c r="C719" s="6" t="n"/>
      <c r="E719" s="7" t="n"/>
      <c r="F719" s="8" t="n"/>
      <c r="G719" s="8" t="n"/>
      <c r="H719" s="8" t="n"/>
      <c r="J719" s="7" t="n"/>
      <c r="K719" s="8" t="n"/>
      <c r="L719" s="7" t="n"/>
      <c r="M719" s="8" t="n"/>
      <c r="N719" s="7" t="n"/>
      <c r="O719" s="8" t="n"/>
      <c r="P719" s="6" t="n"/>
      <c r="Q719" s="8" t="n"/>
      <c r="S719" s="8">
        <f>IF(B719="","",E719*F719)</f>
        <v/>
      </c>
      <c r="T719" s="8">
        <f>IF(OR(B719="",N(G719)=0),"",ABS(F719-G719)*E719)</f>
        <v/>
      </c>
      <c r="U719" s="8">
        <f>IF(OR(B719="",P719=""),"",IF(D719="Venda",-1,1)*((N(J719)*N(K719)+N(L719)*N(M719)+N(N719)*N(O719))-(N(J719)+N(L719)+N(N719))*F719)-N(Q719))</f>
        <v/>
      </c>
      <c r="V719" s="9">
        <f>IF(OR(B719="",P719=""),"",U719/S719)</f>
        <v/>
      </c>
      <c r="W719">
        <f>IF(OR(B719="",P719=""),"",NETWORKDAYS(C719,P719)-1)</f>
        <v/>
      </c>
      <c r="X719">
        <f>IF(B719="","",IF(P719="","Aberto","Fechado"))</f>
        <v/>
      </c>
    </row>
    <row r="720">
      <c r="C720" s="6" t="n"/>
      <c r="E720" s="7" t="n"/>
      <c r="F720" s="8" t="n"/>
      <c r="G720" s="8" t="n"/>
      <c r="H720" s="8" t="n"/>
      <c r="J720" s="7" t="n"/>
      <c r="K720" s="8" t="n"/>
      <c r="L720" s="7" t="n"/>
      <c r="M720" s="8" t="n"/>
      <c r="N720" s="7" t="n"/>
      <c r="O720" s="8" t="n"/>
      <c r="P720" s="6" t="n"/>
      <c r="Q720" s="8" t="n"/>
      <c r="S720" s="8">
        <f>IF(B720="","",E720*F720)</f>
        <v/>
      </c>
      <c r="T720" s="8">
        <f>IF(OR(B720="",N(G720)=0),"",ABS(F720-G720)*E720)</f>
        <v/>
      </c>
      <c r="U720" s="8">
        <f>IF(OR(B720="",P720=""),"",IF(D720="Venda",-1,1)*((N(J720)*N(K720)+N(L720)*N(M720)+N(N720)*N(O720))-(N(J720)+N(L720)+N(N720))*F720)-N(Q720))</f>
        <v/>
      </c>
      <c r="V720" s="9">
        <f>IF(OR(B720="",P720=""),"",U720/S720)</f>
        <v/>
      </c>
      <c r="W720">
        <f>IF(OR(B720="",P720=""),"",NETWORKDAYS(C720,P720)-1)</f>
        <v/>
      </c>
      <c r="X720">
        <f>IF(B720="","",IF(P720="","Aberto","Fechado"))</f>
        <v/>
      </c>
    </row>
    <row r="721">
      <c r="C721" s="6" t="n"/>
      <c r="E721" s="7" t="n"/>
      <c r="F721" s="8" t="n"/>
      <c r="G721" s="8" t="n"/>
      <c r="H721" s="8" t="n"/>
      <c r="J721" s="7" t="n"/>
      <c r="K721" s="8" t="n"/>
      <c r="L721" s="7" t="n"/>
      <c r="M721" s="8" t="n"/>
      <c r="N721" s="7" t="n"/>
      <c r="O721" s="8" t="n"/>
      <c r="P721" s="6" t="n"/>
      <c r="Q721" s="8" t="n"/>
      <c r="S721" s="8">
        <f>IF(B721="","",E721*F721)</f>
        <v/>
      </c>
      <c r="T721" s="8">
        <f>IF(OR(B721="",N(G721)=0),"",ABS(F721-G721)*E721)</f>
        <v/>
      </c>
      <c r="U721" s="8">
        <f>IF(OR(B721="",P721=""),"",IF(D721="Venda",-1,1)*((N(J721)*N(K721)+N(L721)*N(M721)+N(N721)*N(O721))-(N(J721)+N(L721)+N(N721))*F721)-N(Q721))</f>
        <v/>
      </c>
      <c r="V721" s="9">
        <f>IF(OR(B721="",P721=""),"",U721/S721)</f>
        <v/>
      </c>
      <c r="W721">
        <f>IF(OR(B721="",P721=""),"",NETWORKDAYS(C721,P721)-1)</f>
        <v/>
      </c>
      <c r="X721">
        <f>IF(B721="","",IF(P721="","Aberto","Fechado"))</f>
        <v/>
      </c>
    </row>
    <row r="722">
      <c r="C722" s="6" t="n"/>
      <c r="E722" s="7" t="n"/>
      <c r="F722" s="8" t="n"/>
      <c r="G722" s="8" t="n"/>
      <c r="H722" s="8" t="n"/>
      <c r="J722" s="7" t="n"/>
      <c r="K722" s="8" t="n"/>
      <c r="L722" s="7" t="n"/>
      <c r="M722" s="8" t="n"/>
      <c r="N722" s="7" t="n"/>
      <c r="O722" s="8" t="n"/>
      <c r="P722" s="6" t="n"/>
      <c r="Q722" s="8" t="n"/>
      <c r="S722" s="8">
        <f>IF(B722="","",E722*F722)</f>
        <v/>
      </c>
      <c r="T722" s="8">
        <f>IF(OR(B722="",N(G722)=0),"",ABS(F722-G722)*E722)</f>
        <v/>
      </c>
      <c r="U722" s="8">
        <f>IF(OR(B722="",P722=""),"",IF(D722="Venda",-1,1)*((N(J722)*N(K722)+N(L722)*N(M722)+N(N722)*N(O722))-(N(J722)+N(L722)+N(N722))*F722)-N(Q722))</f>
        <v/>
      </c>
      <c r="V722" s="9">
        <f>IF(OR(B722="",P722=""),"",U722/S722)</f>
        <v/>
      </c>
      <c r="W722">
        <f>IF(OR(B722="",P722=""),"",NETWORKDAYS(C722,P722)-1)</f>
        <v/>
      </c>
      <c r="X722">
        <f>IF(B722="","",IF(P722="","Aberto","Fechado"))</f>
        <v/>
      </c>
    </row>
    <row r="723">
      <c r="C723" s="6" t="n"/>
      <c r="E723" s="7" t="n"/>
      <c r="F723" s="8" t="n"/>
      <c r="G723" s="8" t="n"/>
      <c r="H723" s="8" t="n"/>
      <c r="J723" s="7" t="n"/>
      <c r="K723" s="8" t="n"/>
      <c r="L723" s="7" t="n"/>
      <c r="M723" s="8" t="n"/>
      <c r="N723" s="7" t="n"/>
      <c r="O723" s="8" t="n"/>
      <c r="P723" s="6" t="n"/>
      <c r="Q723" s="8" t="n"/>
      <c r="S723" s="8">
        <f>IF(B723="","",E723*F723)</f>
        <v/>
      </c>
      <c r="T723" s="8">
        <f>IF(OR(B723="",N(G723)=0),"",ABS(F723-G723)*E723)</f>
        <v/>
      </c>
      <c r="U723" s="8">
        <f>IF(OR(B723="",P723=""),"",IF(D723="Venda",-1,1)*((N(J723)*N(K723)+N(L723)*N(M723)+N(N723)*N(O723))-(N(J723)+N(L723)+N(N723))*F723)-N(Q723))</f>
        <v/>
      </c>
      <c r="V723" s="9">
        <f>IF(OR(B723="",P723=""),"",U723/S723)</f>
        <v/>
      </c>
      <c r="W723">
        <f>IF(OR(B723="",P723=""),"",NETWORKDAYS(C723,P723)-1)</f>
        <v/>
      </c>
      <c r="X723">
        <f>IF(B723="","",IF(P723="","Aberto","Fechado"))</f>
        <v/>
      </c>
    </row>
    <row r="724">
      <c r="C724" s="6" t="n"/>
      <c r="E724" s="7" t="n"/>
      <c r="F724" s="8" t="n"/>
      <c r="G724" s="8" t="n"/>
      <c r="H724" s="8" t="n"/>
      <c r="J724" s="7" t="n"/>
      <c r="K724" s="8" t="n"/>
      <c r="L724" s="7" t="n"/>
      <c r="M724" s="8" t="n"/>
      <c r="N724" s="7" t="n"/>
      <c r="O724" s="8" t="n"/>
      <c r="P724" s="6" t="n"/>
      <c r="Q724" s="8" t="n"/>
      <c r="S724" s="8">
        <f>IF(B724="","",E724*F724)</f>
        <v/>
      </c>
      <c r="T724" s="8">
        <f>IF(OR(B724="",N(G724)=0),"",ABS(F724-G724)*E724)</f>
        <v/>
      </c>
      <c r="U724" s="8">
        <f>IF(OR(B724="",P724=""),"",IF(D724="Venda",-1,1)*((N(J724)*N(K724)+N(L724)*N(M724)+N(N724)*N(O724))-(N(J724)+N(L724)+N(N724))*F724)-N(Q724))</f>
        <v/>
      </c>
      <c r="V724" s="9">
        <f>IF(OR(B724="",P724=""),"",U724/S724)</f>
        <v/>
      </c>
      <c r="W724">
        <f>IF(OR(B724="",P724=""),"",NETWORKDAYS(C724,P724)-1)</f>
        <v/>
      </c>
      <c r="X724">
        <f>IF(B724="","",IF(P724="","Aberto","Fechado"))</f>
        <v/>
      </c>
    </row>
    <row r="725">
      <c r="C725" s="6" t="n"/>
      <c r="E725" s="7" t="n"/>
      <c r="F725" s="8" t="n"/>
      <c r="G725" s="8" t="n"/>
      <c r="H725" s="8" t="n"/>
      <c r="J725" s="7" t="n"/>
      <c r="K725" s="8" t="n"/>
      <c r="L725" s="7" t="n"/>
      <c r="M725" s="8" t="n"/>
      <c r="N725" s="7" t="n"/>
      <c r="O725" s="8" t="n"/>
      <c r="P725" s="6" t="n"/>
      <c r="Q725" s="8" t="n"/>
      <c r="S725" s="8">
        <f>IF(B725="","",E725*F725)</f>
        <v/>
      </c>
      <c r="T725" s="8">
        <f>IF(OR(B725="",N(G725)=0),"",ABS(F725-G725)*E725)</f>
        <v/>
      </c>
      <c r="U725" s="8">
        <f>IF(OR(B725="",P725=""),"",IF(D725="Venda",-1,1)*((N(J725)*N(K725)+N(L725)*N(M725)+N(N725)*N(O725))-(N(J725)+N(L725)+N(N725))*F725)-N(Q725))</f>
        <v/>
      </c>
      <c r="V725" s="9">
        <f>IF(OR(B725="",P725=""),"",U725/S725)</f>
        <v/>
      </c>
      <c r="W725">
        <f>IF(OR(B725="",P725=""),"",NETWORKDAYS(C725,P725)-1)</f>
        <v/>
      </c>
      <c r="X725">
        <f>IF(B725="","",IF(P725="","Aberto","Fechado"))</f>
        <v/>
      </c>
    </row>
    <row r="726">
      <c r="C726" s="6" t="n"/>
      <c r="E726" s="7" t="n"/>
      <c r="F726" s="8" t="n"/>
      <c r="G726" s="8" t="n"/>
      <c r="H726" s="8" t="n"/>
      <c r="J726" s="7" t="n"/>
      <c r="K726" s="8" t="n"/>
      <c r="L726" s="7" t="n"/>
      <c r="M726" s="8" t="n"/>
      <c r="N726" s="7" t="n"/>
      <c r="O726" s="8" t="n"/>
      <c r="P726" s="6" t="n"/>
      <c r="Q726" s="8" t="n"/>
      <c r="S726" s="8">
        <f>IF(B726="","",E726*F726)</f>
        <v/>
      </c>
      <c r="T726" s="8">
        <f>IF(OR(B726="",N(G726)=0),"",ABS(F726-G726)*E726)</f>
        <v/>
      </c>
      <c r="U726" s="8">
        <f>IF(OR(B726="",P726=""),"",IF(D726="Venda",-1,1)*((N(J726)*N(K726)+N(L726)*N(M726)+N(N726)*N(O726))-(N(J726)+N(L726)+N(N726))*F726)-N(Q726))</f>
        <v/>
      </c>
      <c r="V726" s="9">
        <f>IF(OR(B726="",P726=""),"",U726/S726)</f>
        <v/>
      </c>
      <c r="W726">
        <f>IF(OR(B726="",P726=""),"",NETWORKDAYS(C726,P726)-1)</f>
        <v/>
      </c>
      <c r="X726">
        <f>IF(B726="","",IF(P726="","Aberto","Fechado"))</f>
        <v/>
      </c>
    </row>
    <row r="727">
      <c r="C727" s="6" t="n"/>
      <c r="E727" s="7" t="n"/>
      <c r="F727" s="8" t="n"/>
      <c r="G727" s="8" t="n"/>
      <c r="H727" s="8" t="n"/>
      <c r="J727" s="7" t="n"/>
      <c r="K727" s="8" t="n"/>
      <c r="L727" s="7" t="n"/>
      <c r="M727" s="8" t="n"/>
      <c r="N727" s="7" t="n"/>
      <c r="O727" s="8" t="n"/>
      <c r="P727" s="6" t="n"/>
      <c r="Q727" s="8" t="n"/>
      <c r="S727" s="8">
        <f>IF(B727="","",E727*F727)</f>
        <v/>
      </c>
      <c r="T727" s="8">
        <f>IF(OR(B727="",N(G727)=0),"",ABS(F727-G727)*E727)</f>
        <v/>
      </c>
      <c r="U727" s="8">
        <f>IF(OR(B727="",P727=""),"",IF(D727="Venda",-1,1)*((N(J727)*N(K727)+N(L727)*N(M727)+N(N727)*N(O727))-(N(J727)+N(L727)+N(N727))*F727)-N(Q727))</f>
        <v/>
      </c>
      <c r="V727" s="9">
        <f>IF(OR(B727="",P727=""),"",U727/S727)</f>
        <v/>
      </c>
      <c r="W727">
        <f>IF(OR(B727="",P727=""),"",NETWORKDAYS(C727,P727)-1)</f>
        <v/>
      </c>
      <c r="X727">
        <f>IF(B727="","",IF(P727="","Aberto","Fechado"))</f>
        <v/>
      </c>
    </row>
    <row r="728">
      <c r="C728" s="6" t="n"/>
      <c r="E728" s="7" t="n"/>
      <c r="F728" s="8" t="n"/>
      <c r="G728" s="8" t="n"/>
      <c r="H728" s="8" t="n"/>
      <c r="J728" s="7" t="n"/>
      <c r="K728" s="8" t="n"/>
      <c r="L728" s="7" t="n"/>
      <c r="M728" s="8" t="n"/>
      <c r="N728" s="7" t="n"/>
      <c r="O728" s="8" t="n"/>
      <c r="P728" s="6" t="n"/>
      <c r="Q728" s="8" t="n"/>
      <c r="S728" s="8">
        <f>IF(B728="","",E728*F728)</f>
        <v/>
      </c>
      <c r="T728" s="8">
        <f>IF(OR(B728="",N(G728)=0),"",ABS(F728-G728)*E728)</f>
        <v/>
      </c>
      <c r="U728" s="8">
        <f>IF(OR(B728="",P728=""),"",IF(D728="Venda",-1,1)*((N(J728)*N(K728)+N(L728)*N(M728)+N(N728)*N(O728))-(N(J728)+N(L728)+N(N728))*F728)-N(Q728))</f>
        <v/>
      </c>
      <c r="V728" s="9">
        <f>IF(OR(B728="",P728=""),"",U728/S728)</f>
        <v/>
      </c>
      <c r="W728">
        <f>IF(OR(B728="",P728=""),"",NETWORKDAYS(C728,P728)-1)</f>
        <v/>
      </c>
      <c r="X728">
        <f>IF(B728="","",IF(P728="","Aberto","Fechado"))</f>
        <v/>
      </c>
    </row>
    <row r="729">
      <c r="C729" s="6" t="n"/>
      <c r="E729" s="7" t="n"/>
      <c r="F729" s="8" t="n"/>
      <c r="G729" s="8" t="n"/>
      <c r="H729" s="8" t="n"/>
      <c r="J729" s="7" t="n"/>
      <c r="K729" s="8" t="n"/>
      <c r="L729" s="7" t="n"/>
      <c r="M729" s="8" t="n"/>
      <c r="N729" s="7" t="n"/>
      <c r="O729" s="8" t="n"/>
      <c r="P729" s="6" t="n"/>
      <c r="Q729" s="8" t="n"/>
      <c r="S729" s="8">
        <f>IF(B729="","",E729*F729)</f>
        <v/>
      </c>
      <c r="T729" s="8">
        <f>IF(OR(B729="",N(G729)=0),"",ABS(F729-G729)*E729)</f>
        <v/>
      </c>
      <c r="U729" s="8">
        <f>IF(OR(B729="",P729=""),"",IF(D729="Venda",-1,1)*((N(J729)*N(K729)+N(L729)*N(M729)+N(N729)*N(O729))-(N(J729)+N(L729)+N(N729))*F729)-N(Q729))</f>
        <v/>
      </c>
      <c r="V729" s="9">
        <f>IF(OR(B729="",P729=""),"",U729/S729)</f>
        <v/>
      </c>
      <c r="W729">
        <f>IF(OR(B729="",P729=""),"",NETWORKDAYS(C729,P729)-1)</f>
        <v/>
      </c>
      <c r="X729">
        <f>IF(B729="","",IF(P729="","Aberto","Fechado"))</f>
        <v/>
      </c>
    </row>
    <row r="730">
      <c r="C730" s="6" t="n"/>
      <c r="E730" s="7" t="n"/>
      <c r="F730" s="8" t="n"/>
      <c r="G730" s="8" t="n"/>
      <c r="H730" s="8" t="n"/>
      <c r="J730" s="7" t="n"/>
      <c r="K730" s="8" t="n"/>
      <c r="L730" s="7" t="n"/>
      <c r="M730" s="8" t="n"/>
      <c r="N730" s="7" t="n"/>
      <c r="O730" s="8" t="n"/>
      <c r="P730" s="6" t="n"/>
      <c r="Q730" s="8" t="n"/>
      <c r="S730" s="8">
        <f>IF(B730="","",E730*F730)</f>
        <v/>
      </c>
      <c r="T730" s="8">
        <f>IF(OR(B730="",N(G730)=0),"",ABS(F730-G730)*E730)</f>
        <v/>
      </c>
      <c r="U730" s="8">
        <f>IF(OR(B730="",P730=""),"",IF(D730="Venda",-1,1)*((N(J730)*N(K730)+N(L730)*N(M730)+N(N730)*N(O730))-(N(J730)+N(L730)+N(N730))*F730)-N(Q730))</f>
        <v/>
      </c>
      <c r="V730" s="9">
        <f>IF(OR(B730="",P730=""),"",U730/S730)</f>
        <v/>
      </c>
      <c r="W730">
        <f>IF(OR(B730="",P730=""),"",NETWORKDAYS(C730,P730)-1)</f>
        <v/>
      </c>
      <c r="X730">
        <f>IF(B730="","",IF(P730="","Aberto","Fechado"))</f>
        <v/>
      </c>
    </row>
    <row r="731">
      <c r="C731" s="6" t="n"/>
      <c r="E731" s="7" t="n"/>
      <c r="F731" s="8" t="n"/>
      <c r="G731" s="8" t="n"/>
      <c r="H731" s="8" t="n"/>
      <c r="J731" s="7" t="n"/>
      <c r="K731" s="8" t="n"/>
      <c r="L731" s="7" t="n"/>
      <c r="M731" s="8" t="n"/>
      <c r="N731" s="7" t="n"/>
      <c r="O731" s="8" t="n"/>
      <c r="P731" s="6" t="n"/>
      <c r="Q731" s="8" t="n"/>
      <c r="S731" s="8">
        <f>IF(B731="","",E731*F731)</f>
        <v/>
      </c>
      <c r="T731" s="8">
        <f>IF(OR(B731="",N(G731)=0),"",ABS(F731-G731)*E731)</f>
        <v/>
      </c>
      <c r="U731" s="8">
        <f>IF(OR(B731="",P731=""),"",IF(D731="Venda",-1,1)*((N(J731)*N(K731)+N(L731)*N(M731)+N(N731)*N(O731))-(N(J731)+N(L731)+N(N731))*F731)-N(Q731))</f>
        <v/>
      </c>
      <c r="V731" s="9">
        <f>IF(OR(B731="",P731=""),"",U731/S731)</f>
        <v/>
      </c>
      <c r="W731">
        <f>IF(OR(B731="",P731=""),"",NETWORKDAYS(C731,P731)-1)</f>
        <v/>
      </c>
      <c r="X731">
        <f>IF(B731="","",IF(P731="","Aberto","Fechado"))</f>
        <v/>
      </c>
    </row>
    <row r="732">
      <c r="C732" s="6" t="n"/>
      <c r="E732" s="7" t="n"/>
      <c r="F732" s="8" t="n"/>
      <c r="G732" s="8" t="n"/>
      <c r="H732" s="8" t="n"/>
      <c r="J732" s="7" t="n"/>
      <c r="K732" s="8" t="n"/>
      <c r="L732" s="7" t="n"/>
      <c r="M732" s="8" t="n"/>
      <c r="N732" s="7" t="n"/>
      <c r="O732" s="8" t="n"/>
      <c r="P732" s="6" t="n"/>
      <c r="Q732" s="8" t="n"/>
      <c r="S732" s="8">
        <f>IF(B732="","",E732*F732)</f>
        <v/>
      </c>
      <c r="T732" s="8">
        <f>IF(OR(B732="",N(G732)=0),"",ABS(F732-G732)*E732)</f>
        <v/>
      </c>
      <c r="U732" s="8">
        <f>IF(OR(B732="",P732=""),"",IF(D732="Venda",-1,1)*((N(J732)*N(K732)+N(L732)*N(M732)+N(N732)*N(O732))-(N(J732)+N(L732)+N(N732))*F732)-N(Q732))</f>
        <v/>
      </c>
      <c r="V732" s="9">
        <f>IF(OR(B732="",P732=""),"",U732/S732)</f>
        <v/>
      </c>
      <c r="W732">
        <f>IF(OR(B732="",P732=""),"",NETWORKDAYS(C732,P732)-1)</f>
        <v/>
      </c>
      <c r="X732">
        <f>IF(B732="","",IF(P732="","Aberto","Fechado"))</f>
        <v/>
      </c>
    </row>
    <row r="733">
      <c r="C733" s="6" t="n"/>
      <c r="E733" s="7" t="n"/>
      <c r="F733" s="8" t="n"/>
      <c r="G733" s="8" t="n"/>
      <c r="H733" s="8" t="n"/>
      <c r="J733" s="7" t="n"/>
      <c r="K733" s="8" t="n"/>
      <c r="L733" s="7" t="n"/>
      <c r="M733" s="8" t="n"/>
      <c r="N733" s="7" t="n"/>
      <c r="O733" s="8" t="n"/>
      <c r="P733" s="6" t="n"/>
      <c r="Q733" s="8" t="n"/>
      <c r="S733" s="8">
        <f>IF(B733="","",E733*F733)</f>
        <v/>
      </c>
      <c r="T733" s="8">
        <f>IF(OR(B733="",N(G733)=0),"",ABS(F733-G733)*E733)</f>
        <v/>
      </c>
      <c r="U733" s="8">
        <f>IF(OR(B733="",P733=""),"",IF(D733="Venda",-1,1)*((N(J733)*N(K733)+N(L733)*N(M733)+N(N733)*N(O733))-(N(J733)+N(L733)+N(N733))*F733)-N(Q733))</f>
        <v/>
      </c>
      <c r="V733" s="9">
        <f>IF(OR(B733="",P733=""),"",U733/S733)</f>
        <v/>
      </c>
      <c r="W733">
        <f>IF(OR(B733="",P733=""),"",NETWORKDAYS(C733,P733)-1)</f>
        <v/>
      </c>
      <c r="X733">
        <f>IF(B733="","",IF(P733="","Aberto","Fechado"))</f>
        <v/>
      </c>
    </row>
    <row r="734">
      <c r="C734" s="6" t="n"/>
      <c r="E734" s="7" t="n"/>
      <c r="F734" s="8" t="n"/>
      <c r="G734" s="8" t="n"/>
      <c r="H734" s="8" t="n"/>
      <c r="J734" s="7" t="n"/>
      <c r="K734" s="8" t="n"/>
      <c r="L734" s="7" t="n"/>
      <c r="M734" s="8" t="n"/>
      <c r="N734" s="7" t="n"/>
      <c r="O734" s="8" t="n"/>
      <c r="P734" s="6" t="n"/>
      <c r="Q734" s="8" t="n"/>
      <c r="S734" s="8">
        <f>IF(B734="","",E734*F734)</f>
        <v/>
      </c>
      <c r="T734" s="8">
        <f>IF(OR(B734="",N(G734)=0),"",ABS(F734-G734)*E734)</f>
        <v/>
      </c>
      <c r="U734" s="8">
        <f>IF(OR(B734="",P734=""),"",IF(D734="Venda",-1,1)*((N(J734)*N(K734)+N(L734)*N(M734)+N(N734)*N(O734))-(N(J734)+N(L734)+N(N734))*F734)-N(Q734))</f>
        <v/>
      </c>
      <c r="V734" s="9">
        <f>IF(OR(B734="",P734=""),"",U734/S734)</f>
        <v/>
      </c>
      <c r="W734">
        <f>IF(OR(B734="",P734=""),"",NETWORKDAYS(C734,P734)-1)</f>
        <v/>
      </c>
      <c r="X734">
        <f>IF(B734="","",IF(P734="","Aberto","Fechado"))</f>
        <v/>
      </c>
    </row>
    <row r="735">
      <c r="C735" s="6" t="n"/>
      <c r="E735" s="7" t="n"/>
      <c r="F735" s="8" t="n"/>
      <c r="G735" s="8" t="n"/>
      <c r="H735" s="8" t="n"/>
      <c r="J735" s="7" t="n"/>
      <c r="K735" s="8" t="n"/>
      <c r="L735" s="7" t="n"/>
      <c r="M735" s="8" t="n"/>
      <c r="N735" s="7" t="n"/>
      <c r="O735" s="8" t="n"/>
      <c r="P735" s="6" t="n"/>
      <c r="Q735" s="8" t="n"/>
      <c r="S735" s="8">
        <f>IF(B735="","",E735*F735)</f>
        <v/>
      </c>
      <c r="T735" s="8">
        <f>IF(OR(B735="",N(G735)=0),"",ABS(F735-G735)*E735)</f>
        <v/>
      </c>
      <c r="U735" s="8">
        <f>IF(OR(B735="",P735=""),"",IF(D735="Venda",-1,1)*((N(J735)*N(K735)+N(L735)*N(M735)+N(N735)*N(O735))-(N(J735)+N(L735)+N(N735))*F735)-N(Q735))</f>
        <v/>
      </c>
      <c r="V735" s="9">
        <f>IF(OR(B735="",P735=""),"",U735/S735)</f>
        <v/>
      </c>
      <c r="W735">
        <f>IF(OR(B735="",P735=""),"",NETWORKDAYS(C735,P735)-1)</f>
        <v/>
      </c>
      <c r="X735">
        <f>IF(B735="","",IF(P735="","Aberto","Fechado"))</f>
        <v/>
      </c>
    </row>
    <row r="736">
      <c r="C736" s="6" t="n"/>
      <c r="E736" s="7" t="n"/>
      <c r="F736" s="8" t="n"/>
      <c r="G736" s="8" t="n"/>
      <c r="H736" s="8" t="n"/>
      <c r="J736" s="7" t="n"/>
      <c r="K736" s="8" t="n"/>
      <c r="L736" s="7" t="n"/>
      <c r="M736" s="8" t="n"/>
      <c r="N736" s="7" t="n"/>
      <c r="O736" s="8" t="n"/>
      <c r="P736" s="6" t="n"/>
      <c r="Q736" s="8" t="n"/>
      <c r="S736" s="8">
        <f>IF(B736="","",E736*F736)</f>
        <v/>
      </c>
      <c r="T736" s="8">
        <f>IF(OR(B736="",N(G736)=0),"",ABS(F736-G736)*E736)</f>
        <v/>
      </c>
      <c r="U736" s="8">
        <f>IF(OR(B736="",P736=""),"",IF(D736="Venda",-1,1)*((N(J736)*N(K736)+N(L736)*N(M736)+N(N736)*N(O736))-(N(J736)+N(L736)+N(N736))*F736)-N(Q736))</f>
        <v/>
      </c>
      <c r="V736" s="9">
        <f>IF(OR(B736="",P736=""),"",U736/S736)</f>
        <v/>
      </c>
      <c r="W736">
        <f>IF(OR(B736="",P736=""),"",NETWORKDAYS(C736,P736)-1)</f>
        <v/>
      </c>
      <c r="X736">
        <f>IF(B736="","",IF(P736="","Aberto","Fechado"))</f>
        <v/>
      </c>
    </row>
    <row r="737">
      <c r="C737" s="6" t="n"/>
      <c r="E737" s="7" t="n"/>
      <c r="F737" s="8" t="n"/>
      <c r="G737" s="8" t="n"/>
      <c r="H737" s="8" t="n"/>
      <c r="J737" s="7" t="n"/>
      <c r="K737" s="8" t="n"/>
      <c r="L737" s="7" t="n"/>
      <c r="M737" s="8" t="n"/>
      <c r="N737" s="7" t="n"/>
      <c r="O737" s="8" t="n"/>
      <c r="P737" s="6" t="n"/>
      <c r="Q737" s="8" t="n"/>
      <c r="S737" s="8">
        <f>IF(B737="","",E737*F737)</f>
        <v/>
      </c>
      <c r="T737" s="8">
        <f>IF(OR(B737="",N(G737)=0),"",ABS(F737-G737)*E737)</f>
        <v/>
      </c>
      <c r="U737" s="8">
        <f>IF(OR(B737="",P737=""),"",IF(D737="Venda",-1,1)*((N(J737)*N(K737)+N(L737)*N(M737)+N(N737)*N(O737))-(N(J737)+N(L737)+N(N737))*F737)-N(Q737))</f>
        <v/>
      </c>
      <c r="V737" s="9">
        <f>IF(OR(B737="",P737=""),"",U737/S737)</f>
        <v/>
      </c>
      <c r="W737">
        <f>IF(OR(B737="",P737=""),"",NETWORKDAYS(C737,P737)-1)</f>
        <v/>
      </c>
      <c r="X737">
        <f>IF(B737="","",IF(P737="","Aberto","Fechado"))</f>
        <v/>
      </c>
    </row>
    <row r="738">
      <c r="C738" s="6" t="n"/>
      <c r="E738" s="7" t="n"/>
      <c r="F738" s="8" t="n"/>
      <c r="G738" s="8" t="n"/>
      <c r="H738" s="8" t="n"/>
      <c r="J738" s="7" t="n"/>
      <c r="K738" s="8" t="n"/>
      <c r="L738" s="7" t="n"/>
      <c r="M738" s="8" t="n"/>
      <c r="N738" s="7" t="n"/>
      <c r="O738" s="8" t="n"/>
      <c r="P738" s="6" t="n"/>
      <c r="Q738" s="8" t="n"/>
      <c r="S738" s="8">
        <f>IF(B738="","",E738*F738)</f>
        <v/>
      </c>
      <c r="T738" s="8">
        <f>IF(OR(B738="",N(G738)=0),"",ABS(F738-G738)*E738)</f>
        <v/>
      </c>
      <c r="U738" s="8">
        <f>IF(OR(B738="",P738=""),"",IF(D738="Venda",-1,1)*((N(J738)*N(K738)+N(L738)*N(M738)+N(N738)*N(O738))-(N(J738)+N(L738)+N(N738))*F738)-N(Q738))</f>
        <v/>
      </c>
      <c r="V738" s="9">
        <f>IF(OR(B738="",P738=""),"",U738/S738)</f>
        <v/>
      </c>
      <c r="W738">
        <f>IF(OR(B738="",P738=""),"",NETWORKDAYS(C738,P738)-1)</f>
        <v/>
      </c>
      <c r="X738">
        <f>IF(B738="","",IF(P738="","Aberto","Fechado"))</f>
        <v/>
      </c>
    </row>
    <row r="739">
      <c r="C739" s="6" t="n"/>
      <c r="E739" s="7" t="n"/>
      <c r="F739" s="8" t="n"/>
      <c r="G739" s="8" t="n"/>
      <c r="H739" s="8" t="n"/>
      <c r="J739" s="7" t="n"/>
      <c r="K739" s="8" t="n"/>
      <c r="L739" s="7" t="n"/>
      <c r="M739" s="8" t="n"/>
      <c r="N739" s="7" t="n"/>
      <c r="O739" s="8" t="n"/>
      <c r="P739" s="6" t="n"/>
      <c r="Q739" s="8" t="n"/>
      <c r="S739" s="8">
        <f>IF(B739="","",E739*F739)</f>
        <v/>
      </c>
      <c r="T739" s="8">
        <f>IF(OR(B739="",N(G739)=0),"",ABS(F739-G739)*E739)</f>
        <v/>
      </c>
      <c r="U739" s="8">
        <f>IF(OR(B739="",P739=""),"",IF(D739="Venda",-1,1)*((N(J739)*N(K739)+N(L739)*N(M739)+N(N739)*N(O739))-(N(J739)+N(L739)+N(N739))*F739)-N(Q739))</f>
        <v/>
      </c>
      <c r="V739" s="9">
        <f>IF(OR(B739="",P739=""),"",U739/S739)</f>
        <v/>
      </c>
      <c r="W739">
        <f>IF(OR(B739="",P739=""),"",NETWORKDAYS(C739,P739)-1)</f>
        <v/>
      </c>
      <c r="X739">
        <f>IF(B739="","",IF(P739="","Aberto","Fechado"))</f>
        <v/>
      </c>
    </row>
    <row r="740">
      <c r="C740" s="6" t="n"/>
      <c r="E740" s="7" t="n"/>
      <c r="F740" s="8" t="n"/>
      <c r="G740" s="8" t="n"/>
      <c r="H740" s="8" t="n"/>
      <c r="J740" s="7" t="n"/>
      <c r="K740" s="8" t="n"/>
      <c r="L740" s="7" t="n"/>
      <c r="M740" s="8" t="n"/>
      <c r="N740" s="7" t="n"/>
      <c r="O740" s="8" t="n"/>
      <c r="P740" s="6" t="n"/>
      <c r="Q740" s="8" t="n"/>
      <c r="S740" s="8">
        <f>IF(B740="","",E740*F740)</f>
        <v/>
      </c>
      <c r="T740" s="8">
        <f>IF(OR(B740="",N(G740)=0),"",ABS(F740-G740)*E740)</f>
        <v/>
      </c>
      <c r="U740" s="8">
        <f>IF(OR(B740="",P740=""),"",IF(D740="Venda",-1,1)*((N(J740)*N(K740)+N(L740)*N(M740)+N(N740)*N(O740))-(N(J740)+N(L740)+N(N740))*F740)-N(Q740))</f>
        <v/>
      </c>
      <c r="V740" s="9">
        <f>IF(OR(B740="",P740=""),"",U740/S740)</f>
        <v/>
      </c>
      <c r="W740">
        <f>IF(OR(B740="",P740=""),"",NETWORKDAYS(C740,P740)-1)</f>
        <v/>
      </c>
      <c r="X740">
        <f>IF(B740="","",IF(P740="","Aberto","Fechado"))</f>
        <v/>
      </c>
    </row>
    <row r="741">
      <c r="C741" s="6" t="n"/>
      <c r="E741" s="7" t="n"/>
      <c r="F741" s="8" t="n"/>
      <c r="G741" s="8" t="n"/>
      <c r="H741" s="8" t="n"/>
      <c r="J741" s="7" t="n"/>
      <c r="K741" s="8" t="n"/>
      <c r="L741" s="7" t="n"/>
      <c r="M741" s="8" t="n"/>
      <c r="N741" s="7" t="n"/>
      <c r="O741" s="8" t="n"/>
      <c r="P741" s="6" t="n"/>
      <c r="Q741" s="8" t="n"/>
      <c r="S741" s="8">
        <f>IF(B741="","",E741*F741)</f>
        <v/>
      </c>
      <c r="T741" s="8">
        <f>IF(OR(B741="",N(G741)=0),"",ABS(F741-G741)*E741)</f>
        <v/>
      </c>
      <c r="U741" s="8">
        <f>IF(OR(B741="",P741=""),"",IF(D741="Venda",-1,1)*((N(J741)*N(K741)+N(L741)*N(M741)+N(N741)*N(O741))-(N(J741)+N(L741)+N(N741))*F741)-N(Q741))</f>
        <v/>
      </c>
      <c r="V741" s="9">
        <f>IF(OR(B741="",P741=""),"",U741/S741)</f>
        <v/>
      </c>
      <c r="W741">
        <f>IF(OR(B741="",P741=""),"",NETWORKDAYS(C741,P741)-1)</f>
        <v/>
      </c>
      <c r="X741">
        <f>IF(B741="","",IF(P741="","Aberto","Fechado"))</f>
        <v/>
      </c>
    </row>
    <row r="742">
      <c r="C742" s="6" t="n"/>
      <c r="E742" s="7" t="n"/>
      <c r="F742" s="8" t="n"/>
      <c r="G742" s="8" t="n"/>
      <c r="H742" s="8" t="n"/>
      <c r="J742" s="7" t="n"/>
      <c r="K742" s="8" t="n"/>
      <c r="L742" s="7" t="n"/>
      <c r="M742" s="8" t="n"/>
      <c r="N742" s="7" t="n"/>
      <c r="O742" s="8" t="n"/>
      <c r="P742" s="6" t="n"/>
      <c r="Q742" s="8" t="n"/>
      <c r="S742" s="8">
        <f>IF(B742="","",E742*F742)</f>
        <v/>
      </c>
      <c r="T742" s="8">
        <f>IF(OR(B742="",N(G742)=0),"",ABS(F742-G742)*E742)</f>
        <v/>
      </c>
      <c r="U742" s="8">
        <f>IF(OR(B742="",P742=""),"",IF(D742="Venda",-1,1)*((N(J742)*N(K742)+N(L742)*N(M742)+N(N742)*N(O742))-(N(J742)+N(L742)+N(N742))*F742)-N(Q742))</f>
        <v/>
      </c>
      <c r="V742" s="9">
        <f>IF(OR(B742="",P742=""),"",U742/S742)</f>
        <v/>
      </c>
      <c r="W742">
        <f>IF(OR(B742="",P742=""),"",NETWORKDAYS(C742,P742)-1)</f>
        <v/>
      </c>
      <c r="X742">
        <f>IF(B742="","",IF(P742="","Aberto","Fechado"))</f>
        <v/>
      </c>
    </row>
    <row r="743">
      <c r="C743" s="6" t="n"/>
      <c r="E743" s="7" t="n"/>
      <c r="F743" s="8" t="n"/>
      <c r="G743" s="8" t="n"/>
      <c r="H743" s="8" t="n"/>
      <c r="J743" s="7" t="n"/>
      <c r="K743" s="8" t="n"/>
      <c r="L743" s="7" t="n"/>
      <c r="M743" s="8" t="n"/>
      <c r="N743" s="7" t="n"/>
      <c r="O743" s="8" t="n"/>
      <c r="P743" s="6" t="n"/>
      <c r="Q743" s="8" t="n"/>
      <c r="S743" s="8">
        <f>IF(B743="","",E743*F743)</f>
        <v/>
      </c>
      <c r="T743" s="8">
        <f>IF(OR(B743="",N(G743)=0),"",ABS(F743-G743)*E743)</f>
        <v/>
      </c>
      <c r="U743" s="8">
        <f>IF(OR(B743="",P743=""),"",IF(D743="Venda",-1,1)*((N(J743)*N(K743)+N(L743)*N(M743)+N(N743)*N(O743))-(N(J743)+N(L743)+N(N743))*F743)-N(Q743))</f>
        <v/>
      </c>
      <c r="V743" s="9">
        <f>IF(OR(B743="",P743=""),"",U743/S743)</f>
        <v/>
      </c>
      <c r="W743">
        <f>IF(OR(B743="",P743=""),"",NETWORKDAYS(C743,P743)-1)</f>
        <v/>
      </c>
      <c r="X743">
        <f>IF(B743="","",IF(P743="","Aberto","Fechado"))</f>
        <v/>
      </c>
    </row>
    <row r="744">
      <c r="C744" s="6" t="n"/>
      <c r="E744" s="7" t="n"/>
      <c r="F744" s="8" t="n"/>
      <c r="G744" s="8" t="n"/>
      <c r="H744" s="8" t="n"/>
      <c r="J744" s="7" t="n"/>
      <c r="K744" s="8" t="n"/>
      <c r="L744" s="7" t="n"/>
      <c r="M744" s="8" t="n"/>
      <c r="N744" s="7" t="n"/>
      <c r="O744" s="8" t="n"/>
      <c r="P744" s="6" t="n"/>
      <c r="Q744" s="8" t="n"/>
      <c r="S744" s="8">
        <f>IF(B744="","",E744*F744)</f>
        <v/>
      </c>
      <c r="T744" s="8">
        <f>IF(OR(B744="",N(G744)=0),"",ABS(F744-G744)*E744)</f>
        <v/>
      </c>
      <c r="U744" s="8">
        <f>IF(OR(B744="",P744=""),"",IF(D744="Venda",-1,1)*((N(J744)*N(K744)+N(L744)*N(M744)+N(N744)*N(O744))-(N(J744)+N(L744)+N(N744))*F744)-N(Q744))</f>
        <v/>
      </c>
      <c r="V744" s="9">
        <f>IF(OR(B744="",P744=""),"",U744/S744)</f>
        <v/>
      </c>
      <c r="W744">
        <f>IF(OR(B744="",P744=""),"",NETWORKDAYS(C744,P744)-1)</f>
        <v/>
      </c>
      <c r="X744">
        <f>IF(B744="","",IF(P744="","Aberto","Fechado"))</f>
        <v/>
      </c>
    </row>
    <row r="745">
      <c r="C745" s="6" t="n"/>
      <c r="E745" s="7" t="n"/>
      <c r="F745" s="8" t="n"/>
      <c r="G745" s="8" t="n"/>
      <c r="H745" s="8" t="n"/>
      <c r="J745" s="7" t="n"/>
      <c r="K745" s="8" t="n"/>
      <c r="L745" s="7" t="n"/>
      <c r="M745" s="8" t="n"/>
      <c r="N745" s="7" t="n"/>
      <c r="O745" s="8" t="n"/>
      <c r="P745" s="6" t="n"/>
      <c r="Q745" s="8" t="n"/>
      <c r="S745" s="8">
        <f>IF(B745="","",E745*F745)</f>
        <v/>
      </c>
      <c r="T745" s="8">
        <f>IF(OR(B745="",N(G745)=0),"",ABS(F745-G745)*E745)</f>
        <v/>
      </c>
      <c r="U745" s="8">
        <f>IF(OR(B745="",P745=""),"",IF(D745="Venda",-1,1)*((N(J745)*N(K745)+N(L745)*N(M745)+N(N745)*N(O745))-(N(J745)+N(L745)+N(N745))*F745)-N(Q745))</f>
        <v/>
      </c>
      <c r="V745" s="9">
        <f>IF(OR(B745="",P745=""),"",U745/S745)</f>
        <v/>
      </c>
      <c r="W745">
        <f>IF(OR(B745="",P745=""),"",NETWORKDAYS(C745,P745)-1)</f>
        <v/>
      </c>
      <c r="X745">
        <f>IF(B745="","",IF(P745="","Aberto","Fechado"))</f>
        <v/>
      </c>
    </row>
    <row r="746">
      <c r="C746" s="6" t="n"/>
      <c r="E746" s="7" t="n"/>
      <c r="F746" s="8" t="n"/>
      <c r="G746" s="8" t="n"/>
      <c r="H746" s="8" t="n"/>
      <c r="J746" s="7" t="n"/>
      <c r="K746" s="8" t="n"/>
      <c r="L746" s="7" t="n"/>
      <c r="M746" s="8" t="n"/>
      <c r="N746" s="7" t="n"/>
      <c r="O746" s="8" t="n"/>
      <c r="P746" s="6" t="n"/>
      <c r="Q746" s="8" t="n"/>
      <c r="S746" s="8">
        <f>IF(B746="","",E746*F746)</f>
        <v/>
      </c>
      <c r="T746" s="8">
        <f>IF(OR(B746="",N(G746)=0),"",ABS(F746-G746)*E746)</f>
        <v/>
      </c>
      <c r="U746" s="8">
        <f>IF(OR(B746="",P746=""),"",IF(D746="Venda",-1,1)*((N(J746)*N(K746)+N(L746)*N(M746)+N(N746)*N(O746))-(N(J746)+N(L746)+N(N746))*F746)-N(Q746))</f>
        <v/>
      </c>
      <c r="V746" s="9">
        <f>IF(OR(B746="",P746=""),"",U746/S746)</f>
        <v/>
      </c>
      <c r="W746">
        <f>IF(OR(B746="",P746=""),"",NETWORKDAYS(C746,P746)-1)</f>
        <v/>
      </c>
      <c r="X746">
        <f>IF(B746="","",IF(P746="","Aberto","Fechado"))</f>
        <v/>
      </c>
    </row>
    <row r="747">
      <c r="C747" s="6" t="n"/>
      <c r="E747" s="7" t="n"/>
      <c r="F747" s="8" t="n"/>
      <c r="G747" s="8" t="n"/>
      <c r="H747" s="8" t="n"/>
      <c r="J747" s="7" t="n"/>
      <c r="K747" s="8" t="n"/>
      <c r="L747" s="7" t="n"/>
      <c r="M747" s="8" t="n"/>
      <c r="N747" s="7" t="n"/>
      <c r="O747" s="8" t="n"/>
      <c r="P747" s="6" t="n"/>
      <c r="Q747" s="8" t="n"/>
      <c r="S747" s="8">
        <f>IF(B747="","",E747*F747)</f>
        <v/>
      </c>
      <c r="T747" s="8">
        <f>IF(OR(B747="",N(G747)=0),"",ABS(F747-G747)*E747)</f>
        <v/>
      </c>
      <c r="U747" s="8">
        <f>IF(OR(B747="",P747=""),"",IF(D747="Venda",-1,1)*((N(J747)*N(K747)+N(L747)*N(M747)+N(N747)*N(O747))-(N(J747)+N(L747)+N(N747))*F747)-N(Q747))</f>
        <v/>
      </c>
      <c r="V747" s="9">
        <f>IF(OR(B747="",P747=""),"",U747/S747)</f>
        <v/>
      </c>
      <c r="W747">
        <f>IF(OR(B747="",P747=""),"",NETWORKDAYS(C747,P747)-1)</f>
        <v/>
      </c>
      <c r="X747">
        <f>IF(B747="","",IF(P747="","Aberto","Fechado"))</f>
        <v/>
      </c>
    </row>
    <row r="748">
      <c r="C748" s="6" t="n"/>
      <c r="E748" s="7" t="n"/>
      <c r="F748" s="8" t="n"/>
      <c r="G748" s="8" t="n"/>
      <c r="H748" s="8" t="n"/>
      <c r="J748" s="7" t="n"/>
      <c r="K748" s="8" t="n"/>
      <c r="L748" s="7" t="n"/>
      <c r="M748" s="8" t="n"/>
      <c r="N748" s="7" t="n"/>
      <c r="O748" s="8" t="n"/>
      <c r="P748" s="6" t="n"/>
      <c r="Q748" s="8" t="n"/>
      <c r="S748" s="8">
        <f>IF(B748="","",E748*F748)</f>
        <v/>
      </c>
      <c r="T748" s="8">
        <f>IF(OR(B748="",N(G748)=0),"",ABS(F748-G748)*E748)</f>
        <v/>
      </c>
      <c r="U748" s="8">
        <f>IF(OR(B748="",P748=""),"",IF(D748="Venda",-1,1)*((N(J748)*N(K748)+N(L748)*N(M748)+N(N748)*N(O748))-(N(J748)+N(L748)+N(N748))*F748)-N(Q748))</f>
        <v/>
      </c>
      <c r="V748" s="9">
        <f>IF(OR(B748="",P748=""),"",U748/S748)</f>
        <v/>
      </c>
      <c r="W748">
        <f>IF(OR(B748="",P748=""),"",NETWORKDAYS(C748,P748)-1)</f>
        <v/>
      </c>
      <c r="X748">
        <f>IF(B748="","",IF(P748="","Aberto","Fechado"))</f>
        <v/>
      </c>
    </row>
    <row r="749">
      <c r="C749" s="6" t="n"/>
      <c r="E749" s="7" t="n"/>
      <c r="F749" s="8" t="n"/>
      <c r="G749" s="8" t="n"/>
      <c r="H749" s="8" t="n"/>
      <c r="J749" s="7" t="n"/>
      <c r="K749" s="8" t="n"/>
      <c r="L749" s="7" t="n"/>
      <c r="M749" s="8" t="n"/>
      <c r="N749" s="7" t="n"/>
      <c r="O749" s="8" t="n"/>
      <c r="P749" s="6" t="n"/>
      <c r="Q749" s="8" t="n"/>
      <c r="S749" s="8">
        <f>IF(B749="","",E749*F749)</f>
        <v/>
      </c>
      <c r="T749" s="8">
        <f>IF(OR(B749="",N(G749)=0),"",ABS(F749-G749)*E749)</f>
        <v/>
      </c>
      <c r="U749" s="8">
        <f>IF(OR(B749="",P749=""),"",IF(D749="Venda",-1,1)*((N(J749)*N(K749)+N(L749)*N(M749)+N(N749)*N(O749))-(N(J749)+N(L749)+N(N749))*F749)-N(Q749))</f>
        <v/>
      </c>
      <c r="V749" s="9">
        <f>IF(OR(B749="",P749=""),"",U749/S749)</f>
        <v/>
      </c>
      <c r="W749">
        <f>IF(OR(B749="",P749=""),"",NETWORKDAYS(C749,P749)-1)</f>
        <v/>
      </c>
      <c r="X749">
        <f>IF(B749="","",IF(P749="","Aberto","Fechado"))</f>
        <v/>
      </c>
    </row>
    <row r="750">
      <c r="C750" s="6" t="n"/>
      <c r="E750" s="7" t="n"/>
      <c r="F750" s="8" t="n"/>
      <c r="G750" s="8" t="n"/>
      <c r="H750" s="8" t="n"/>
      <c r="J750" s="7" t="n"/>
      <c r="K750" s="8" t="n"/>
      <c r="L750" s="7" t="n"/>
      <c r="M750" s="8" t="n"/>
      <c r="N750" s="7" t="n"/>
      <c r="O750" s="8" t="n"/>
      <c r="P750" s="6" t="n"/>
      <c r="Q750" s="8" t="n"/>
      <c r="S750" s="8">
        <f>IF(B750="","",E750*F750)</f>
        <v/>
      </c>
      <c r="T750" s="8">
        <f>IF(OR(B750="",N(G750)=0),"",ABS(F750-G750)*E750)</f>
        <v/>
      </c>
      <c r="U750" s="8">
        <f>IF(OR(B750="",P750=""),"",IF(D750="Venda",-1,1)*((N(J750)*N(K750)+N(L750)*N(M750)+N(N750)*N(O750))-(N(J750)+N(L750)+N(N750))*F750)-N(Q750))</f>
        <v/>
      </c>
      <c r="V750" s="9">
        <f>IF(OR(B750="",P750=""),"",U750/S750)</f>
        <v/>
      </c>
      <c r="W750">
        <f>IF(OR(B750="",P750=""),"",NETWORKDAYS(C750,P750)-1)</f>
        <v/>
      </c>
      <c r="X750">
        <f>IF(B750="","",IF(P750="","Aberto","Fechado"))</f>
        <v/>
      </c>
    </row>
    <row r="751">
      <c r="C751" s="6" t="n"/>
      <c r="E751" s="7" t="n"/>
      <c r="F751" s="8" t="n"/>
      <c r="G751" s="8" t="n"/>
      <c r="H751" s="8" t="n"/>
      <c r="J751" s="7" t="n"/>
      <c r="K751" s="8" t="n"/>
      <c r="L751" s="7" t="n"/>
      <c r="M751" s="8" t="n"/>
      <c r="N751" s="7" t="n"/>
      <c r="O751" s="8" t="n"/>
      <c r="P751" s="6" t="n"/>
      <c r="Q751" s="8" t="n"/>
      <c r="S751" s="8">
        <f>IF(B751="","",E751*F751)</f>
        <v/>
      </c>
      <c r="T751" s="8">
        <f>IF(OR(B751="",N(G751)=0),"",ABS(F751-G751)*E751)</f>
        <v/>
      </c>
      <c r="U751" s="8">
        <f>IF(OR(B751="",P751=""),"",IF(D751="Venda",-1,1)*((N(J751)*N(K751)+N(L751)*N(M751)+N(N751)*N(O751))-(N(J751)+N(L751)+N(N751))*F751)-N(Q751))</f>
        <v/>
      </c>
      <c r="V751" s="9">
        <f>IF(OR(B751="",P751=""),"",U751/S751)</f>
        <v/>
      </c>
      <c r="W751">
        <f>IF(OR(B751="",P751=""),"",NETWORKDAYS(C751,P751)-1)</f>
        <v/>
      </c>
      <c r="X751">
        <f>IF(B751="","",IF(P751="","Aberto","Fechado"))</f>
        <v/>
      </c>
    </row>
    <row r="752">
      <c r="C752" s="6" t="n"/>
      <c r="E752" s="7" t="n"/>
      <c r="F752" s="8" t="n"/>
      <c r="G752" s="8" t="n"/>
      <c r="H752" s="8" t="n"/>
      <c r="J752" s="7" t="n"/>
      <c r="K752" s="8" t="n"/>
      <c r="L752" s="7" t="n"/>
      <c r="M752" s="8" t="n"/>
      <c r="N752" s="7" t="n"/>
      <c r="O752" s="8" t="n"/>
      <c r="P752" s="6" t="n"/>
      <c r="Q752" s="8" t="n"/>
      <c r="S752" s="8">
        <f>IF(B752="","",E752*F752)</f>
        <v/>
      </c>
      <c r="T752" s="8">
        <f>IF(OR(B752="",N(G752)=0),"",ABS(F752-G752)*E752)</f>
        <v/>
      </c>
      <c r="U752" s="8">
        <f>IF(OR(B752="",P752=""),"",IF(D752="Venda",-1,1)*((N(J752)*N(K752)+N(L752)*N(M752)+N(N752)*N(O752))-(N(J752)+N(L752)+N(N752))*F752)-N(Q752))</f>
        <v/>
      </c>
      <c r="V752" s="9">
        <f>IF(OR(B752="",P752=""),"",U752/S752)</f>
        <v/>
      </c>
      <c r="W752">
        <f>IF(OR(B752="",P752=""),"",NETWORKDAYS(C752,P752)-1)</f>
        <v/>
      </c>
      <c r="X752">
        <f>IF(B752="","",IF(P752="","Aberto","Fechado"))</f>
        <v/>
      </c>
    </row>
    <row r="753">
      <c r="C753" s="6" t="n"/>
      <c r="E753" s="7" t="n"/>
      <c r="F753" s="8" t="n"/>
      <c r="G753" s="8" t="n"/>
      <c r="H753" s="8" t="n"/>
      <c r="J753" s="7" t="n"/>
      <c r="K753" s="8" t="n"/>
      <c r="L753" s="7" t="n"/>
      <c r="M753" s="8" t="n"/>
      <c r="N753" s="7" t="n"/>
      <c r="O753" s="8" t="n"/>
      <c r="P753" s="6" t="n"/>
      <c r="Q753" s="8" t="n"/>
      <c r="S753" s="8">
        <f>IF(B753="","",E753*F753)</f>
        <v/>
      </c>
      <c r="T753" s="8">
        <f>IF(OR(B753="",N(G753)=0),"",ABS(F753-G753)*E753)</f>
        <v/>
      </c>
      <c r="U753" s="8">
        <f>IF(OR(B753="",P753=""),"",IF(D753="Venda",-1,1)*((N(J753)*N(K753)+N(L753)*N(M753)+N(N753)*N(O753))-(N(J753)+N(L753)+N(N753))*F753)-N(Q753))</f>
        <v/>
      </c>
      <c r="V753" s="9">
        <f>IF(OR(B753="",P753=""),"",U753/S753)</f>
        <v/>
      </c>
      <c r="W753">
        <f>IF(OR(B753="",P753=""),"",NETWORKDAYS(C753,P753)-1)</f>
        <v/>
      </c>
      <c r="X753">
        <f>IF(B753="","",IF(P753="","Aberto","Fechado"))</f>
        <v/>
      </c>
    </row>
    <row r="754">
      <c r="C754" s="6" t="n"/>
      <c r="E754" s="7" t="n"/>
      <c r="F754" s="8" t="n"/>
      <c r="G754" s="8" t="n"/>
      <c r="H754" s="8" t="n"/>
      <c r="J754" s="7" t="n"/>
      <c r="K754" s="8" t="n"/>
      <c r="L754" s="7" t="n"/>
      <c r="M754" s="8" t="n"/>
      <c r="N754" s="7" t="n"/>
      <c r="O754" s="8" t="n"/>
      <c r="P754" s="6" t="n"/>
      <c r="Q754" s="8" t="n"/>
      <c r="S754" s="8">
        <f>IF(B754="","",E754*F754)</f>
        <v/>
      </c>
      <c r="T754" s="8">
        <f>IF(OR(B754="",N(G754)=0),"",ABS(F754-G754)*E754)</f>
        <v/>
      </c>
      <c r="U754" s="8">
        <f>IF(OR(B754="",P754=""),"",IF(D754="Venda",-1,1)*((N(J754)*N(K754)+N(L754)*N(M754)+N(N754)*N(O754))-(N(J754)+N(L754)+N(N754))*F754)-N(Q754))</f>
        <v/>
      </c>
      <c r="V754" s="9">
        <f>IF(OR(B754="",P754=""),"",U754/S754)</f>
        <v/>
      </c>
      <c r="W754">
        <f>IF(OR(B754="",P754=""),"",NETWORKDAYS(C754,P754)-1)</f>
        <v/>
      </c>
      <c r="X754">
        <f>IF(B754="","",IF(P754="","Aberto","Fechado"))</f>
        <v/>
      </c>
    </row>
    <row r="755">
      <c r="C755" s="6" t="n"/>
      <c r="E755" s="7" t="n"/>
      <c r="F755" s="8" t="n"/>
      <c r="G755" s="8" t="n"/>
      <c r="H755" s="8" t="n"/>
      <c r="J755" s="7" t="n"/>
      <c r="K755" s="8" t="n"/>
      <c r="L755" s="7" t="n"/>
      <c r="M755" s="8" t="n"/>
      <c r="N755" s="7" t="n"/>
      <c r="O755" s="8" t="n"/>
      <c r="P755" s="6" t="n"/>
      <c r="Q755" s="8" t="n"/>
      <c r="S755" s="8">
        <f>IF(B755="","",E755*F755)</f>
        <v/>
      </c>
      <c r="T755" s="8">
        <f>IF(OR(B755="",N(G755)=0),"",ABS(F755-G755)*E755)</f>
        <v/>
      </c>
      <c r="U755" s="8">
        <f>IF(OR(B755="",P755=""),"",IF(D755="Venda",-1,1)*((N(J755)*N(K755)+N(L755)*N(M755)+N(N755)*N(O755))-(N(J755)+N(L755)+N(N755))*F755)-N(Q755))</f>
        <v/>
      </c>
      <c r="V755" s="9">
        <f>IF(OR(B755="",P755=""),"",U755/S755)</f>
        <v/>
      </c>
      <c r="W755">
        <f>IF(OR(B755="",P755=""),"",NETWORKDAYS(C755,P755)-1)</f>
        <v/>
      </c>
      <c r="X755">
        <f>IF(B755="","",IF(P755="","Aberto","Fechado"))</f>
        <v/>
      </c>
    </row>
    <row r="756">
      <c r="C756" s="6" t="n"/>
      <c r="E756" s="7" t="n"/>
      <c r="F756" s="8" t="n"/>
      <c r="G756" s="8" t="n"/>
      <c r="H756" s="8" t="n"/>
      <c r="J756" s="7" t="n"/>
      <c r="K756" s="8" t="n"/>
      <c r="L756" s="7" t="n"/>
      <c r="M756" s="8" t="n"/>
      <c r="N756" s="7" t="n"/>
      <c r="O756" s="8" t="n"/>
      <c r="P756" s="6" t="n"/>
      <c r="Q756" s="8" t="n"/>
      <c r="S756" s="8">
        <f>IF(B756="","",E756*F756)</f>
        <v/>
      </c>
      <c r="T756" s="8">
        <f>IF(OR(B756="",N(G756)=0),"",ABS(F756-G756)*E756)</f>
        <v/>
      </c>
      <c r="U756" s="8">
        <f>IF(OR(B756="",P756=""),"",IF(D756="Venda",-1,1)*((N(J756)*N(K756)+N(L756)*N(M756)+N(N756)*N(O756))-(N(J756)+N(L756)+N(N756))*F756)-N(Q756))</f>
        <v/>
      </c>
      <c r="V756" s="9">
        <f>IF(OR(B756="",P756=""),"",U756/S756)</f>
        <v/>
      </c>
      <c r="W756">
        <f>IF(OR(B756="",P756=""),"",NETWORKDAYS(C756,P756)-1)</f>
        <v/>
      </c>
      <c r="X756">
        <f>IF(B756="","",IF(P756="","Aberto","Fechado"))</f>
        <v/>
      </c>
    </row>
    <row r="757">
      <c r="C757" s="6" t="n"/>
      <c r="E757" s="7" t="n"/>
      <c r="F757" s="8" t="n"/>
      <c r="G757" s="8" t="n"/>
      <c r="H757" s="8" t="n"/>
      <c r="J757" s="7" t="n"/>
      <c r="K757" s="8" t="n"/>
      <c r="L757" s="7" t="n"/>
      <c r="M757" s="8" t="n"/>
      <c r="N757" s="7" t="n"/>
      <c r="O757" s="8" t="n"/>
      <c r="P757" s="6" t="n"/>
      <c r="Q757" s="8" t="n"/>
      <c r="S757" s="8">
        <f>IF(B757="","",E757*F757)</f>
        <v/>
      </c>
      <c r="T757" s="8">
        <f>IF(OR(B757="",N(G757)=0),"",ABS(F757-G757)*E757)</f>
        <v/>
      </c>
      <c r="U757" s="8">
        <f>IF(OR(B757="",P757=""),"",IF(D757="Venda",-1,1)*((N(J757)*N(K757)+N(L757)*N(M757)+N(N757)*N(O757))-(N(J757)+N(L757)+N(N757))*F757)-N(Q757))</f>
        <v/>
      </c>
      <c r="V757" s="9">
        <f>IF(OR(B757="",P757=""),"",U757/S757)</f>
        <v/>
      </c>
      <c r="W757">
        <f>IF(OR(B757="",P757=""),"",NETWORKDAYS(C757,P757)-1)</f>
        <v/>
      </c>
      <c r="X757">
        <f>IF(B757="","",IF(P757="","Aberto","Fechado"))</f>
        <v/>
      </c>
    </row>
    <row r="758">
      <c r="C758" s="6" t="n"/>
      <c r="E758" s="7" t="n"/>
      <c r="F758" s="8" t="n"/>
      <c r="G758" s="8" t="n"/>
      <c r="H758" s="8" t="n"/>
      <c r="J758" s="7" t="n"/>
      <c r="K758" s="8" t="n"/>
      <c r="L758" s="7" t="n"/>
      <c r="M758" s="8" t="n"/>
      <c r="N758" s="7" t="n"/>
      <c r="O758" s="8" t="n"/>
      <c r="P758" s="6" t="n"/>
      <c r="Q758" s="8" t="n"/>
      <c r="S758" s="8">
        <f>IF(B758="","",E758*F758)</f>
        <v/>
      </c>
      <c r="T758" s="8">
        <f>IF(OR(B758="",N(G758)=0),"",ABS(F758-G758)*E758)</f>
        <v/>
      </c>
      <c r="U758" s="8">
        <f>IF(OR(B758="",P758=""),"",IF(D758="Venda",-1,1)*((N(J758)*N(K758)+N(L758)*N(M758)+N(N758)*N(O758))-(N(J758)+N(L758)+N(N758))*F758)-N(Q758))</f>
        <v/>
      </c>
      <c r="V758" s="9">
        <f>IF(OR(B758="",P758=""),"",U758/S758)</f>
        <v/>
      </c>
      <c r="W758">
        <f>IF(OR(B758="",P758=""),"",NETWORKDAYS(C758,P758)-1)</f>
        <v/>
      </c>
      <c r="X758">
        <f>IF(B758="","",IF(P758="","Aberto","Fechado"))</f>
        <v/>
      </c>
    </row>
    <row r="759">
      <c r="C759" s="6" t="n"/>
      <c r="E759" s="7" t="n"/>
      <c r="F759" s="8" t="n"/>
      <c r="G759" s="8" t="n"/>
      <c r="H759" s="8" t="n"/>
      <c r="J759" s="7" t="n"/>
      <c r="K759" s="8" t="n"/>
      <c r="L759" s="7" t="n"/>
      <c r="M759" s="8" t="n"/>
      <c r="N759" s="7" t="n"/>
      <c r="O759" s="8" t="n"/>
      <c r="P759" s="6" t="n"/>
      <c r="Q759" s="8" t="n"/>
      <c r="S759" s="8">
        <f>IF(B759="","",E759*F759)</f>
        <v/>
      </c>
      <c r="T759" s="8">
        <f>IF(OR(B759="",N(G759)=0),"",ABS(F759-G759)*E759)</f>
        <v/>
      </c>
      <c r="U759" s="8">
        <f>IF(OR(B759="",P759=""),"",IF(D759="Venda",-1,1)*((N(J759)*N(K759)+N(L759)*N(M759)+N(N759)*N(O759))-(N(J759)+N(L759)+N(N759))*F759)-N(Q759))</f>
        <v/>
      </c>
      <c r="V759" s="9">
        <f>IF(OR(B759="",P759=""),"",U759/S759)</f>
        <v/>
      </c>
      <c r="W759">
        <f>IF(OR(B759="",P759=""),"",NETWORKDAYS(C759,P759)-1)</f>
        <v/>
      </c>
      <c r="X759">
        <f>IF(B759="","",IF(P759="","Aberto","Fechado"))</f>
        <v/>
      </c>
    </row>
    <row r="760">
      <c r="C760" s="6" t="n"/>
      <c r="E760" s="7" t="n"/>
      <c r="F760" s="8" t="n"/>
      <c r="G760" s="8" t="n"/>
      <c r="H760" s="8" t="n"/>
      <c r="J760" s="7" t="n"/>
      <c r="K760" s="8" t="n"/>
      <c r="L760" s="7" t="n"/>
      <c r="M760" s="8" t="n"/>
      <c r="N760" s="7" t="n"/>
      <c r="O760" s="8" t="n"/>
      <c r="P760" s="6" t="n"/>
      <c r="Q760" s="8" t="n"/>
      <c r="S760" s="8">
        <f>IF(B760="","",E760*F760)</f>
        <v/>
      </c>
      <c r="T760" s="8">
        <f>IF(OR(B760="",N(G760)=0),"",ABS(F760-G760)*E760)</f>
        <v/>
      </c>
      <c r="U760" s="8">
        <f>IF(OR(B760="",P760=""),"",IF(D760="Venda",-1,1)*((N(J760)*N(K760)+N(L760)*N(M760)+N(N760)*N(O760))-(N(J760)+N(L760)+N(N760))*F760)-N(Q760))</f>
        <v/>
      </c>
      <c r="V760" s="9">
        <f>IF(OR(B760="",P760=""),"",U760/S760)</f>
        <v/>
      </c>
      <c r="W760">
        <f>IF(OR(B760="",P760=""),"",NETWORKDAYS(C760,P760)-1)</f>
        <v/>
      </c>
      <c r="X760">
        <f>IF(B760="","",IF(P760="","Aberto","Fechado"))</f>
        <v/>
      </c>
    </row>
    <row r="761">
      <c r="C761" s="6" t="n"/>
      <c r="E761" s="7" t="n"/>
      <c r="F761" s="8" t="n"/>
      <c r="G761" s="8" t="n"/>
      <c r="H761" s="8" t="n"/>
      <c r="J761" s="7" t="n"/>
      <c r="K761" s="8" t="n"/>
      <c r="L761" s="7" t="n"/>
      <c r="M761" s="8" t="n"/>
      <c r="N761" s="7" t="n"/>
      <c r="O761" s="8" t="n"/>
      <c r="P761" s="6" t="n"/>
      <c r="Q761" s="8" t="n"/>
      <c r="S761" s="8">
        <f>IF(B761="","",E761*F761)</f>
        <v/>
      </c>
      <c r="T761" s="8">
        <f>IF(OR(B761="",N(G761)=0),"",ABS(F761-G761)*E761)</f>
        <v/>
      </c>
      <c r="U761" s="8">
        <f>IF(OR(B761="",P761=""),"",IF(D761="Venda",-1,1)*((N(J761)*N(K761)+N(L761)*N(M761)+N(N761)*N(O761))-(N(J761)+N(L761)+N(N761))*F761)-N(Q761))</f>
        <v/>
      </c>
      <c r="V761" s="9">
        <f>IF(OR(B761="",P761=""),"",U761/S761)</f>
        <v/>
      </c>
      <c r="W761">
        <f>IF(OR(B761="",P761=""),"",NETWORKDAYS(C761,P761)-1)</f>
        <v/>
      </c>
      <c r="X761">
        <f>IF(B761="","",IF(P761="","Aberto","Fechado"))</f>
        <v/>
      </c>
    </row>
    <row r="762">
      <c r="C762" s="6" t="n"/>
      <c r="E762" s="7" t="n"/>
      <c r="F762" s="8" t="n"/>
      <c r="G762" s="8" t="n"/>
      <c r="H762" s="8" t="n"/>
      <c r="J762" s="7" t="n"/>
      <c r="K762" s="8" t="n"/>
      <c r="L762" s="7" t="n"/>
      <c r="M762" s="8" t="n"/>
      <c r="N762" s="7" t="n"/>
      <c r="O762" s="8" t="n"/>
      <c r="P762" s="6" t="n"/>
      <c r="Q762" s="8" t="n"/>
      <c r="S762" s="8">
        <f>IF(B762="","",E762*F762)</f>
        <v/>
      </c>
      <c r="T762" s="8">
        <f>IF(OR(B762="",N(G762)=0),"",ABS(F762-G762)*E762)</f>
        <v/>
      </c>
      <c r="U762" s="8">
        <f>IF(OR(B762="",P762=""),"",IF(D762="Venda",-1,1)*((N(J762)*N(K762)+N(L762)*N(M762)+N(N762)*N(O762))-(N(J762)+N(L762)+N(N762))*F762)-N(Q762))</f>
        <v/>
      </c>
      <c r="V762" s="9">
        <f>IF(OR(B762="",P762=""),"",U762/S762)</f>
        <v/>
      </c>
      <c r="W762">
        <f>IF(OR(B762="",P762=""),"",NETWORKDAYS(C762,P762)-1)</f>
        <v/>
      </c>
      <c r="X762">
        <f>IF(B762="","",IF(P762="","Aberto","Fechado"))</f>
        <v/>
      </c>
    </row>
    <row r="763">
      <c r="C763" s="6" t="n"/>
      <c r="E763" s="7" t="n"/>
      <c r="F763" s="8" t="n"/>
      <c r="G763" s="8" t="n"/>
      <c r="H763" s="8" t="n"/>
      <c r="J763" s="7" t="n"/>
      <c r="K763" s="8" t="n"/>
      <c r="L763" s="7" t="n"/>
      <c r="M763" s="8" t="n"/>
      <c r="N763" s="7" t="n"/>
      <c r="O763" s="8" t="n"/>
      <c r="P763" s="6" t="n"/>
      <c r="Q763" s="8" t="n"/>
      <c r="S763" s="8">
        <f>IF(B763="","",E763*F763)</f>
        <v/>
      </c>
      <c r="T763" s="8">
        <f>IF(OR(B763="",N(G763)=0),"",ABS(F763-G763)*E763)</f>
        <v/>
      </c>
      <c r="U763" s="8">
        <f>IF(OR(B763="",P763=""),"",IF(D763="Venda",-1,1)*((N(J763)*N(K763)+N(L763)*N(M763)+N(N763)*N(O763))-(N(J763)+N(L763)+N(N763))*F763)-N(Q763))</f>
        <v/>
      </c>
      <c r="V763" s="9">
        <f>IF(OR(B763="",P763=""),"",U763/S763)</f>
        <v/>
      </c>
      <c r="W763">
        <f>IF(OR(B763="",P763=""),"",NETWORKDAYS(C763,P763)-1)</f>
        <v/>
      </c>
      <c r="X763">
        <f>IF(B763="","",IF(P763="","Aberto","Fechado"))</f>
        <v/>
      </c>
    </row>
    <row r="764">
      <c r="C764" s="6" t="n"/>
      <c r="E764" s="7" t="n"/>
      <c r="F764" s="8" t="n"/>
      <c r="G764" s="8" t="n"/>
      <c r="H764" s="8" t="n"/>
      <c r="J764" s="7" t="n"/>
      <c r="K764" s="8" t="n"/>
      <c r="L764" s="7" t="n"/>
      <c r="M764" s="8" t="n"/>
      <c r="N764" s="7" t="n"/>
      <c r="O764" s="8" t="n"/>
      <c r="P764" s="6" t="n"/>
      <c r="Q764" s="8" t="n"/>
      <c r="S764" s="8">
        <f>IF(B764="","",E764*F764)</f>
        <v/>
      </c>
      <c r="T764" s="8">
        <f>IF(OR(B764="",N(G764)=0),"",ABS(F764-G764)*E764)</f>
        <v/>
      </c>
      <c r="U764" s="8">
        <f>IF(OR(B764="",P764=""),"",IF(D764="Venda",-1,1)*((N(J764)*N(K764)+N(L764)*N(M764)+N(N764)*N(O764))-(N(J764)+N(L764)+N(N764))*F764)-N(Q764))</f>
        <v/>
      </c>
      <c r="V764" s="9">
        <f>IF(OR(B764="",P764=""),"",U764/S764)</f>
        <v/>
      </c>
      <c r="W764">
        <f>IF(OR(B764="",P764=""),"",NETWORKDAYS(C764,P764)-1)</f>
        <v/>
      </c>
      <c r="X764">
        <f>IF(B764="","",IF(P764="","Aberto","Fechado"))</f>
        <v/>
      </c>
    </row>
    <row r="765">
      <c r="C765" s="6" t="n"/>
      <c r="E765" s="7" t="n"/>
      <c r="F765" s="8" t="n"/>
      <c r="G765" s="8" t="n"/>
      <c r="H765" s="8" t="n"/>
      <c r="J765" s="7" t="n"/>
      <c r="K765" s="8" t="n"/>
      <c r="L765" s="7" t="n"/>
      <c r="M765" s="8" t="n"/>
      <c r="N765" s="7" t="n"/>
      <c r="O765" s="8" t="n"/>
      <c r="P765" s="6" t="n"/>
      <c r="Q765" s="8" t="n"/>
      <c r="S765" s="8">
        <f>IF(B765="","",E765*F765)</f>
        <v/>
      </c>
      <c r="T765" s="8">
        <f>IF(OR(B765="",N(G765)=0),"",ABS(F765-G765)*E765)</f>
        <v/>
      </c>
      <c r="U765" s="8">
        <f>IF(OR(B765="",P765=""),"",IF(D765="Venda",-1,1)*((N(J765)*N(K765)+N(L765)*N(M765)+N(N765)*N(O765))-(N(J765)+N(L765)+N(N765))*F765)-N(Q765))</f>
        <v/>
      </c>
      <c r="V765" s="9">
        <f>IF(OR(B765="",P765=""),"",U765/S765)</f>
        <v/>
      </c>
      <c r="W765">
        <f>IF(OR(B765="",P765=""),"",NETWORKDAYS(C765,P765)-1)</f>
        <v/>
      </c>
      <c r="X765">
        <f>IF(B765="","",IF(P765="","Aberto","Fechado"))</f>
        <v/>
      </c>
    </row>
    <row r="766">
      <c r="C766" s="6" t="n"/>
      <c r="E766" s="7" t="n"/>
      <c r="F766" s="8" t="n"/>
      <c r="G766" s="8" t="n"/>
      <c r="H766" s="8" t="n"/>
      <c r="J766" s="7" t="n"/>
      <c r="K766" s="8" t="n"/>
      <c r="L766" s="7" t="n"/>
      <c r="M766" s="8" t="n"/>
      <c r="N766" s="7" t="n"/>
      <c r="O766" s="8" t="n"/>
      <c r="P766" s="6" t="n"/>
      <c r="Q766" s="8" t="n"/>
      <c r="S766" s="8">
        <f>IF(B766="","",E766*F766)</f>
        <v/>
      </c>
      <c r="T766" s="8">
        <f>IF(OR(B766="",N(G766)=0),"",ABS(F766-G766)*E766)</f>
        <v/>
      </c>
      <c r="U766" s="8">
        <f>IF(OR(B766="",P766=""),"",IF(D766="Venda",-1,1)*((N(J766)*N(K766)+N(L766)*N(M766)+N(N766)*N(O766))-(N(J766)+N(L766)+N(N766))*F766)-N(Q766))</f>
        <v/>
      </c>
      <c r="V766" s="9">
        <f>IF(OR(B766="",P766=""),"",U766/S766)</f>
        <v/>
      </c>
      <c r="W766">
        <f>IF(OR(B766="",P766=""),"",NETWORKDAYS(C766,P766)-1)</f>
        <v/>
      </c>
      <c r="X766">
        <f>IF(B766="","",IF(P766="","Aberto","Fechado"))</f>
        <v/>
      </c>
    </row>
    <row r="767">
      <c r="C767" s="6" t="n"/>
      <c r="E767" s="7" t="n"/>
      <c r="F767" s="8" t="n"/>
      <c r="G767" s="8" t="n"/>
      <c r="H767" s="8" t="n"/>
      <c r="J767" s="7" t="n"/>
      <c r="K767" s="8" t="n"/>
      <c r="L767" s="7" t="n"/>
      <c r="M767" s="8" t="n"/>
      <c r="N767" s="7" t="n"/>
      <c r="O767" s="8" t="n"/>
      <c r="P767" s="6" t="n"/>
      <c r="Q767" s="8" t="n"/>
      <c r="S767" s="8">
        <f>IF(B767="","",E767*F767)</f>
        <v/>
      </c>
      <c r="T767" s="8">
        <f>IF(OR(B767="",N(G767)=0),"",ABS(F767-G767)*E767)</f>
        <v/>
      </c>
      <c r="U767" s="8">
        <f>IF(OR(B767="",P767=""),"",IF(D767="Venda",-1,1)*((N(J767)*N(K767)+N(L767)*N(M767)+N(N767)*N(O767))-(N(J767)+N(L767)+N(N767))*F767)-N(Q767))</f>
        <v/>
      </c>
      <c r="V767" s="9">
        <f>IF(OR(B767="",P767=""),"",U767/S767)</f>
        <v/>
      </c>
      <c r="W767">
        <f>IF(OR(B767="",P767=""),"",NETWORKDAYS(C767,P767)-1)</f>
        <v/>
      </c>
      <c r="X767">
        <f>IF(B767="","",IF(P767="","Aberto","Fechado"))</f>
        <v/>
      </c>
    </row>
    <row r="768">
      <c r="C768" s="6" t="n"/>
      <c r="E768" s="7" t="n"/>
      <c r="F768" s="8" t="n"/>
      <c r="G768" s="8" t="n"/>
      <c r="H768" s="8" t="n"/>
      <c r="J768" s="7" t="n"/>
      <c r="K768" s="8" t="n"/>
      <c r="L768" s="7" t="n"/>
      <c r="M768" s="8" t="n"/>
      <c r="N768" s="7" t="n"/>
      <c r="O768" s="8" t="n"/>
      <c r="P768" s="6" t="n"/>
      <c r="Q768" s="8" t="n"/>
      <c r="S768" s="8">
        <f>IF(B768="","",E768*F768)</f>
        <v/>
      </c>
      <c r="T768" s="8">
        <f>IF(OR(B768="",N(G768)=0),"",ABS(F768-G768)*E768)</f>
        <v/>
      </c>
      <c r="U768" s="8">
        <f>IF(OR(B768="",P768=""),"",IF(D768="Venda",-1,1)*((N(J768)*N(K768)+N(L768)*N(M768)+N(N768)*N(O768))-(N(J768)+N(L768)+N(N768))*F768)-N(Q768))</f>
        <v/>
      </c>
      <c r="V768" s="9">
        <f>IF(OR(B768="",P768=""),"",U768/S768)</f>
        <v/>
      </c>
      <c r="W768">
        <f>IF(OR(B768="",P768=""),"",NETWORKDAYS(C768,P768)-1)</f>
        <v/>
      </c>
      <c r="X768">
        <f>IF(B768="","",IF(P768="","Aberto","Fechado"))</f>
        <v/>
      </c>
    </row>
    <row r="769">
      <c r="C769" s="6" t="n"/>
      <c r="E769" s="7" t="n"/>
      <c r="F769" s="8" t="n"/>
      <c r="G769" s="8" t="n"/>
      <c r="H769" s="8" t="n"/>
      <c r="J769" s="7" t="n"/>
      <c r="K769" s="8" t="n"/>
      <c r="L769" s="7" t="n"/>
      <c r="M769" s="8" t="n"/>
      <c r="N769" s="7" t="n"/>
      <c r="O769" s="8" t="n"/>
      <c r="P769" s="6" t="n"/>
      <c r="Q769" s="8" t="n"/>
      <c r="S769" s="8">
        <f>IF(B769="","",E769*F769)</f>
        <v/>
      </c>
      <c r="T769" s="8">
        <f>IF(OR(B769="",N(G769)=0),"",ABS(F769-G769)*E769)</f>
        <v/>
      </c>
      <c r="U769" s="8">
        <f>IF(OR(B769="",P769=""),"",IF(D769="Venda",-1,1)*((N(J769)*N(K769)+N(L769)*N(M769)+N(N769)*N(O769))-(N(J769)+N(L769)+N(N769))*F769)-N(Q769))</f>
        <v/>
      </c>
      <c r="V769" s="9">
        <f>IF(OR(B769="",P769=""),"",U769/S769)</f>
        <v/>
      </c>
      <c r="W769">
        <f>IF(OR(B769="",P769=""),"",NETWORKDAYS(C769,P769)-1)</f>
        <v/>
      </c>
      <c r="X769">
        <f>IF(B769="","",IF(P769="","Aberto","Fechado"))</f>
        <v/>
      </c>
    </row>
    <row r="770">
      <c r="C770" s="6" t="n"/>
      <c r="E770" s="7" t="n"/>
      <c r="F770" s="8" t="n"/>
      <c r="G770" s="8" t="n"/>
      <c r="H770" s="8" t="n"/>
      <c r="J770" s="7" t="n"/>
      <c r="K770" s="8" t="n"/>
      <c r="L770" s="7" t="n"/>
      <c r="M770" s="8" t="n"/>
      <c r="N770" s="7" t="n"/>
      <c r="O770" s="8" t="n"/>
      <c r="P770" s="6" t="n"/>
      <c r="Q770" s="8" t="n"/>
      <c r="S770" s="8">
        <f>IF(B770="","",E770*F770)</f>
        <v/>
      </c>
      <c r="T770" s="8">
        <f>IF(OR(B770="",N(G770)=0),"",ABS(F770-G770)*E770)</f>
        <v/>
      </c>
      <c r="U770" s="8">
        <f>IF(OR(B770="",P770=""),"",IF(D770="Venda",-1,1)*((N(J770)*N(K770)+N(L770)*N(M770)+N(N770)*N(O770))-(N(J770)+N(L770)+N(N770))*F770)-N(Q770))</f>
        <v/>
      </c>
      <c r="V770" s="9">
        <f>IF(OR(B770="",P770=""),"",U770/S770)</f>
        <v/>
      </c>
      <c r="W770">
        <f>IF(OR(B770="",P770=""),"",NETWORKDAYS(C770,P770)-1)</f>
        <v/>
      </c>
      <c r="X770">
        <f>IF(B770="","",IF(P770="","Aberto","Fechado"))</f>
        <v/>
      </c>
    </row>
    <row r="771">
      <c r="C771" s="6" t="n"/>
      <c r="E771" s="7" t="n"/>
      <c r="F771" s="8" t="n"/>
      <c r="G771" s="8" t="n"/>
      <c r="H771" s="8" t="n"/>
      <c r="J771" s="7" t="n"/>
      <c r="K771" s="8" t="n"/>
      <c r="L771" s="7" t="n"/>
      <c r="M771" s="8" t="n"/>
      <c r="N771" s="7" t="n"/>
      <c r="O771" s="8" t="n"/>
      <c r="P771" s="6" t="n"/>
      <c r="Q771" s="8" t="n"/>
      <c r="S771" s="8">
        <f>IF(B771="","",E771*F771)</f>
        <v/>
      </c>
      <c r="T771" s="8">
        <f>IF(OR(B771="",N(G771)=0),"",ABS(F771-G771)*E771)</f>
        <v/>
      </c>
      <c r="U771" s="8">
        <f>IF(OR(B771="",P771=""),"",IF(D771="Venda",-1,1)*((N(J771)*N(K771)+N(L771)*N(M771)+N(N771)*N(O771))-(N(J771)+N(L771)+N(N771))*F771)-N(Q771))</f>
        <v/>
      </c>
      <c r="V771" s="9">
        <f>IF(OR(B771="",P771=""),"",U771/S771)</f>
        <v/>
      </c>
      <c r="W771">
        <f>IF(OR(B771="",P771=""),"",NETWORKDAYS(C771,P771)-1)</f>
        <v/>
      </c>
      <c r="X771">
        <f>IF(B771="","",IF(P771="","Aberto","Fechado"))</f>
        <v/>
      </c>
    </row>
    <row r="772">
      <c r="C772" s="6" t="n"/>
      <c r="E772" s="7" t="n"/>
      <c r="F772" s="8" t="n"/>
      <c r="G772" s="8" t="n"/>
      <c r="H772" s="8" t="n"/>
      <c r="J772" s="7" t="n"/>
      <c r="K772" s="8" t="n"/>
      <c r="L772" s="7" t="n"/>
      <c r="M772" s="8" t="n"/>
      <c r="N772" s="7" t="n"/>
      <c r="O772" s="8" t="n"/>
      <c r="P772" s="6" t="n"/>
      <c r="Q772" s="8" t="n"/>
      <c r="S772" s="8">
        <f>IF(B772="","",E772*F772)</f>
        <v/>
      </c>
      <c r="T772" s="8">
        <f>IF(OR(B772="",N(G772)=0),"",ABS(F772-G772)*E772)</f>
        <v/>
      </c>
      <c r="U772" s="8">
        <f>IF(OR(B772="",P772=""),"",IF(D772="Venda",-1,1)*((N(J772)*N(K772)+N(L772)*N(M772)+N(N772)*N(O772))-(N(J772)+N(L772)+N(N772))*F772)-N(Q772))</f>
        <v/>
      </c>
      <c r="V772" s="9">
        <f>IF(OR(B772="",P772=""),"",U772/S772)</f>
        <v/>
      </c>
      <c r="W772">
        <f>IF(OR(B772="",P772=""),"",NETWORKDAYS(C772,P772)-1)</f>
        <v/>
      </c>
      <c r="X772">
        <f>IF(B772="","",IF(P772="","Aberto","Fechado"))</f>
        <v/>
      </c>
    </row>
    <row r="773">
      <c r="C773" s="6" t="n"/>
      <c r="E773" s="7" t="n"/>
      <c r="F773" s="8" t="n"/>
      <c r="G773" s="8" t="n"/>
      <c r="H773" s="8" t="n"/>
      <c r="J773" s="7" t="n"/>
      <c r="K773" s="8" t="n"/>
      <c r="L773" s="7" t="n"/>
      <c r="M773" s="8" t="n"/>
      <c r="N773" s="7" t="n"/>
      <c r="O773" s="8" t="n"/>
      <c r="P773" s="6" t="n"/>
      <c r="Q773" s="8" t="n"/>
      <c r="S773" s="8">
        <f>IF(B773="","",E773*F773)</f>
        <v/>
      </c>
      <c r="T773" s="8">
        <f>IF(OR(B773="",N(G773)=0),"",ABS(F773-G773)*E773)</f>
        <v/>
      </c>
      <c r="U773" s="8">
        <f>IF(OR(B773="",P773=""),"",IF(D773="Venda",-1,1)*((N(J773)*N(K773)+N(L773)*N(M773)+N(N773)*N(O773))-(N(J773)+N(L773)+N(N773))*F773)-N(Q773))</f>
        <v/>
      </c>
      <c r="V773" s="9">
        <f>IF(OR(B773="",P773=""),"",U773/S773)</f>
        <v/>
      </c>
      <c r="W773">
        <f>IF(OR(B773="",P773=""),"",NETWORKDAYS(C773,P773)-1)</f>
        <v/>
      </c>
      <c r="X773">
        <f>IF(B773="","",IF(P773="","Aberto","Fechado"))</f>
        <v/>
      </c>
    </row>
    <row r="774">
      <c r="C774" s="6" t="n"/>
      <c r="E774" s="7" t="n"/>
      <c r="F774" s="8" t="n"/>
      <c r="G774" s="8" t="n"/>
      <c r="H774" s="8" t="n"/>
      <c r="J774" s="7" t="n"/>
      <c r="K774" s="8" t="n"/>
      <c r="L774" s="7" t="n"/>
      <c r="M774" s="8" t="n"/>
      <c r="N774" s="7" t="n"/>
      <c r="O774" s="8" t="n"/>
      <c r="P774" s="6" t="n"/>
      <c r="Q774" s="8" t="n"/>
      <c r="S774" s="8">
        <f>IF(B774="","",E774*F774)</f>
        <v/>
      </c>
      <c r="T774" s="8">
        <f>IF(OR(B774="",N(G774)=0),"",ABS(F774-G774)*E774)</f>
        <v/>
      </c>
      <c r="U774" s="8">
        <f>IF(OR(B774="",P774=""),"",IF(D774="Venda",-1,1)*((N(J774)*N(K774)+N(L774)*N(M774)+N(N774)*N(O774))-(N(J774)+N(L774)+N(N774))*F774)-N(Q774))</f>
        <v/>
      </c>
      <c r="V774" s="9">
        <f>IF(OR(B774="",P774=""),"",U774/S774)</f>
        <v/>
      </c>
      <c r="W774">
        <f>IF(OR(B774="",P774=""),"",NETWORKDAYS(C774,P774)-1)</f>
        <v/>
      </c>
      <c r="X774">
        <f>IF(B774="","",IF(P774="","Aberto","Fechado"))</f>
        <v/>
      </c>
    </row>
    <row r="775">
      <c r="C775" s="6" t="n"/>
      <c r="E775" s="7" t="n"/>
      <c r="F775" s="8" t="n"/>
      <c r="G775" s="8" t="n"/>
      <c r="H775" s="8" t="n"/>
      <c r="J775" s="7" t="n"/>
      <c r="K775" s="8" t="n"/>
      <c r="L775" s="7" t="n"/>
      <c r="M775" s="8" t="n"/>
      <c r="N775" s="7" t="n"/>
      <c r="O775" s="8" t="n"/>
      <c r="P775" s="6" t="n"/>
      <c r="Q775" s="8" t="n"/>
      <c r="S775" s="8">
        <f>IF(B775="","",E775*F775)</f>
        <v/>
      </c>
      <c r="T775" s="8">
        <f>IF(OR(B775="",N(G775)=0),"",ABS(F775-G775)*E775)</f>
        <v/>
      </c>
      <c r="U775" s="8">
        <f>IF(OR(B775="",P775=""),"",IF(D775="Venda",-1,1)*((N(J775)*N(K775)+N(L775)*N(M775)+N(N775)*N(O775))-(N(J775)+N(L775)+N(N775))*F775)-N(Q775))</f>
        <v/>
      </c>
      <c r="V775" s="9">
        <f>IF(OR(B775="",P775=""),"",U775/S775)</f>
        <v/>
      </c>
      <c r="W775">
        <f>IF(OR(B775="",P775=""),"",NETWORKDAYS(C775,P775)-1)</f>
        <v/>
      </c>
      <c r="X775">
        <f>IF(B775="","",IF(P775="","Aberto","Fechado"))</f>
        <v/>
      </c>
    </row>
    <row r="776">
      <c r="C776" s="6" t="n"/>
      <c r="E776" s="7" t="n"/>
      <c r="F776" s="8" t="n"/>
      <c r="G776" s="8" t="n"/>
      <c r="H776" s="8" t="n"/>
      <c r="J776" s="7" t="n"/>
      <c r="K776" s="8" t="n"/>
      <c r="L776" s="7" t="n"/>
      <c r="M776" s="8" t="n"/>
      <c r="N776" s="7" t="n"/>
      <c r="O776" s="8" t="n"/>
      <c r="P776" s="6" t="n"/>
      <c r="Q776" s="8" t="n"/>
      <c r="S776" s="8">
        <f>IF(B776="","",E776*F776)</f>
        <v/>
      </c>
      <c r="T776" s="8">
        <f>IF(OR(B776="",N(G776)=0),"",ABS(F776-G776)*E776)</f>
        <v/>
      </c>
      <c r="U776" s="8">
        <f>IF(OR(B776="",P776=""),"",IF(D776="Venda",-1,1)*((N(J776)*N(K776)+N(L776)*N(M776)+N(N776)*N(O776))-(N(J776)+N(L776)+N(N776))*F776)-N(Q776))</f>
        <v/>
      </c>
      <c r="V776" s="9">
        <f>IF(OR(B776="",P776=""),"",U776/S776)</f>
        <v/>
      </c>
      <c r="W776">
        <f>IF(OR(B776="",P776=""),"",NETWORKDAYS(C776,P776)-1)</f>
        <v/>
      </c>
      <c r="X776">
        <f>IF(B776="","",IF(P776="","Aberto","Fechado"))</f>
        <v/>
      </c>
    </row>
    <row r="777">
      <c r="C777" s="6" t="n"/>
      <c r="E777" s="7" t="n"/>
      <c r="F777" s="8" t="n"/>
      <c r="G777" s="8" t="n"/>
      <c r="H777" s="8" t="n"/>
      <c r="J777" s="7" t="n"/>
      <c r="K777" s="8" t="n"/>
      <c r="L777" s="7" t="n"/>
      <c r="M777" s="8" t="n"/>
      <c r="N777" s="7" t="n"/>
      <c r="O777" s="8" t="n"/>
      <c r="P777" s="6" t="n"/>
      <c r="Q777" s="8" t="n"/>
      <c r="S777" s="8">
        <f>IF(B777="","",E777*F777)</f>
        <v/>
      </c>
      <c r="T777" s="8">
        <f>IF(OR(B777="",N(G777)=0),"",ABS(F777-G777)*E777)</f>
        <v/>
      </c>
      <c r="U777" s="8">
        <f>IF(OR(B777="",P777=""),"",IF(D777="Venda",-1,1)*((N(J777)*N(K777)+N(L777)*N(M777)+N(N777)*N(O777))-(N(J777)+N(L777)+N(N777))*F777)-N(Q777))</f>
        <v/>
      </c>
      <c r="V777" s="9">
        <f>IF(OR(B777="",P777=""),"",U777/S777)</f>
        <v/>
      </c>
      <c r="W777">
        <f>IF(OR(B777="",P777=""),"",NETWORKDAYS(C777,P777)-1)</f>
        <v/>
      </c>
      <c r="X777">
        <f>IF(B777="","",IF(P777="","Aberto","Fechado"))</f>
        <v/>
      </c>
    </row>
    <row r="778">
      <c r="C778" s="6" t="n"/>
      <c r="E778" s="7" t="n"/>
      <c r="F778" s="8" t="n"/>
      <c r="G778" s="8" t="n"/>
      <c r="H778" s="8" t="n"/>
      <c r="J778" s="7" t="n"/>
      <c r="K778" s="8" t="n"/>
      <c r="L778" s="7" t="n"/>
      <c r="M778" s="8" t="n"/>
      <c r="N778" s="7" t="n"/>
      <c r="O778" s="8" t="n"/>
      <c r="P778" s="6" t="n"/>
      <c r="Q778" s="8" t="n"/>
      <c r="S778" s="8">
        <f>IF(B778="","",E778*F778)</f>
        <v/>
      </c>
      <c r="T778" s="8">
        <f>IF(OR(B778="",N(G778)=0),"",ABS(F778-G778)*E778)</f>
        <v/>
      </c>
      <c r="U778" s="8">
        <f>IF(OR(B778="",P778=""),"",IF(D778="Venda",-1,1)*((N(J778)*N(K778)+N(L778)*N(M778)+N(N778)*N(O778))-(N(J778)+N(L778)+N(N778))*F778)-N(Q778))</f>
        <v/>
      </c>
      <c r="V778" s="9">
        <f>IF(OR(B778="",P778=""),"",U778/S778)</f>
        <v/>
      </c>
      <c r="W778">
        <f>IF(OR(B778="",P778=""),"",NETWORKDAYS(C778,P778)-1)</f>
        <v/>
      </c>
      <c r="X778">
        <f>IF(B778="","",IF(P778="","Aberto","Fechado"))</f>
        <v/>
      </c>
    </row>
    <row r="779">
      <c r="C779" s="6" t="n"/>
      <c r="E779" s="7" t="n"/>
      <c r="F779" s="8" t="n"/>
      <c r="G779" s="8" t="n"/>
      <c r="H779" s="8" t="n"/>
      <c r="J779" s="7" t="n"/>
      <c r="K779" s="8" t="n"/>
      <c r="L779" s="7" t="n"/>
      <c r="M779" s="8" t="n"/>
      <c r="N779" s="7" t="n"/>
      <c r="O779" s="8" t="n"/>
      <c r="P779" s="6" t="n"/>
      <c r="Q779" s="8" t="n"/>
      <c r="S779" s="8">
        <f>IF(B779="","",E779*F779)</f>
        <v/>
      </c>
      <c r="T779" s="8">
        <f>IF(OR(B779="",N(G779)=0),"",ABS(F779-G779)*E779)</f>
        <v/>
      </c>
      <c r="U779" s="8">
        <f>IF(OR(B779="",P779=""),"",IF(D779="Venda",-1,1)*((N(J779)*N(K779)+N(L779)*N(M779)+N(N779)*N(O779))-(N(J779)+N(L779)+N(N779))*F779)-N(Q779))</f>
        <v/>
      </c>
      <c r="V779" s="9">
        <f>IF(OR(B779="",P779=""),"",U779/S779)</f>
        <v/>
      </c>
      <c r="W779">
        <f>IF(OR(B779="",P779=""),"",NETWORKDAYS(C779,P779)-1)</f>
        <v/>
      </c>
      <c r="X779">
        <f>IF(B779="","",IF(P779="","Aberto","Fechado"))</f>
        <v/>
      </c>
    </row>
    <row r="780">
      <c r="C780" s="6" t="n"/>
      <c r="E780" s="7" t="n"/>
      <c r="F780" s="8" t="n"/>
      <c r="G780" s="8" t="n"/>
      <c r="H780" s="8" t="n"/>
      <c r="J780" s="7" t="n"/>
      <c r="K780" s="8" t="n"/>
      <c r="L780" s="7" t="n"/>
      <c r="M780" s="8" t="n"/>
      <c r="N780" s="7" t="n"/>
      <c r="O780" s="8" t="n"/>
      <c r="P780" s="6" t="n"/>
      <c r="Q780" s="8" t="n"/>
      <c r="S780" s="8">
        <f>IF(B780="","",E780*F780)</f>
        <v/>
      </c>
      <c r="T780" s="8">
        <f>IF(OR(B780="",N(G780)=0),"",ABS(F780-G780)*E780)</f>
        <v/>
      </c>
      <c r="U780" s="8">
        <f>IF(OR(B780="",P780=""),"",IF(D780="Venda",-1,1)*((N(J780)*N(K780)+N(L780)*N(M780)+N(N780)*N(O780))-(N(J780)+N(L780)+N(N780))*F780)-N(Q780))</f>
        <v/>
      </c>
      <c r="V780" s="9">
        <f>IF(OR(B780="",P780=""),"",U780/S780)</f>
        <v/>
      </c>
      <c r="W780">
        <f>IF(OR(B780="",P780=""),"",NETWORKDAYS(C780,P780)-1)</f>
        <v/>
      </c>
      <c r="X780">
        <f>IF(B780="","",IF(P780="","Aberto","Fechado"))</f>
        <v/>
      </c>
    </row>
    <row r="781">
      <c r="C781" s="6" t="n"/>
      <c r="E781" s="7" t="n"/>
      <c r="F781" s="8" t="n"/>
      <c r="G781" s="8" t="n"/>
      <c r="H781" s="8" t="n"/>
      <c r="J781" s="7" t="n"/>
      <c r="K781" s="8" t="n"/>
      <c r="L781" s="7" t="n"/>
      <c r="M781" s="8" t="n"/>
      <c r="N781" s="7" t="n"/>
      <c r="O781" s="8" t="n"/>
      <c r="P781" s="6" t="n"/>
      <c r="Q781" s="8" t="n"/>
      <c r="S781" s="8">
        <f>IF(B781="","",E781*F781)</f>
        <v/>
      </c>
      <c r="T781" s="8">
        <f>IF(OR(B781="",N(G781)=0),"",ABS(F781-G781)*E781)</f>
        <v/>
      </c>
      <c r="U781" s="8">
        <f>IF(OR(B781="",P781=""),"",IF(D781="Venda",-1,1)*((N(J781)*N(K781)+N(L781)*N(M781)+N(N781)*N(O781))-(N(J781)+N(L781)+N(N781))*F781)-N(Q781))</f>
        <v/>
      </c>
      <c r="V781" s="9">
        <f>IF(OR(B781="",P781=""),"",U781/S781)</f>
        <v/>
      </c>
      <c r="W781">
        <f>IF(OR(B781="",P781=""),"",NETWORKDAYS(C781,P781)-1)</f>
        <v/>
      </c>
      <c r="X781">
        <f>IF(B781="","",IF(P781="","Aberto","Fechado"))</f>
        <v/>
      </c>
    </row>
    <row r="782">
      <c r="C782" s="6" t="n"/>
      <c r="E782" s="7" t="n"/>
      <c r="F782" s="8" t="n"/>
      <c r="G782" s="8" t="n"/>
      <c r="H782" s="8" t="n"/>
      <c r="J782" s="7" t="n"/>
      <c r="K782" s="8" t="n"/>
      <c r="L782" s="7" t="n"/>
      <c r="M782" s="8" t="n"/>
      <c r="N782" s="7" t="n"/>
      <c r="O782" s="8" t="n"/>
      <c r="P782" s="6" t="n"/>
      <c r="Q782" s="8" t="n"/>
      <c r="S782" s="8">
        <f>IF(B782="","",E782*F782)</f>
        <v/>
      </c>
      <c r="T782" s="8">
        <f>IF(OR(B782="",N(G782)=0),"",ABS(F782-G782)*E782)</f>
        <v/>
      </c>
      <c r="U782" s="8">
        <f>IF(OR(B782="",P782=""),"",IF(D782="Venda",-1,1)*((N(J782)*N(K782)+N(L782)*N(M782)+N(N782)*N(O782))-(N(J782)+N(L782)+N(N782))*F782)-N(Q782))</f>
        <v/>
      </c>
      <c r="V782" s="9">
        <f>IF(OR(B782="",P782=""),"",U782/S782)</f>
        <v/>
      </c>
      <c r="W782">
        <f>IF(OR(B782="",P782=""),"",NETWORKDAYS(C782,P782)-1)</f>
        <v/>
      </c>
      <c r="X782">
        <f>IF(B782="","",IF(P782="","Aberto","Fechado"))</f>
        <v/>
      </c>
    </row>
    <row r="783">
      <c r="C783" s="6" t="n"/>
      <c r="E783" s="7" t="n"/>
      <c r="F783" s="8" t="n"/>
      <c r="G783" s="8" t="n"/>
      <c r="H783" s="8" t="n"/>
      <c r="J783" s="7" t="n"/>
      <c r="K783" s="8" t="n"/>
      <c r="L783" s="7" t="n"/>
      <c r="M783" s="8" t="n"/>
      <c r="N783" s="7" t="n"/>
      <c r="O783" s="8" t="n"/>
      <c r="P783" s="6" t="n"/>
      <c r="Q783" s="8" t="n"/>
      <c r="S783" s="8">
        <f>IF(B783="","",E783*F783)</f>
        <v/>
      </c>
      <c r="T783" s="8">
        <f>IF(OR(B783="",N(G783)=0),"",ABS(F783-G783)*E783)</f>
        <v/>
      </c>
      <c r="U783" s="8">
        <f>IF(OR(B783="",P783=""),"",IF(D783="Venda",-1,1)*((N(J783)*N(K783)+N(L783)*N(M783)+N(N783)*N(O783))-(N(J783)+N(L783)+N(N783))*F783)-N(Q783))</f>
        <v/>
      </c>
      <c r="V783" s="9">
        <f>IF(OR(B783="",P783=""),"",U783/S783)</f>
        <v/>
      </c>
      <c r="W783">
        <f>IF(OR(B783="",P783=""),"",NETWORKDAYS(C783,P783)-1)</f>
        <v/>
      </c>
      <c r="X783">
        <f>IF(B783="","",IF(P783="","Aberto","Fechado"))</f>
        <v/>
      </c>
    </row>
    <row r="784">
      <c r="C784" s="6" t="n"/>
      <c r="E784" s="7" t="n"/>
      <c r="F784" s="8" t="n"/>
      <c r="G784" s="8" t="n"/>
      <c r="H784" s="8" t="n"/>
      <c r="J784" s="7" t="n"/>
      <c r="K784" s="8" t="n"/>
      <c r="L784" s="7" t="n"/>
      <c r="M784" s="8" t="n"/>
      <c r="N784" s="7" t="n"/>
      <c r="O784" s="8" t="n"/>
      <c r="P784" s="6" t="n"/>
      <c r="Q784" s="8" t="n"/>
      <c r="S784" s="8">
        <f>IF(B784="","",E784*F784)</f>
        <v/>
      </c>
      <c r="T784" s="8">
        <f>IF(OR(B784="",N(G784)=0),"",ABS(F784-G784)*E784)</f>
        <v/>
      </c>
      <c r="U784" s="8">
        <f>IF(OR(B784="",P784=""),"",IF(D784="Venda",-1,1)*((N(J784)*N(K784)+N(L784)*N(M784)+N(N784)*N(O784))-(N(J784)+N(L784)+N(N784))*F784)-N(Q784))</f>
        <v/>
      </c>
      <c r="V784" s="9">
        <f>IF(OR(B784="",P784=""),"",U784/S784)</f>
        <v/>
      </c>
      <c r="W784">
        <f>IF(OR(B784="",P784=""),"",NETWORKDAYS(C784,P784)-1)</f>
        <v/>
      </c>
      <c r="X784">
        <f>IF(B784="","",IF(P784="","Aberto","Fechado"))</f>
        <v/>
      </c>
    </row>
    <row r="785">
      <c r="C785" s="6" t="n"/>
      <c r="E785" s="7" t="n"/>
      <c r="F785" s="8" t="n"/>
      <c r="G785" s="8" t="n"/>
      <c r="H785" s="8" t="n"/>
      <c r="J785" s="7" t="n"/>
      <c r="K785" s="8" t="n"/>
      <c r="L785" s="7" t="n"/>
      <c r="M785" s="8" t="n"/>
      <c r="N785" s="7" t="n"/>
      <c r="O785" s="8" t="n"/>
      <c r="P785" s="6" t="n"/>
      <c r="Q785" s="8" t="n"/>
      <c r="S785" s="8">
        <f>IF(B785="","",E785*F785)</f>
        <v/>
      </c>
      <c r="T785" s="8">
        <f>IF(OR(B785="",N(G785)=0),"",ABS(F785-G785)*E785)</f>
        <v/>
      </c>
      <c r="U785" s="8">
        <f>IF(OR(B785="",P785=""),"",IF(D785="Venda",-1,1)*((N(J785)*N(K785)+N(L785)*N(M785)+N(N785)*N(O785))-(N(J785)+N(L785)+N(N785))*F785)-N(Q785))</f>
        <v/>
      </c>
      <c r="V785" s="9">
        <f>IF(OR(B785="",P785=""),"",U785/S785)</f>
        <v/>
      </c>
      <c r="W785">
        <f>IF(OR(B785="",P785=""),"",NETWORKDAYS(C785,P785)-1)</f>
        <v/>
      </c>
      <c r="X785">
        <f>IF(B785="","",IF(P785="","Aberto","Fechado"))</f>
        <v/>
      </c>
    </row>
    <row r="786">
      <c r="C786" s="6" t="n"/>
      <c r="E786" s="7" t="n"/>
      <c r="F786" s="8" t="n"/>
      <c r="G786" s="8" t="n"/>
      <c r="H786" s="8" t="n"/>
      <c r="J786" s="7" t="n"/>
      <c r="K786" s="8" t="n"/>
      <c r="L786" s="7" t="n"/>
      <c r="M786" s="8" t="n"/>
      <c r="N786" s="7" t="n"/>
      <c r="O786" s="8" t="n"/>
      <c r="P786" s="6" t="n"/>
      <c r="Q786" s="8" t="n"/>
      <c r="S786" s="8">
        <f>IF(B786="","",E786*F786)</f>
        <v/>
      </c>
      <c r="T786" s="8">
        <f>IF(OR(B786="",N(G786)=0),"",ABS(F786-G786)*E786)</f>
        <v/>
      </c>
      <c r="U786" s="8">
        <f>IF(OR(B786="",P786=""),"",IF(D786="Venda",-1,1)*((N(J786)*N(K786)+N(L786)*N(M786)+N(N786)*N(O786))-(N(J786)+N(L786)+N(N786))*F786)-N(Q786))</f>
        <v/>
      </c>
      <c r="V786" s="9">
        <f>IF(OR(B786="",P786=""),"",U786/S786)</f>
        <v/>
      </c>
      <c r="W786">
        <f>IF(OR(B786="",P786=""),"",NETWORKDAYS(C786,P786)-1)</f>
        <v/>
      </c>
      <c r="X786">
        <f>IF(B786="","",IF(P786="","Aberto","Fechado"))</f>
        <v/>
      </c>
    </row>
    <row r="787">
      <c r="C787" s="6" t="n"/>
      <c r="E787" s="7" t="n"/>
      <c r="F787" s="8" t="n"/>
      <c r="G787" s="8" t="n"/>
      <c r="H787" s="8" t="n"/>
      <c r="J787" s="7" t="n"/>
      <c r="K787" s="8" t="n"/>
      <c r="L787" s="7" t="n"/>
      <c r="M787" s="8" t="n"/>
      <c r="N787" s="7" t="n"/>
      <c r="O787" s="8" t="n"/>
      <c r="P787" s="6" t="n"/>
      <c r="Q787" s="8" t="n"/>
      <c r="S787" s="8">
        <f>IF(B787="","",E787*F787)</f>
        <v/>
      </c>
      <c r="T787" s="8">
        <f>IF(OR(B787="",N(G787)=0),"",ABS(F787-G787)*E787)</f>
        <v/>
      </c>
      <c r="U787" s="8">
        <f>IF(OR(B787="",P787=""),"",IF(D787="Venda",-1,1)*((N(J787)*N(K787)+N(L787)*N(M787)+N(N787)*N(O787))-(N(J787)+N(L787)+N(N787))*F787)-N(Q787))</f>
        <v/>
      </c>
      <c r="V787" s="9">
        <f>IF(OR(B787="",P787=""),"",U787/S787)</f>
        <v/>
      </c>
      <c r="W787">
        <f>IF(OR(B787="",P787=""),"",NETWORKDAYS(C787,P787)-1)</f>
        <v/>
      </c>
      <c r="X787">
        <f>IF(B787="","",IF(P787="","Aberto","Fechado"))</f>
        <v/>
      </c>
    </row>
    <row r="788">
      <c r="C788" s="6" t="n"/>
      <c r="E788" s="7" t="n"/>
      <c r="F788" s="8" t="n"/>
      <c r="G788" s="8" t="n"/>
      <c r="H788" s="8" t="n"/>
      <c r="J788" s="7" t="n"/>
      <c r="K788" s="8" t="n"/>
      <c r="L788" s="7" t="n"/>
      <c r="M788" s="8" t="n"/>
      <c r="N788" s="7" t="n"/>
      <c r="O788" s="8" t="n"/>
      <c r="P788" s="6" t="n"/>
      <c r="Q788" s="8" t="n"/>
      <c r="S788" s="8">
        <f>IF(B788="","",E788*F788)</f>
        <v/>
      </c>
      <c r="T788" s="8">
        <f>IF(OR(B788="",N(G788)=0),"",ABS(F788-G788)*E788)</f>
        <v/>
      </c>
      <c r="U788" s="8">
        <f>IF(OR(B788="",P788=""),"",IF(D788="Venda",-1,1)*((N(J788)*N(K788)+N(L788)*N(M788)+N(N788)*N(O788))-(N(J788)+N(L788)+N(N788))*F788)-N(Q788))</f>
        <v/>
      </c>
      <c r="V788" s="9">
        <f>IF(OR(B788="",P788=""),"",U788/S788)</f>
        <v/>
      </c>
      <c r="W788">
        <f>IF(OR(B788="",P788=""),"",NETWORKDAYS(C788,P788)-1)</f>
        <v/>
      </c>
      <c r="X788">
        <f>IF(B788="","",IF(P788="","Aberto","Fechado"))</f>
        <v/>
      </c>
    </row>
    <row r="789">
      <c r="C789" s="6" t="n"/>
      <c r="E789" s="7" t="n"/>
      <c r="F789" s="8" t="n"/>
      <c r="G789" s="8" t="n"/>
      <c r="H789" s="8" t="n"/>
      <c r="J789" s="7" t="n"/>
      <c r="K789" s="8" t="n"/>
      <c r="L789" s="7" t="n"/>
      <c r="M789" s="8" t="n"/>
      <c r="N789" s="7" t="n"/>
      <c r="O789" s="8" t="n"/>
      <c r="P789" s="6" t="n"/>
      <c r="Q789" s="8" t="n"/>
      <c r="S789" s="8">
        <f>IF(B789="","",E789*F789)</f>
        <v/>
      </c>
      <c r="T789" s="8">
        <f>IF(OR(B789="",N(G789)=0),"",ABS(F789-G789)*E789)</f>
        <v/>
      </c>
      <c r="U789" s="8">
        <f>IF(OR(B789="",P789=""),"",IF(D789="Venda",-1,1)*((N(J789)*N(K789)+N(L789)*N(M789)+N(N789)*N(O789))-(N(J789)+N(L789)+N(N789))*F789)-N(Q789))</f>
        <v/>
      </c>
      <c r="V789" s="9">
        <f>IF(OR(B789="",P789=""),"",U789/S789)</f>
        <v/>
      </c>
      <c r="W789">
        <f>IF(OR(B789="",P789=""),"",NETWORKDAYS(C789,P789)-1)</f>
        <v/>
      </c>
      <c r="X789">
        <f>IF(B789="","",IF(P789="","Aberto","Fechado"))</f>
        <v/>
      </c>
    </row>
    <row r="790">
      <c r="C790" s="6" t="n"/>
      <c r="E790" s="7" t="n"/>
      <c r="F790" s="8" t="n"/>
      <c r="G790" s="8" t="n"/>
      <c r="H790" s="8" t="n"/>
      <c r="J790" s="7" t="n"/>
      <c r="K790" s="8" t="n"/>
      <c r="L790" s="7" t="n"/>
      <c r="M790" s="8" t="n"/>
      <c r="N790" s="7" t="n"/>
      <c r="O790" s="8" t="n"/>
      <c r="P790" s="6" t="n"/>
      <c r="Q790" s="8" t="n"/>
      <c r="S790" s="8">
        <f>IF(B790="","",E790*F790)</f>
        <v/>
      </c>
      <c r="T790" s="8">
        <f>IF(OR(B790="",N(G790)=0),"",ABS(F790-G790)*E790)</f>
        <v/>
      </c>
      <c r="U790" s="8">
        <f>IF(OR(B790="",P790=""),"",IF(D790="Venda",-1,1)*((N(J790)*N(K790)+N(L790)*N(M790)+N(N790)*N(O790))-(N(J790)+N(L790)+N(N790))*F790)-N(Q790))</f>
        <v/>
      </c>
      <c r="V790" s="9">
        <f>IF(OR(B790="",P790=""),"",U790/S790)</f>
        <v/>
      </c>
      <c r="W790">
        <f>IF(OR(B790="",P790=""),"",NETWORKDAYS(C790,P790)-1)</f>
        <v/>
      </c>
      <c r="X790">
        <f>IF(B790="","",IF(P790="","Aberto","Fechado"))</f>
        <v/>
      </c>
    </row>
    <row r="791">
      <c r="C791" s="6" t="n"/>
      <c r="E791" s="7" t="n"/>
      <c r="F791" s="8" t="n"/>
      <c r="G791" s="8" t="n"/>
      <c r="H791" s="8" t="n"/>
      <c r="J791" s="7" t="n"/>
      <c r="K791" s="8" t="n"/>
      <c r="L791" s="7" t="n"/>
      <c r="M791" s="8" t="n"/>
      <c r="N791" s="7" t="n"/>
      <c r="O791" s="8" t="n"/>
      <c r="P791" s="6" t="n"/>
      <c r="Q791" s="8" t="n"/>
      <c r="S791" s="8">
        <f>IF(B791="","",E791*F791)</f>
        <v/>
      </c>
      <c r="T791" s="8">
        <f>IF(OR(B791="",N(G791)=0),"",ABS(F791-G791)*E791)</f>
        <v/>
      </c>
      <c r="U791" s="8">
        <f>IF(OR(B791="",P791=""),"",IF(D791="Venda",-1,1)*((N(J791)*N(K791)+N(L791)*N(M791)+N(N791)*N(O791))-(N(J791)+N(L791)+N(N791))*F791)-N(Q791))</f>
        <v/>
      </c>
      <c r="V791" s="9">
        <f>IF(OR(B791="",P791=""),"",U791/S791)</f>
        <v/>
      </c>
      <c r="W791">
        <f>IF(OR(B791="",P791=""),"",NETWORKDAYS(C791,P791)-1)</f>
        <v/>
      </c>
      <c r="X791">
        <f>IF(B791="","",IF(P791="","Aberto","Fechado"))</f>
        <v/>
      </c>
    </row>
    <row r="792">
      <c r="C792" s="6" t="n"/>
      <c r="E792" s="7" t="n"/>
      <c r="F792" s="8" t="n"/>
      <c r="G792" s="8" t="n"/>
      <c r="H792" s="8" t="n"/>
      <c r="J792" s="7" t="n"/>
      <c r="K792" s="8" t="n"/>
      <c r="L792" s="7" t="n"/>
      <c r="M792" s="8" t="n"/>
      <c r="N792" s="7" t="n"/>
      <c r="O792" s="8" t="n"/>
      <c r="P792" s="6" t="n"/>
      <c r="Q792" s="8" t="n"/>
      <c r="S792" s="8">
        <f>IF(B792="","",E792*F792)</f>
        <v/>
      </c>
      <c r="T792" s="8">
        <f>IF(OR(B792="",N(G792)=0),"",ABS(F792-G792)*E792)</f>
        <v/>
      </c>
      <c r="U792" s="8">
        <f>IF(OR(B792="",P792=""),"",IF(D792="Venda",-1,1)*((N(J792)*N(K792)+N(L792)*N(M792)+N(N792)*N(O792))-(N(J792)+N(L792)+N(N792))*F792)-N(Q792))</f>
        <v/>
      </c>
      <c r="V792" s="9">
        <f>IF(OR(B792="",P792=""),"",U792/S792)</f>
        <v/>
      </c>
      <c r="W792">
        <f>IF(OR(B792="",P792=""),"",NETWORKDAYS(C792,P792)-1)</f>
        <v/>
      </c>
      <c r="X792">
        <f>IF(B792="","",IF(P792="","Aberto","Fechado"))</f>
        <v/>
      </c>
    </row>
    <row r="793">
      <c r="C793" s="6" t="n"/>
      <c r="E793" s="7" t="n"/>
      <c r="F793" s="8" t="n"/>
      <c r="G793" s="8" t="n"/>
      <c r="H793" s="8" t="n"/>
      <c r="J793" s="7" t="n"/>
      <c r="K793" s="8" t="n"/>
      <c r="L793" s="7" t="n"/>
      <c r="M793" s="8" t="n"/>
      <c r="N793" s="7" t="n"/>
      <c r="O793" s="8" t="n"/>
      <c r="P793" s="6" t="n"/>
      <c r="Q793" s="8" t="n"/>
      <c r="S793" s="8">
        <f>IF(B793="","",E793*F793)</f>
        <v/>
      </c>
      <c r="T793" s="8">
        <f>IF(OR(B793="",N(G793)=0),"",ABS(F793-G793)*E793)</f>
        <v/>
      </c>
      <c r="U793" s="8">
        <f>IF(OR(B793="",P793=""),"",IF(D793="Venda",-1,1)*((N(J793)*N(K793)+N(L793)*N(M793)+N(N793)*N(O793))-(N(J793)+N(L793)+N(N793))*F793)-N(Q793))</f>
        <v/>
      </c>
      <c r="V793" s="9">
        <f>IF(OR(B793="",P793=""),"",U793/S793)</f>
        <v/>
      </c>
      <c r="W793">
        <f>IF(OR(B793="",P793=""),"",NETWORKDAYS(C793,P793)-1)</f>
        <v/>
      </c>
      <c r="X793">
        <f>IF(B793="","",IF(P793="","Aberto","Fechado"))</f>
        <v/>
      </c>
    </row>
    <row r="794">
      <c r="C794" s="6" t="n"/>
      <c r="E794" s="7" t="n"/>
      <c r="F794" s="8" t="n"/>
      <c r="G794" s="8" t="n"/>
      <c r="H794" s="8" t="n"/>
      <c r="J794" s="7" t="n"/>
      <c r="K794" s="8" t="n"/>
      <c r="L794" s="7" t="n"/>
      <c r="M794" s="8" t="n"/>
      <c r="N794" s="7" t="n"/>
      <c r="O794" s="8" t="n"/>
      <c r="P794" s="6" t="n"/>
      <c r="Q794" s="8" t="n"/>
      <c r="S794" s="8">
        <f>IF(B794="","",E794*F794)</f>
        <v/>
      </c>
      <c r="T794" s="8">
        <f>IF(OR(B794="",N(G794)=0),"",ABS(F794-G794)*E794)</f>
        <v/>
      </c>
      <c r="U794" s="8">
        <f>IF(OR(B794="",P794=""),"",IF(D794="Venda",-1,1)*((N(J794)*N(K794)+N(L794)*N(M794)+N(N794)*N(O794))-(N(J794)+N(L794)+N(N794))*F794)-N(Q794))</f>
        <v/>
      </c>
      <c r="V794" s="9">
        <f>IF(OR(B794="",P794=""),"",U794/S794)</f>
        <v/>
      </c>
      <c r="W794">
        <f>IF(OR(B794="",P794=""),"",NETWORKDAYS(C794,P794)-1)</f>
        <v/>
      </c>
      <c r="X794">
        <f>IF(B794="","",IF(P794="","Aberto","Fechado"))</f>
        <v/>
      </c>
    </row>
    <row r="795">
      <c r="C795" s="6" t="n"/>
      <c r="E795" s="7" t="n"/>
      <c r="F795" s="8" t="n"/>
      <c r="G795" s="8" t="n"/>
      <c r="H795" s="8" t="n"/>
      <c r="J795" s="7" t="n"/>
      <c r="K795" s="8" t="n"/>
      <c r="L795" s="7" t="n"/>
      <c r="M795" s="8" t="n"/>
      <c r="N795" s="7" t="n"/>
      <c r="O795" s="8" t="n"/>
      <c r="P795" s="6" t="n"/>
      <c r="Q795" s="8" t="n"/>
      <c r="S795" s="8">
        <f>IF(B795="","",E795*F795)</f>
        <v/>
      </c>
      <c r="T795" s="8">
        <f>IF(OR(B795="",N(G795)=0),"",ABS(F795-G795)*E795)</f>
        <v/>
      </c>
      <c r="U795" s="8">
        <f>IF(OR(B795="",P795=""),"",IF(D795="Venda",-1,1)*((N(J795)*N(K795)+N(L795)*N(M795)+N(N795)*N(O795))-(N(J795)+N(L795)+N(N795))*F795)-N(Q795))</f>
        <v/>
      </c>
      <c r="V795" s="9">
        <f>IF(OR(B795="",P795=""),"",U795/S795)</f>
        <v/>
      </c>
      <c r="W795">
        <f>IF(OR(B795="",P795=""),"",NETWORKDAYS(C795,P795)-1)</f>
        <v/>
      </c>
      <c r="X795">
        <f>IF(B795="","",IF(P795="","Aberto","Fechado"))</f>
        <v/>
      </c>
    </row>
    <row r="796">
      <c r="C796" s="6" t="n"/>
      <c r="E796" s="7" t="n"/>
      <c r="F796" s="8" t="n"/>
      <c r="G796" s="8" t="n"/>
      <c r="H796" s="8" t="n"/>
      <c r="J796" s="7" t="n"/>
      <c r="K796" s="8" t="n"/>
      <c r="L796" s="7" t="n"/>
      <c r="M796" s="8" t="n"/>
      <c r="N796" s="7" t="n"/>
      <c r="O796" s="8" t="n"/>
      <c r="P796" s="6" t="n"/>
      <c r="Q796" s="8" t="n"/>
      <c r="S796" s="8">
        <f>IF(B796="","",E796*F796)</f>
        <v/>
      </c>
      <c r="T796" s="8">
        <f>IF(OR(B796="",N(G796)=0),"",ABS(F796-G796)*E796)</f>
        <v/>
      </c>
      <c r="U796" s="8">
        <f>IF(OR(B796="",P796=""),"",IF(D796="Venda",-1,1)*((N(J796)*N(K796)+N(L796)*N(M796)+N(N796)*N(O796))-(N(J796)+N(L796)+N(N796))*F796)-N(Q796))</f>
        <v/>
      </c>
      <c r="V796" s="9">
        <f>IF(OR(B796="",P796=""),"",U796/S796)</f>
        <v/>
      </c>
      <c r="W796">
        <f>IF(OR(B796="",P796=""),"",NETWORKDAYS(C796,P796)-1)</f>
        <v/>
      </c>
      <c r="X796">
        <f>IF(B796="","",IF(P796="","Aberto","Fechado"))</f>
        <v/>
      </c>
    </row>
    <row r="797">
      <c r="C797" s="6" t="n"/>
      <c r="E797" s="7" t="n"/>
      <c r="F797" s="8" t="n"/>
      <c r="G797" s="8" t="n"/>
      <c r="H797" s="8" t="n"/>
      <c r="J797" s="7" t="n"/>
      <c r="K797" s="8" t="n"/>
      <c r="L797" s="7" t="n"/>
      <c r="M797" s="8" t="n"/>
      <c r="N797" s="7" t="n"/>
      <c r="O797" s="8" t="n"/>
      <c r="P797" s="6" t="n"/>
      <c r="Q797" s="8" t="n"/>
      <c r="S797" s="8">
        <f>IF(B797="","",E797*F797)</f>
        <v/>
      </c>
      <c r="T797" s="8">
        <f>IF(OR(B797="",N(G797)=0),"",ABS(F797-G797)*E797)</f>
        <v/>
      </c>
      <c r="U797" s="8">
        <f>IF(OR(B797="",P797=""),"",IF(D797="Venda",-1,1)*((N(J797)*N(K797)+N(L797)*N(M797)+N(N797)*N(O797))-(N(J797)+N(L797)+N(N797))*F797)-N(Q797))</f>
        <v/>
      </c>
      <c r="V797" s="9">
        <f>IF(OR(B797="",P797=""),"",U797/S797)</f>
        <v/>
      </c>
      <c r="W797">
        <f>IF(OR(B797="",P797=""),"",NETWORKDAYS(C797,P797)-1)</f>
        <v/>
      </c>
      <c r="X797">
        <f>IF(B797="","",IF(P797="","Aberto","Fechado"))</f>
        <v/>
      </c>
    </row>
    <row r="798">
      <c r="C798" s="6" t="n"/>
      <c r="E798" s="7" t="n"/>
      <c r="F798" s="8" t="n"/>
      <c r="G798" s="8" t="n"/>
      <c r="H798" s="8" t="n"/>
      <c r="J798" s="7" t="n"/>
      <c r="K798" s="8" t="n"/>
      <c r="L798" s="7" t="n"/>
      <c r="M798" s="8" t="n"/>
      <c r="N798" s="7" t="n"/>
      <c r="O798" s="8" t="n"/>
      <c r="P798" s="6" t="n"/>
      <c r="Q798" s="8" t="n"/>
      <c r="S798" s="8">
        <f>IF(B798="","",E798*F798)</f>
        <v/>
      </c>
      <c r="T798" s="8">
        <f>IF(OR(B798="",N(G798)=0),"",ABS(F798-G798)*E798)</f>
        <v/>
      </c>
      <c r="U798" s="8">
        <f>IF(OR(B798="",P798=""),"",IF(D798="Venda",-1,1)*((N(J798)*N(K798)+N(L798)*N(M798)+N(N798)*N(O798))-(N(J798)+N(L798)+N(N798))*F798)-N(Q798))</f>
        <v/>
      </c>
      <c r="V798" s="9">
        <f>IF(OR(B798="",P798=""),"",U798/S798)</f>
        <v/>
      </c>
      <c r="W798">
        <f>IF(OR(B798="",P798=""),"",NETWORKDAYS(C798,P798)-1)</f>
        <v/>
      </c>
      <c r="X798">
        <f>IF(B798="","",IF(P798="","Aberto","Fechado"))</f>
        <v/>
      </c>
    </row>
    <row r="799">
      <c r="C799" s="6" t="n"/>
      <c r="E799" s="7" t="n"/>
      <c r="F799" s="8" t="n"/>
      <c r="G799" s="8" t="n"/>
      <c r="H799" s="8" t="n"/>
      <c r="J799" s="7" t="n"/>
      <c r="K799" s="8" t="n"/>
      <c r="L799" s="7" t="n"/>
      <c r="M799" s="8" t="n"/>
      <c r="N799" s="7" t="n"/>
      <c r="O799" s="8" t="n"/>
      <c r="P799" s="6" t="n"/>
      <c r="Q799" s="8" t="n"/>
      <c r="S799" s="8">
        <f>IF(B799="","",E799*F799)</f>
        <v/>
      </c>
      <c r="T799" s="8">
        <f>IF(OR(B799="",N(G799)=0),"",ABS(F799-G799)*E799)</f>
        <v/>
      </c>
      <c r="U799" s="8">
        <f>IF(OR(B799="",P799=""),"",IF(D799="Venda",-1,1)*((N(J799)*N(K799)+N(L799)*N(M799)+N(N799)*N(O799))-(N(J799)+N(L799)+N(N799))*F799)-N(Q799))</f>
        <v/>
      </c>
      <c r="V799" s="9">
        <f>IF(OR(B799="",P799=""),"",U799/S799)</f>
        <v/>
      </c>
      <c r="W799">
        <f>IF(OR(B799="",P799=""),"",NETWORKDAYS(C799,P799)-1)</f>
        <v/>
      </c>
      <c r="X799">
        <f>IF(B799="","",IF(P799="","Aberto","Fechado"))</f>
        <v/>
      </c>
    </row>
    <row r="800">
      <c r="C800" s="6" t="n"/>
      <c r="E800" s="7" t="n"/>
      <c r="F800" s="8" t="n"/>
      <c r="G800" s="8" t="n"/>
      <c r="H800" s="8" t="n"/>
      <c r="J800" s="7" t="n"/>
      <c r="K800" s="8" t="n"/>
      <c r="L800" s="7" t="n"/>
      <c r="M800" s="8" t="n"/>
      <c r="N800" s="7" t="n"/>
      <c r="O800" s="8" t="n"/>
      <c r="P800" s="6" t="n"/>
      <c r="Q800" s="8" t="n"/>
      <c r="S800" s="8">
        <f>IF(B800="","",E800*F800)</f>
        <v/>
      </c>
      <c r="T800" s="8">
        <f>IF(OR(B800="",N(G800)=0),"",ABS(F800-G800)*E800)</f>
        <v/>
      </c>
      <c r="U800" s="8">
        <f>IF(OR(B800="",P800=""),"",IF(D800="Venda",-1,1)*((N(J800)*N(K800)+N(L800)*N(M800)+N(N800)*N(O800))-(N(J800)+N(L800)+N(N800))*F800)-N(Q800))</f>
        <v/>
      </c>
      <c r="V800" s="9">
        <f>IF(OR(B800="",P800=""),"",U800/S800)</f>
        <v/>
      </c>
      <c r="W800">
        <f>IF(OR(B800="",P800=""),"",NETWORKDAYS(C800,P800)-1)</f>
        <v/>
      </c>
      <c r="X800">
        <f>IF(B800="","",IF(P800="","Aberto","Fechado"))</f>
        <v/>
      </c>
    </row>
    <row r="801">
      <c r="C801" s="6" t="n"/>
      <c r="E801" s="7" t="n"/>
      <c r="F801" s="8" t="n"/>
      <c r="G801" s="8" t="n"/>
      <c r="H801" s="8" t="n"/>
      <c r="J801" s="7" t="n"/>
      <c r="K801" s="8" t="n"/>
      <c r="L801" s="7" t="n"/>
      <c r="M801" s="8" t="n"/>
      <c r="N801" s="7" t="n"/>
      <c r="O801" s="8" t="n"/>
      <c r="P801" s="6" t="n"/>
      <c r="Q801" s="8" t="n"/>
      <c r="S801" s="8">
        <f>IF(B801="","",E801*F801)</f>
        <v/>
      </c>
      <c r="T801" s="8">
        <f>IF(OR(B801="",N(G801)=0),"",ABS(F801-G801)*E801)</f>
        <v/>
      </c>
      <c r="U801" s="8">
        <f>IF(OR(B801="",P801=""),"",IF(D801="Venda",-1,1)*((N(J801)*N(K801)+N(L801)*N(M801)+N(N801)*N(O801))-(N(J801)+N(L801)+N(N801))*F801)-N(Q801))</f>
        <v/>
      </c>
      <c r="V801" s="9">
        <f>IF(OR(B801="",P801=""),"",U801/S801)</f>
        <v/>
      </c>
      <c r="W801">
        <f>IF(OR(B801="",P801=""),"",NETWORKDAYS(C801,P801)-1)</f>
        <v/>
      </c>
      <c r="X801">
        <f>IF(B801="","",IF(P801="","Aberto","Fechado"))</f>
        <v/>
      </c>
    </row>
    <row r="802">
      <c r="C802" s="6" t="n"/>
      <c r="E802" s="7" t="n"/>
      <c r="F802" s="8" t="n"/>
      <c r="G802" s="8" t="n"/>
      <c r="H802" s="8" t="n"/>
      <c r="J802" s="7" t="n"/>
      <c r="K802" s="8" t="n"/>
      <c r="L802" s="7" t="n"/>
      <c r="M802" s="8" t="n"/>
      <c r="N802" s="7" t="n"/>
      <c r="O802" s="8" t="n"/>
      <c r="P802" s="6" t="n"/>
      <c r="Q802" s="8" t="n"/>
      <c r="S802" s="8">
        <f>IF(B802="","",E802*F802)</f>
        <v/>
      </c>
      <c r="T802" s="8">
        <f>IF(OR(B802="",N(G802)=0),"",ABS(F802-G802)*E802)</f>
        <v/>
      </c>
      <c r="U802" s="8">
        <f>IF(OR(B802="",P802=""),"",IF(D802="Venda",-1,1)*((N(J802)*N(K802)+N(L802)*N(M802)+N(N802)*N(O802))-(N(J802)+N(L802)+N(N802))*F802)-N(Q802))</f>
        <v/>
      </c>
      <c r="V802" s="9">
        <f>IF(OR(B802="",P802=""),"",U802/S802)</f>
        <v/>
      </c>
      <c r="W802">
        <f>IF(OR(B802="",P802=""),"",NETWORKDAYS(C802,P802)-1)</f>
        <v/>
      </c>
      <c r="X802">
        <f>IF(B802="","",IF(P802="","Aberto","Fechado"))</f>
        <v/>
      </c>
    </row>
    <row r="803">
      <c r="C803" s="6" t="n"/>
      <c r="E803" s="7" t="n"/>
      <c r="F803" s="8" t="n"/>
      <c r="G803" s="8" t="n"/>
      <c r="H803" s="8" t="n"/>
      <c r="J803" s="7" t="n"/>
      <c r="K803" s="8" t="n"/>
      <c r="L803" s="7" t="n"/>
      <c r="M803" s="8" t="n"/>
      <c r="N803" s="7" t="n"/>
      <c r="O803" s="8" t="n"/>
      <c r="P803" s="6" t="n"/>
      <c r="Q803" s="8" t="n"/>
      <c r="S803" s="8">
        <f>IF(B803="","",E803*F803)</f>
        <v/>
      </c>
      <c r="T803" s="8">
        <f>IF(OR(B803="",N(G803)=0),"",ABS(F803-G803)*E803)</f>
        <v/>
      </c>
      <c r="U803" s="8">
        <f>IF(OR(B803="",P803=""),"",IF(D803="Venda",-1,1)*((N(J803)*N(K803)+N(L803)*N(M803)+N(N803)*N(O803))-(N(J803)+N(L803)+N(N803))*F803)-N(Q803))</f>
        <v/>
      </c>
      <c r="V803" s="9">
        <f>IF(OR(B803="",P803=""),"",U803/S803)</f>
        <v/>
      </c>
      <c r="W803">
        <f>IF(OR(B803="",P803=""),"",NETWORKDAYS(C803,P803)-1)</f>
        <v/>
      </c>
      <c r="X803">
        <f>IF(B803="","",IF(P803="","Aberto","Fechado"))</f>
        <v/>
      </c>
    </row>
    <row r="804">
      <c r="C804" s="6" t="n"/>
      <c r="E804" s="7" t="n"/>
      <c r="F804" s="8" t="n"/>
      <c r="G804" s="8" t="n"/>
      <c r="H804" s="8" t="n"/>
      <c r="J804" s="7" t="n"/>
      <c r="K804" s="8" t="n"/>
      <c r="L804" s="7" t="n"/>
      <c r="M804" s="8" t="n"/>
      <c r="N804" s="7" t="n"/>
      <c r="O804" s="8" t="n"/>
      <c r="P804" s="6" t="n"/>
      <c r="Q804" s="8" t="n"/>
      <c r="S804" s="8">
        <f>IF(B804="","",E804*F804)</f>
        <v/>
      </c>
      <c r="T804" s="8">
        <f>IF(OR(B804="",N(G804)=0),"",ABS(F804-G804)*E804)</f>
        <v/>
      </c>
      <c r="U804" s="8">
        <f>IF(OR(B804="",P804=""),"",IF(D804="Venda",-1,1)*((N(J804)*N(K804)+N(L804)*N(M804)+N(N804)*N(O804))-(N(J804)+N(L804)+N(N804))*F804)-N(Q804))</f>
        <v/>
      </c>
      <c r="V804" s="9">
        <f>IF(OR(B804="",P804=""),"",U804/S804)</f>
        <v/>
      </c>
      <c r="W804">
        <f>IF(OR(B804="",P804=""),"",NETWORKDAYS(C804,P804)-1)</f>
        <v/>
      </c>
      <c r="X804">
        <f>IF(B804="","",IF(P804="","Aberto","Fechado"))</f>
        <v/>
      </c>
    </row>
    <row r="805">
      <c r="C805" s="6" t="n"/>
      <c r="E805" s="7" t="n"/>
      <c r="F805" s="8" t="n"/>
      <c r="G805" s="8" t="n"/>
      <c r="H805" s="8" t="n"/>
      <c r="J805" s="7" t="n"/>
      <c r="K805" s="8" t="n"/>
      <c r="L805" s="7" t="n"/>
      <c r="M805" s="8" t="n"/>
      <c r="N805" s="7" t="n"/>
      <c r="O805" s="8" t="n"/>
      <c r="P805" s="6" t="n"/>
      <c r="Q805" s="8" t="n"/>
      <c r="S805" s="8">
        <f>IF(B805="","",E805*F805)</f>
        <v/>
      </c>
      <c r="T805" s="8">
        <f>IF(OR(B805="",N(G805)=0),"",ABS(F805-G805)*E805)</f>
        <v/>
      </c>
      <c r="U805" s="8">
        <f>IF(OR(B805="",P805=""),"",IF(D805="Venda",-1,1)*((N(J805)*N(K805)+N(L805)*N(M805)+N(N805)*N(O805))-(N(J805)+N(L805)+N(N805))*F805)-N(Q805))</f>
        <v/>
      </c>
      <c r="V805" s="9">
        <f>IF(OR(B805="",P805=""),"",U805/S805)</f>
        <v/>
      </c>
      <c r="W805">
        <f>IF(OR(B805="",P805=""),"",NETWORKDAYS(C805,P805)-1)</f>
        <v/>
      </c>
      <c r="X805">
        <f>IF(B805="","",IF(P805="","Aberto","Fechado"))</f>
        <v/>
      </c>
    </row>
    <row r="806">
      <c r="C806" s="6" t="n"/>
      <c r="E806" s="7" t="n"/>
      <c r="F806" s="8" t="n"/>
      <c r="G806" s="8" t="n"/>
      <c r="H806" s="8" t="n"/>
      <c r="J806" s="7" t="n"/>
      <c r="K806" s="8" t="n"/>
      <c r="L806" s="7" t="n"/>
      <c r="M806" s="8" t="n"/>
      <c r="N806" s="7" t="n"/>
      <c r="O806" s="8" t="n"/>
      <c r="P806" s="6" t="n"/>
      <c r="Q806" s="8" t="n"/>
      <c r="S806" s="8">
        <f>IF(B806="","",E806*F806)</f>
        <v/>
      </c>
      <c r="T806" s="8">
        <f>IF(OR(B806="",N(G806)=0),"",ABS(F806-G806)*E806)</f>
        <v/>
      </c>
      <c r="U806" s="8">
        <f>IF(OR(B806="",P806=""),"",IF(D806="Venda",-1,1)*((N(J806)*N(K806)+N(L806)*N(M806)+N(N806)*N(O806))-(N(J806)+N(L806)+N(N806))*F806)-N(Q806))</f>
        <v/>
      </c>
      <c r="V806" s="9">
        <f>IF(OR(B806="",P806=""),"",U806/S806)</f>
        <v/>
      </c>
      <c r="W806">
        <f>IF(OR(B806="",P806=""),"",NETWORKDAYS(C806,P806)-1)</f>
        <v/>
      </c>
      <c r="X806">
        <f>IF(B806="","",IF(P806="","Aberto","Fechado"))</f>
        <v/>
      </c>
    </row>
    <row r="807">
      <c r="C807" s="6" t="n"/>
      <c r="E807" s="7" t="n"/>
      <c r="F807" s="8" t="n"/>
      <c r="G807" s="8" t="n"/>
      <c r="H807" s="8" t="n"/>
      <c r="J807" s="7" t="n"/>
      <c r="K807" s="8" t="n"/>
      <c r="L807" s="7" t="n"/>
      <c r="M807" s="8" t="n"/>
      <c r="N807" s="7" t="n"/>
      <c r="O807" s="8" t="n"/>
      <c r="P807" s="6" t="n"/>
      <c r="Q807" s="8" t="n"/>
      <c r="S807" s="8">
        <f>IF(B807="","",E807*F807)</f>
        <v/>
      </c>
      <c r="T807" s="8">
        <f>IF(OR(B807="",N(G807)=0),"",ABS(F807-G807)*E807)</f>
        <v/>
      </c>
      <c r="U807" s="8">
        <f>IF(OR(B807="",P807=""),"",IF(D807="Venda",-1,1)*((N(J807)*N(K807)+N(L807)*N(M807)+N(N807)*N(O807))-(N(J807)+N(L807)+N(N807))*F807)-N(Q807))</f>
        <v/>
      </c>
      <c r="V807" s="9">
        <f>IF(OR(B807="",P807=""),"",U807/S807)</f>
        <v/>
      </c>
      <c r="W807">
        <f>IF(OR(B807="",P807=""),"",NETWORKDAYS(C807,P807)-1)</f>
        <v/>
      </c>
      <c r="X807">
        <f>IF(B807="","",IF(P807="","Aberto","Fechado"))</f>
        <v/>
      </c>
    </row>
    <row r="808">
      <c r="C808" s="6" t="n"/>
      <c r="E808" s="7" t="n"/>
      <c r="F808" s="8" t="n"/>
      <c r="G808" s="8" t="n"/>
      <c r="H808" s="8" t="n"/>
      <c r="J808" s="7" t="n"/>
      <c r="K808" s="8" t="n"/>
      <c r="L808" s="7" t="n"/>
      <c r="M808" s="8" t="n"/>
      <c r="N808" s="7" t="n"/>
      <c r="O808" s="8" t="n"/>
      <c r="P808" s="6" t="n"/>
      <c r="Q808" s="8" t="n"/>
      <c r="S808" s="8">
        <f>IF(B808="","",E808*F808)</f>
        <v/>
      </c>
      <c r="T808" s="8">
        <f>IF(OR(B808="",N(G808)=0),"",ABS(F808-G808)*E808)</f>
        <v/>
      </c>
      <c r="U808" s="8">
        <f>IF(OR(B808="",P808=""),"",IF(D808="Venda",-1,1)*((N(J808)*N(K808)+N(L808)*N(M808)+N(N808)*N(O808))-(N(J808)+N(L808)+N(N808))*F808)-N(Q808))</f>
        <v/>
      </c>
      <c r="V808" s="9">
        <f>IF(OR(B808="",P808=""),"",U808/S808)</f>
        <v/>
      </c>
      <c r="W808">
        <f>IF(OR(B808="",P808=""),"",NETWORKDAYS(C808,P808)-1)</f>
        <v/>
      </c>
      <c r="X808">
        <f>IF(B808="","",IF(P808="","Aberto","Fechado"))</f>
        <v/>
      </c>
    </row>
    <row r="809">
      <c r="C809" s="6" t="n"/>
      <c r="E809" s="7" t="n"/>
      <c r="F809" s="8" t="n"/>
      <c r="G809" s="8" t="n"/>
      <c r="H809" s="8" t="n"/>
      <c r="J809" s="7" t="n"/>
      <c r="K809" s="8" t="n"/>
      <c r="L809" s="7" t="n"/>
      <c r="M809" s="8" t="n"/>
      <c r="N809" s="7" t="n"/>
      <c r="O809" s="8" t="n"/>
      <c r="P809" s="6" t="n"/>
      <c r="Q809" s="8" t="n"/>
      <c r="S809" s="8">
        <f>IF(B809="","",E809*F809)</f>
        <v/>
      </c>
      <c r="T809" s="8">
        <f>IF(OR(B809="",N(G809)=0),"",ABS(F809-G809)*E809)</f>
        <v/>
      </c>
      <c r="U809" s="8">
        <f>IF(OR(B809="",P809=""),"",IF(D809="Venda",-1,1)*((N(J809)*N(K809)+N(L809)*N(M809)+N(N809)*N(O809))-(N(J809)+N(L809)+N(N809))*F809)-N(Q809))</f>
        <v/>
      </c>
      <c r="V809" s="9">
        <f>IF(OR(B809="",P809=""),"",U809/S809)</f>
        <v/>
      </c>
      <c r="W809">
        <f>IF(OR(B809="",P809=""),"",NETWORKDAYS(C809,P809)-1)</f>
        <v/>
      </c>
      <c r="X809">
        <f>IF(B809="","",IF(P809="","Aberto","Fechado"))</f>
        <v/>
      </c>
    </row>
    <row r="810">
      <c r="C810" s="6" t="n"/>
      <c r="E810" s="7" t="n"/>
      <c r="F810" s="8" t="n"/>
      <c r="G810" s="8" t="n"/>
      <c r="H810" s="8" t="n"/>
      <c r="J810" s="7" t="n"/>
      <c r="K810" s="8" t="n"/>
      <c r="L810" s="7" t="n"/>
      <c r="M810" s="8" t="n"/>
      <c r="N810" s="7" t="n"/>
      <c r="O810" s="8" t="n"/>
      <c r="P810" s="6" t="n"/>
      <c r="Q810" s="8" t="n"/>
      <c r="S810" s="8">
        <f>IF(B810="","",E810*F810)</f>
        <v/>
      </c>
      <c r="T810" s="8">
        <f>IF(OR(B810="",N(G810)=0),"",ABS(F810-G810)*E810)</f>
        <v/>
      </c>
      <c r="U810" s="8">
        <f>IF(OR(B810="",P810=""),"",IF(D810="Venda",-1,1)*((N(J810)*N(K810)+N(L810)*N(M810)+N(N810)*N(O810))-(N(J810)+N(L810)+N(N810))*F810)-N(Q810))</f>
        <v/>
      </c>
      <c r="V810" s="9">
        <f>IF(OR(B810="",P810=""),"",U810/S810)</f>
        <v/>
      </c>
      <c r="W810">
        <f>IF(OR(B810="",P810=""),"",NETWORKDAYS(C810,P810)-1)</f>
        <v/>
      </c>
      <c r="X810">
        <f>IF(B810="","",IF(P810="","Aberto","Fechado"))</f>
        <v/>
      </c>
    </row>
    <row r="811">
      <c r="C811" s="6" t="n"/>
      <c r="E811" s="7" t="n"/>
      <c r="F811" s="8" t="n"/>
      <c r="G811" s="8" t="n"/>
      <c r="H811" s="8" t="n"/>
      <c r="J811" s="7" t="n"/>
      <c r="K811" s="8" t="n"/>
      <c r="L811" s="7" t="n"/>
      <c r="M811" s="8" t="n"/>
      <c r="N811" s="7" t="n"/>
      <c r="O811" s="8" t="n"/>
      <c r="P811" s="6" t="n"/>
      <c r="Q811" s="8" t="n"/>
      <c r="S811" s="8">
        <f>IF(B811="","",E811*F811)</f>
        <v/>
      </c>
      <c r="T811" s="8">
        <f>IF(OR(B811="",N(G811)=0),"",ABS(F811-G811)*E811)</f>
        <v/>
      </c>
      <c r="U811" s="8">
        <f>IF(OR(B811="",P811=""),"",IF(D811="Venda",-1,1)*((N(J811)*N(K811)+N(L811)*N(M811)+N(N811)*N(O811))-(N(J811)+N(L811)+N(N811))*F811)-N(Q811))</f>
        <v/>
      </c>
      <c r="V811" s="9">
        <f>IF(OR(B811="",P811=""),"",U811/S811)</f>
        <v/>
      </c>
      <c r="W811">
        <f>IF(OR(B811="",P811=""),"",NETWORKDAYS(C811,P811)-1)</f>
        <v/>
      </c>
      <c r="X811">
        <f>IF(B811="","",IF(P811="","Aberto","Fechado"))</f>
        <v/>
      </c>
    </row>
    <row r="812">
      <c r="C812" s="6" t="n"/>
      <c r="E812" s="7" t="n"/>
      <c r="F812" s="8" t="n"/>
      <c r="G812" s="8" t="n"/>
      <c r="H812" s="8" t="n"/>
      <c r="J812" s="7" t="n"/>
      <c r="K812" s="8" t="n"/>
      <c r="L812" s="7" t="n"/>
      <c r="M812" s="8" t="n"/>
      <c r="N812" s="7" t="n"/>
      <c r="O812" s="8" t="n"/>
      <c r="P812" s="6" t="n"/>
      <c r="Q812" s="8" t="n"/>
      <c r="S812" s="8">
        <f>IF(B812="","",E812*F812)</f>
        <v/>
      </c>
      <c r="T812" s="8">
        <f>IF(OR(B812="",N(G812)=0),"",ABS(F812-G812)*E812)</f>
        <v/>
      </c>
      <c r="U812" s="8">
        <f>IF(OR(B812="",P812=""),"",IF(D812="Venda",-1,1)*((N(J812)*N(K812)+N(L812)*N(M812)+N(N812)*N(O812))-(N(J812)+N(L812)+N(N812))*F812)-N(Q812))</f>
        <v/>
      </c>
      <c r="V812" s="9">
        <f>IF(OR(B812="",P812=""),"",U812/S812)</f>
        <v/>
      </c>
      <c r="W812">
        <f>IF(OR(B812="",P812=""),"",NETWORKDAYS(C812,P812)-1)</f>
        <v/>
      </c>
      <c r="X812">
        <f>IF(B812="","",IF(P812="","Aberto","Fechado"))</f>
        <v/>
      </c>
    </row>
    <row r="813">
      <c r="C813" s="6" t="n"/>
      <c r="E813" s="7" t="n"/>
      <c r="F813" s="8" t="n"/>
      <c r="G813" s="8" t="n"/>
      <c r="H813" s="8" t="n"/>
      <c r="J813" s="7" t="n"/>
      <c r="K813" s="8" t="n"/>
      <c r="L813" s="7" t="n"/>
      <c r="M813" s="8" t="n"/>
      <c r="N813" s="7" t="n"/>
      <c r="O813" s="8" t="n"/>
      <c r="P813" s="6" t="n"/>
      <c r="Q813" s="8" t="n"/>
      <c r="S813" s="8">
        <f>IF(B813="","",E813*F813)</f>
        <v/>
      </c>
      <c r="T813" s="8">
        <f>IF(OR(B813="",N(G813)=0),"",ABS(F813-G813)*E813)</f>
        <v/>
      </c>
      <c r="U813" s="8">
        <f>IF(OR(B813="",P813=""),"",IF(D813="Venda",-1,1)*((N(J813)*N(K813)+N(L813)*N(M813)+N(N813)*N(O813))-(N(J813)+N(L813)+N(N813))*F813)-N(Q813))</f>
        <v/>
      </c>
      <c r="V813" s="9">
        <f>IF(OR(B813="",P813=""),"",U813/S813)</f>
        <v/>
      </c>
      <c r="W813">
        <f>IF(OR(B813="",P813=""),"",NETWORKDAYS(C813,P813)-1)</f>
        <v/>
      </c>
      <c r="X813">
        <f>IF(B813="","",IF(P813="","Aberto","Fechado"))</f>
        <v/>
      </c>
    </row>
    <row r="814">
      <c r="C814" s="6" t="n"/>
      <c r="E814" s="7" t="n"/>
      <c r="F814" s="8" t="n"/>
      <c r="G814" s="8" t="n"/>
      <c r="H814" s="8" t="n"/>
      <c r="J814" s="7" t="n"/>
      <c r="K814" s="8" t="n"/>
      <c r="L814" s="7" t="n"/>
      <c r="M814" s="8" t="n"/>
      <c r="N814" s="7" t="n"/>
      <c r="O814" s="8" t="n"/>
      <c r="P814" s="6" t="n"/>
      <c r="Q814" s="8" t="n"/>
      <c r="S814" s="8">
        <f>IF(B814="","",E814*F814)</f>
        <v/>
      </c>
      <c r="T814" s="8">
        <f>IF(OR(B814="",N(G814)=0),"",ABS(F814-G814)*E814)</f>
        <v/>
      </c>
      <c r="U814" s="8">
        <f>IF(OR(B814="",P814=""),"",IF(D814="Venda",-1,1)*((N(J814)*N(K814)+N(L814)*N(M814)+N(N814)*N(O814))-(N(J814)+N(L814)+N(N814))*F814)-N(Q814))</f>
        <v/>
      </c>
      <c r="V814" s="9">
        <f>IF(OR(B814="",P814=""),"",U814/S814)</f>
        <v/>
      </c>
      <c r="W814">
        <f>IF(OR(B814="",P814=""),"",NETWORKDAYS(C814,P814)-1)</f>
        <v/>
      </c>
      <c r="X814">
        <f>IF(B814="","",IF(P814="","Aberto","Fechado"))</f>
        <v/>
      </c>
    </row>
    <row r="815">
      <c r="C815" s="6" t="n"/>
      <c r="E815" s="7" t="n"/>
      <c r="F815" s="8" t="n"/>
      <c r="G815" s="8" t="n"/>
      <c r="H815" s="8" t="n"/>
      <c r="J815" s="7" t="n"/>
      <c r="K815" s="8" t="n"/>
      <c r="L815" s="7" t="n"/>
      <c r="M815" s="8" t="n"/>
      <c r="N815" s="7" t="n"/>
      <c r="O815" s="8" t="n"/>
      <c r="P815" s="6" t="n"/>
      <c r="Q815" s="8" t="n"/>
      <c r="S815" s="8">
        <f>IF(B815="","",E815*F815)</f>
        <v/>
      </c>
      <c r="T815" s="8">
        <f>IF(OR(B815="",N(G815)=0),"",ABS(F815-G815)*E815)</f>
        <v/>
      </c>
      <c r="U815" s="8">
        <f>IF(OR(B815="",P815=""),"",IF(D815="Venda",-1,1)*((N(J815)*N(K815)+N(L815)*N(M815)+N(N815)*N(O815))-(N(J815)+N(L815)+N(N815))*F815)-N(Q815))</f>
        <v/>
      </c>
      <c r="V815" s="9">
        <f>IF(OR(B815="",P815=""),"",U815/S815)</f>
        <v/>
      </c>
      <c r="W815">
        <f>IF(OR(B815="",P815=""),"",NETWORKDAYS(C815,P815)-1)</f>
        <v/>
      </c>
      <c r="X815">
        <f>IF(B815="","",IF(P815="","Aberto","Fechado"))</f>
        <v/>
      </c>
    </row>
    <row r="816">
      <c r="C816" s="6" t="n"/>
      <c r="E816" s="7" t="n"/>
      <c r="F816" s="8" t="n"/>
      <c r="G816" s="8" t="n"/>
      <c r="H816" s="8" t="n"/>
      <c r="J816" s="7" t="n"/>
      <c r="K816" s="8" t="n"/>
      <c r="L816" s="7" t="n"/>
      <c r="M816" s="8" t="n"/>
      <c r="N816" s="7" t="n"/>
      <c r="O816" s="8" t="n"/>
      <c r="P816" s="6" t="n"/>
      <c r="Q816" s="8" t="n"/>
      <c r="S816" s="8">
        <f>IF(B816="","",E816*F816)</f>
        <v/>
      </c>
      <c r="T816" s="8">
        <f>IF(OR(B816="",N(G816)=0),"",ABS(F816-G816)*E816)</f>
        <v/>
      </c>
      <c r="U816" s="8">
        <f>IF(OR(B816="",P816=""),"",IF(D816="Venda",-1,1)*((N(J816)*N(K816)+N(L816)*N(M816)+N(N816)*N(O816))-(N(J816)+N(L816)+N(N816))*F816)-N(Q816))</f>
        <v/>
      </c>
      <c r="V816" s="9">
        <f>IF(OR(B816="",P816=""),"",U816/S816)</f>
        <v/>
      </c>
      <c r="W816">
        <f>IF(OR(B816="",P816=""),"",NETWORKDAYS(C816,P816)-1)</f>
        <v/>
      </c>
      <c r="X816">
        <f>IF(B816="","",IF(P816="","Aberto","Fechado"))</f>
        <v/>
      </c>
    </row>
    <row r="817">
      <c r="C817" s="6" t="n"/>
      <c r="E817" s="7" t="n"/>
      <c r="F817" s="8" t="n"/>
      <c r="G817" s="8" t="n"/>
      <c r="H817" s="8" t="n"/>
      <c r="J817" s="7" t="n"/>
      <c r="K817" s="8" t="n"/>
      <c r="L817" s="7" t="n"/>
      <c r="M817" s="8" t="n"/>
      <c r="N817" s="7" t="n"/>
      <c r="O817" s="8" t="n"/>
      <c r="P817" s="6" t="n"/>
      <c r="Q817" s="8" t="n"/>
      <c r="S817" s="8">
        <f>IF(B817="","",E817*F817)</f>
        <v/>
      </c>
      <c r="T817" s="8">
        <f>IF(OR(B817="",N(G817)=0),"",ABS(F817-G817)*E817)</f>
        <v/>
      </c>
      <c r="U817" s="8">
        <f>IF(OR(B817="",P817=""),"",IF(D817="Venda",-1,1)*((N(J817)*N(K817)+N(L817)*N(M817)+N(N817)*N(O817))-(N(J817)+N(L817)+N(N817))*F817)-N(Q817))</f>
        <v/>
      </c>
      <c r="V817" s="9">
        <f>IF(OR(B817="",P817=""),"",U817/S817)</f>
        <v/>
      </c>
      <c r="W817">
        <f>IF(OR(B817="",P817=""),"",NETWORKDAYS(C817,P817)-1)</f>
        <v/>
      </c>
      <c r="X817">
        <f>IF(B817="","",IF(P817="","Aberto","Fechado"))</f>
        <v/>
      </c>
    </row>
    <row r="818">
      <c r="C818" s="6" t="n"/>
      <c r="E818" s="7" t="n"/>
      <c r="F818" s="8" t="n"/>
      <c r="G818" s="8" t="n"/>
      <c r="H818" s="8" t="n"/>
      <c r="J818" s="7" t="n"/>
      <c r="K818" s="8" t="n"/>
      <c r="L818" s="7" t="n"/>
      <c r="M818" s="8" t="n"/>
      <c r="N818" s="7" t="n"/>
      <c r="O818" s="8" t="n"/>
      <c r="P818" s="6" t="n"/>
      <c r="Q818" s="8" t="n"/>
      <c r="S818" s="8">
        <f>IF(B818="","",E818*F818)</f>
        <v/>
      </c>
      <c r="T818" s="8">
        <f>IF(OR(B818="",N(G818)=0),"",ABS(F818-G818)*E818)</f>
        <v/>
      </c>
      <c r="U818" s="8">
        <f>IF(OR(B818="",P818=""),"",IF(D818="Venda",-1,1)*((N(J818)*N(K818)+N(L818)*N(M818)+N(N818)*N(O818))-(N(J818)+N(L818)+N(N818))*F818)-N(Q818))</f>
        <v/>
      </c>
      <c r="V818" s="9">
        <f>IF(OR(B818="",P818=""),"",U818/S818)</f>
        <v/>
      </c>
      <c r="W818">
        <f>IF(OR(B818="",P818=""),"",NETWORKDAYS(C818,P818)-1)</f>
        <v/>
      </c>
      <c r="X818">
        <f>IF(B818="","",IF(P818="","Aberto","Fechado"))</f>
        <v/>
      </c>
    </row>
    <row r="819">
      <c r="C819" s="6" t="n"/>
      <c r="E819" s="7" t="n"/>
      <c r="F819" s="8" t="n"/>
      <c r="G819" s="8" t="n"/>
      <c r="H819" s="8" t="n"/>
      <c r="J819" s="7" t="n"/>
      <c r="K819" s="8" t="n"/>
      <c r="L819" s="7" t="n"/>
      <c r="M819" s="8" t="n"/>
      <c r="N819" s="7" t="n"/>
      <c r="O819" s="8" t="n"/>
      <c r="P819" s="6" t="n"/>
      <c r="Q819" s="8" t="n"/>
      <c r="S819" s="8">
        <f>IF(B819="","",E819*F819)</f>
        <v/>
      </c>
      <c r="T819" s="8">
        <f>IF(OR(B819="",N(G819)=0),"",ABS(F819-G819)*E819)</f>
        <v/>
      </c>
      <c r="U819" s="8">
        <f>IF(OR(B819="",P819=""),"",IF(D819="Venda",-1,1)*((N(J819)*N(K819)+N(L819)*N(M819)+N(N819)*N(O819))-(N(J819)+N(L819)+N(N819))*F819)-N(Q819))</f>
        <v/>
      </c>
      <c r="V819" s="9">
        <f>IF(OR(B819="",P819=""),"",U819/S819)</f>
        <v/>
      </c>
      <c r="W819">
        <f>IF(OR(B819="",P819=""),"",NETWORKDAYS(C819,P819)-1)</f>
        <v/>
      </c>
      <c r="X819">
        <f>IF(B819="","",IF(P819="","Aberto","Fechado"))</f>
        <v/>
      </c>
    </row>
    <row r="820">
      <c r="C820" s="6" t="n"/>
      <c r="E820" s="7" t="n"/>
      <c r="F820" s="8" t="n"/>
      <c r="G820" s="8" t="n"/>
      <c r="H820" s="8" t="n"/>
      <c r="J820" s="7" t="n"/>
      <c r="K820" s="8" t="n"/>
      <c r="L820" s="7" t="n"/>
      <c r="M820" s="8" t="n"/>
      <c r="N820" s="7" t="n"/>
      <c r="O820" s="8" t="n"/>
      <c r="P820" s="6" t="n"/>
      <c r="Q820" s="8" t="n"/>
      <c r="S820" s="8">
        <f>IF(B820="","",E820*F820)</f>
        <v/>
      </c>
      <c r="T820" s="8">
        <f>IF(OR(B820="",N(G820)=0),"",ABS(F820-G820)*E820)</f>
        <v/>
      </c>
      <c r="U820" s="8">
        <f>IF(OR(B820="",P820=""),"",IF(D820="Venda",-1,1)*((N(J820)*N(K820)+N(L820)*N(M820)+N(N820)*N(O820))-(N(J820)+N(L820)+N(N820))*F820)-N(Q820))</f>
        <v/>
      </c>
      <c r="V820" s="9">
        <f>IF(OR(B820="",P820=""),"",U820/S820)</f>
        <v/>
      </c>
      <c r="W820">
        <f>IF(OR(B820="",P820=""),"",NETWORKDAYS(C820,P820)-1)</f>
        <v/>
      </c>
      <c r="X820">
        <f>IF(B820="","",IF(P820="","Aberto","Fechado"))</f>
        <v/>
      </c>
    </row>
    <row r="821">
      <c r="C821" s="6" t="n"/>
      <c r="E821" s="7" t="n"/>
      <c r="F821" s="8" t="n"/>
      <c r="G821" s="8" t="n"/>
      <c r="H821" s="8" t="n"/>
      <c r="J821" s="7" t="n"/>
      <c r="K821" s="8" t="n"/>
      <c r="L821" s="7" t="n"/>
      <c r="M821" s="8" t="n"/>
      <c r="N821" s="7" t="n"/>
      <c r="O821" s="8" t="n"/>
      <c r="P821" s="6" t="n"/>
      <c r="Q821" s="8" t="n"/>
      <c r="S821" s="8">
        <f>IF(B821="","",E821*F821)</f>
        <v/>
      </c>
      <c r="T821" s="8">
        <f>IF(OR(B821="",N(G821)=0),"",ABS(F821-G821)*E821)</f>
        <v/>
      </c>
      <c r="U821" s="8">
        <f>IF(OR(B821="",P821=""),"",IF(D821="Venda",-1,1)*((N(J821)*N(K821)+N(L821)*N(M821)+N(N821)*N(O821))-(N(J821)+N(L821)+N(N821))*F821)-N(Q821))</f>
        <v/>
      </c>
      <c r="V821" s="9">
        <f>IF(OR(B821="",P821=""),"",U821/S821)</f>
        <v/>
      </c>
      <c r="W821">
        <f>IF(OR(B821="",P821=""),"",NETWORKDAYS(C821,P821)-1)</f>
        <v/>
      </c>
      <c r="X821">
        <f>IF(B821="","",IF(P821="","Aberto","Fechado"))</f>
        <v/>
      </c>
    </row>
    <row r="822">
      <c r="C822" s="6" t="n"/>
      <c r="E822" s="7" t="n"/>
      <c r="F822" s="8" t="n"/>
      <c r="G822" s="8" t="n"/>
      <c r="H822" s="8" t="n"/>
      <c r="J822" s="7" t="n"/>
      <c r="K822" s="8" t="n"/>
      <c r="L822" s="7" t="n"/>
      <c r="M822" s="8" t="n"/>
      <c r="N822" s="7" t="n"/>
      <c r="O822" s="8" t="n"/>
      <c r="P822" s="6" t="n"/>
      <c r="Q822" s="8" t="n"/>
      <c r="S822" s="8">
        <f>IF(B822="","",E822*F822)</f>
        <v/>
      </c>
      <c r="T822" s="8">
        <f>IF(OR(B822="",N(G822)=0),"",ABS(F822-G822)*E822)</f>
        <v/>
      </c>
      <c r="U822" s="8">
        <f>IF(OR(B822="",P822=""),"",IF(D822="Venda",-1,1)*((N(J822)*N(K822)+N(L822)*N(M822)+N(N822)*N(O822))-(N(J822)+N(L822)+N(N822))*F822)-N(Q822))</f>
        <v/>
      </c>
      <c r="V822" s="9">
        <f>IF(OR(B822="",P822=""),"",U822/S822)</f>
        <v/>
      </c>
      <c r="W822">
        <f>IF(OR(B822="",P822=""),"",NETWORKDAYS(C822,P822)-1)</f>
        <v/>
      </c>
      <c r="X822">
        <f>IF(B822="","",IF(P822="","Aberto","Fechado"))</f>
        <v/>
      </c>
    </row>
    <row r="823">
      <c r="C823" s="6" t="n"/>
      <c r="E823" s="7" t="n"/>
      <c r="F823" s="8" t="n"/>
      <c r="G823" s="8" t="n"/>
      <c r="H823" s="8" t="n"/>
      <c r="J823" s="7" t="n"/>
      <c r="K823" s="8" t="n"/>
      <c r="L823" s="7" t="n"/>
      <c r="M823" s="8" t="n"/>
      <c r="N823" s="7" t="n"/>
      <c r="O823" s="8" t="n"/>
      <c r="P823" s="6" t="n"/>
      <c r="Q823" s="8" t="n"/>
      <c r="S823" s="8">
        <f>IF(B823="","",E823*F823)</f>
        <v/>
      </c>
      <c r="T823" s="8">
        <f>IF(OR(B823="",N(G823)=0),"",ABS(F823-G823)*E823)</f>
        <v/>
      </c>
      <c r="U823" s="8">
        <f>IF(OR(B823="",P823=""),"",IF(D823="Venda",-1,1)*((N(J823)*N(K823)+N(L823)*N(M823)+N(N823)*N(O823))-(N(J823)+N(L823)+N(N823))*F823)-N(Q823))</f>
        <v/>
      </c>
      <c r="V823" s="9">
        <f>IF(OR(B823="",P823=""),"",U823/S823)</f>
        <v/>
      </c>
      <c r="W823">
        <f>IF(OR(B823="",P823=""),"",NETWORKDAYS(C823,P823)-1)</f>
        <v/>
      </c>
      <c r="X823">
        <f>IF(B823="","",IF(P823="","Aberto","Fechado"))</f>
        <v/>
      </c>
    </row>
    <row r="824">
      <c r="C824" s="6" t="n"/>
      <c r="E824" s="7" t="n"/>
      <c r="F824" s="8" t="n"/>
      <c r="G824" s="8" t="n"/>
      <c r="H824" s="8" t="n"/>
      <c r="J824" s="7" t="n"/>
      <c r="K824" s="8" t="n"/>
      <c r="L824" s="7" t="n"/>
      <c r="M824" s="8" t="n"/>
      <c r="N824" s="7" t="n"/>
      <c r="O824" s="8" t="n"/>
      <c r="P824" s="6" t="n"/>
      <c r="Q824" s="8" t="n"/>
      <c r="S824" s="8">
        <f>IF(B824="","",E824*F824)</f>
        <v/>
      </c>
      <c r="T824" s="8">
        <f>IF(OR(B824="",N(G824)=0),"",ABS(F824-G824)*E824)</f>
        <v/>
      </c>
      <c r="U824" s="8">
        <f>IF(OR(B824="",P824=""),"",IF(D824="Venda",-1,1)*((N(J824)*N(K824)+N(L824)*N(M824)+N(N824)*N(O824))-(N(J824)+N(L824)+N(N824))*F824)-N(Q824))</f>
        <v/>
      </c>
      <c r="V824" s="9">
        <f>IF(OR(B824="",P824=""),"",U824/S824)</f>
        <v/>
      </c>
      <c r="W824">
        <f>IF(OR(B824="",P824=""),"",NETWORKDAYS(C824,P824)-1)</f>
        <v/>
      </c>
      <c r="X824">
        <f>IF(B824="","",IF(P824="","Aberto","Fechado"))</f>
        <v/>
      </c>
    </row>
    <row r="825">
      <c r="C825" s="6" t="n"/>
      <c r="E825" s="7" t="n"/>
      <c r="F825" s="8" t="n"/>
      <c r="G825" s="8" t="n"/>
      <c r="H825" s="8" t="n"/>
      <c r="J825" s="7" t="n"/>
      <c r="K825" s="8" t="n"/>
      <c r="L825" s="7" t="n"/>
      <c r="M825" s="8" t="n"/>
      <c r="N825" s="7" t="n"/>
      <c r="O825" s="8" t="n"/>
      <c r="P825" s="6" t="n"/>
      <c r="Q825" s="8" t="n"/>
      <c r="S825" s="8">
        <f>IF(B825="","",E825*F825)</f>
        <v/>
      </c>
      <c r="T825" s="8">
        <f>IF(OR(B825="",N(G825)=0),"",ABS(F825-G825)*E825)</f>
        <v/>
      </c>
      <c r="U825" s="8">
        <f>IF(OR(B825="",P825=""),"",IF(D825="Venda",-1,1)*((N(J825)*N(K825)+N(L825)*N(M825)+N(N825)*N(O825))-(N(J825)+N(L825)+N(N825))*F825)-N(Q825))</f>
        <v/>
      </c>
      <c r="V825" s="9">
        <f>IF(OR(B825="",P825=""),"",U825/S825)</f>
        <v/>
      </c>
      <c r="W825">
        <f>IF(OR(B825="",P825=""),"",NETWORKDAYS(C825,P825)-1)</f>
        <v/>
      </c>
      <c r="X825">
        <f>IF(B825="","",IF(P825="","Aberto","Fechado"))</f>
        <v/>
      </c>
    </row>
    <row r="826">
      <c r="C826" s="6" t="n"/>
      <c r="E826" s="7" t="n"/>
      <c r="F826" s="8" t="n"/>
      <c r="G826" s="8" t="n"/>
      <c r="H826" s="8" t="n"/>
      <c r="J826" s="7" t="n"/>
      <c r="K826" s="8" t="n"/>
      <c r="L826" s="7" t="n"/>
      <c r="M826" s="8" t="n"/>
      <c r="N826" s="7" t="n"/>
      <c r="O826" s="8" t="n"/>
      <c r="P826" s="6" t="n"/>
      <c r="Q826" s="8" t="n"/>
      <c r="S826" s="8">
        <f>IF(B826="","",E826*F826)</f>
        <v/>
      </c>
      <c r="T826" s="8">
        <f>IF(OR(B826="",N(G826)=0),"",ABS(F826-G826)*E826)</f>
        <v/>
      </c>
      <c r="U826" s="8">
        <f>IF(OR(B826="",P826=""),"",IF(D826="Venda",-1,1)*((N(J826)*N(K826)+N(L826)*N(M826)+N(N826)*N(O826))-(N(J826)+N(L826)+N(N826))*F826)-N(Q826))</f>
        <v/>
      </c>
      <c r="V826" s="9">
        <f>IF(OR(B826="",P826=""),"",U826/S826)</f>
        <v/>
      </c>
      <c r="W826">
        <f>IF(OR(B826="",P826=""),"",NETWORKDAYS(C826,P826)-1)</f>
        <v/>
      </c>
      <c r="X826">
        <f>IF(B826="","",IF(P826="","Aberto","Fechado"))</f>
        <v/>
      </c>
    </row>
    <row r="827">
      <c r="C827" s="6" t="n"/>
      <c r="E827" s="7" t="n"/>
      <c r="F827" s="8" t="n"/>
      <c r="G827" s="8" t="n"/>
      <c r="H827" s="8" t="n"/>
      <c r="J827" s="7" t="n"/>
      <c r="K827" s="8" t="n"/>
      <c r="L827" s="7" t="n"/>
      <c r="M827" s="8" t="n"/>
      <c r="N827" s="7" t="n"/>
      <c r="O827" s="8" t="n"/>
      <c r="P827" s="6" t="n"/>
      <c r="Q827" s="8" t="n"/>
      <c r="S827" s="8">
        <f>IF(B827="","",E827*F827)</f>
        <v/>
      </c>
      <c r="T827" s="8">
        <f>IF(OR(B827="",N(G827)=0),"",ABS(F827-G827)*E827)</f>
        <v/>
      </c>
      <c r="U827" s="8">
        <f>IF(OR(B827="",P827=""),"",IF(D827="Venda",-1,1)*((N(J827)*N(K827)+N(L827)*N(M827)+N(N827)*N(O827))-(N(J827)+N(L827)+N(N827))*F827)-N(Q827))</f>
        <v/>
      </c>
      <c r="V827" s="9">
        <f>IF(OR(B827="",P827=""),"",U827/S827)</f>
        <v/>
      </c>
      <c r="W827">
        <f>IF(OR(B827="",P827=""),"",NETWORKDAYS(C827,P827)-1)</f>
        <v/>
      </c>
      <c r="X827">
        <f>IF(B827="","",IF(P827="","Aberto","Fechado"))</f>
        <v/>
      </c>
    </row>
    <row r="828">
      <c r="C828" s="6" t="n"/>
      <c r="E828" s="7" t="n"/>
      <c r="F828" s="8" t="n"/>
      <c r="G828" s="8" t="n"/>
      <c r="H828" s="8" t="n"/>
      <c r="J828" s="7" t="n"/>
      <c r="K828" s="8" t="n"/>
      <c r="L828" s="7" t="n"/>
      <c r="M828" s="8" t="n"/>
      <c r="N828" s="7" t="n"/>
      <c r="O828" s="8" t="n"/>
      <c r="P828" s="6" t="n"/>
      <c r="Q828" s="8" t="n"/>
      <c r="S828" s="8">
        <f>IF(B828="","",E828*F828)</f>
        <v/>
      </c>
      <c r="T828" s="8">
        <f>IF(OR(B828="",N(G828)=0),"",ABS(F828-G828)*E828)</f>
        <v/>
      </c>
      <c r="U828" s="8">
        <f>IF(OR(B828="",P828=""),"",IF(D828="Venda",-1,1)*((N(J828)*N(K828)+N(L828)*N(M828)+N(N828)*N(O828))-(N(J828)+N(L828)+N(N828))*F828)-N(Q828))</f>
        <v/>
      </c>
      <c r="V828" s="9">
        <f>IF(OR(B828="",P828=""),"",U828/S828)</f>
        <v/>
      </c>
      <c r="W828">
        <f>IF(OR(B828="",P828=""),"",NETWORKDAYS(C828,P828)-1)</f>
        <v/>
      </c>
      <c r="X828">
        <f>IF(B828="","",IF(P828="","Aberto","Fechado"))</f>
        <v/>
      </c>
    </row>
    <row r="829">
      <c r="C829" s="6" t="n"/>
      <c r="E829" s="7" t="n"/>
      <c r="F829" s="8" t="n"/>
      <c r="G829" s="8" t="n"/>
      <c r="H829" s="8" t="n"/>
      <c r="J829" s="7" t="n"/>
      <c r="K829" s="8" t="n"/>
      <c r="L829" s="7" t="n"/>
      <c r="M829" s="8" t="n"/>
      <c r="N829" s="7" t="n"/>
      <c r="O829" s="8" t="n"/>
      <c r="P829" s="6" t="n"/>
      <c r="Q829" s="8" t="n"/>
      <c r="S829" s="8">
        <f>IF(B829="","",E829*F829)</f>
        <v/>
      </c>
      <c r="T829" s="8">
        <f>IF(OR(B829="",N(G829)=0),"",ABS(F829-G829)*E829)</f>
        <v/>
      </c>
      <c r="U829" s="8">
        <f>IF(OR(B829="",P829=""),"",IF(D829="Venda",-1,1)*((N(J829)*N(K829)+N(L829)*N(M829)+N(N829)*N(O829))-(N(J829)+N(L829)+N(N829))*F829)-N(Q829))</f>
        <v/>
      </c>
      <c r="V829" s="9">
        <f>IF(OR(B829="",P829=""),"",U829/S829)</f>
        <v/>
      </c>
      <c r="W829">
        <f>IF(OR(B829="",P829=""),"",NETWORKDAYS(C829,P829)-1)</f>
        <v/>
      </c>
      <c r="X829">
        <f>IF(B829="","",IF(P829="","Aberto","Fechado"))</f>
        <v/>
      </c>
    </row>
    <row r="830">
      <c r="C830" s="6" t="n"/>
      <c r="E830" s="7" t="n"/>
      <c r="F830" s="8" t="n"/>
      <c r="G830" s="8" t="n"/>
      <c r="H830" s="8" t="n"/>
      <c r="J830" s="7" t="n"/>
      <c r="K830" s="8" t="n"/>
      <c r="L830" s="7" t="n"/>
      <c r="M830" s="8" t="n"/>
      <c r="N830" s="7" t="n"/>
      <c r="O830" s="8" t="n"/>
      <c r="P830" s="6" t="n"/>
      <c r="Q830" s="8" t="n"/>
      <c r="S830" s="8">
        <f>IF(B830="","",E830*F830)</f>
        <v/>
      </c>
      <c r="T830" s="8">
        <f>IF(OR(B830="",N(G830)=0),"",ABS(F830-G830)*E830)</f>
        <v/>
      </c>
      <c r="U830" s="8">
        <f>IF(OR(B830="",P830=""),"",IF(D830="Venda",-1,1)*((N(J830)*N(K830)+N(L830)*N(M830)+N(N830)*N(O830))-(N(J830)+N(L830)+N(N830))*F830)-N(Q830))</f>
        <v/>
      </c>
      <c r="V830" s="9">
        <f>IF(OR(B830="",P830=""),"",U830/S830)</f>
        <v/>
      </c>
      <c r="W830">
        <f>IF(OR(B830="",P830=""),"",NETWORKDAYS(C830,P830)-1)</f>
        <v/>
      </c>
      <c r="X830">
        <f>IF(B830="","",IF(P830="","Aberto","Fechado"))</f>
        <v/>
      </c>
    </row>
    <row r="831">
      <c r="C831" s="6" t="n"/>
      <c r="E831" s="7" t="n"/>
      <c r="F831" s="8" t="n"/>
      <c r="G831" s="8" t="n"/>
      <c r="H831" s="8" t="n"/>
      <c r="J831" s="7" t="n"/>
      <c r="K831" s="8" t="n"/>
      <c r="L831" s="7" t="n"/>
      <c r="M831" s="8" t="n"/>
      <c r="N831" s="7" t="n"/>
      <c r="O831" s="8" t="n"/>
      <c r="P831" s="6" t="n"/>
      <c r="Q831" s="8" t="n"/>
      <c r="S831" s="8">
        <f>IF(B831="","",E831*F831)</f>
        <v/>
      </c>
      <c r="T831" s="8">
        <f>IF(OR(B831="",N(G831)=0),"",ABS(F831-G831)*E831)</f>
        <v/>
      </c>
      <c r="U831" s="8">
        <f>IF(OR(B831="",P831=""),"",IF(D831="Venda",-1,1)*((N(J831)*N(K831)+N(L831)*N(M831)+N(N831)*N(O831))-(N(J831)+N(L831)+N(N831))*F831)-N(Q831))</f>
        <v/>
      </c>
      <c r="V831" s="9">
        <f>IF(OR(B831="",P831=""),"",U831/S831)</f>
        <v/>
      </c>
      <c r="W831">
        <f>IF(OR(B831="",P831=""),"",NETWORKDAYS(C831,P831)-1)</f>
        <v/>
      </c>
      <c r="X831">
        <f>IF(B831="","",IF(P831="","Aberto","Fechado"))</f>
        <v/>
      </c>
    </row>
    <row r="832">
      <c r="C832" s="6" t="n"/>
      <c r="E832" s="7" t="n"/>
      <c r="F832" s="8" t="n"/>
      <c r="G832" s="8" t="n"/>
      <c r="H832" s="8" t="n"/>
      <c r="J832" s="7" t="n"/>
      <c r="K832" s="8" t="n"/>
      <c r="L832" s="7" t="n"/>
      <c r="M832" s="8" t="n"/>
      <c r="N832" s="7" t="n"/>
      <c r="O832" s="8" t="n"/>
      <c r="P832" s="6" t="n"/>
      <c r="Q832" s="8" t="n"/>
      <c r="S832" s="8">
        <f>IF(B832="","",E832*F832)</f>
        <v/>
      </c>
      <c r="T832" s="8">
        <f>IF(OR(B832="",N(G832)=0),"",ABS(F832-G832)*E832)</f>
        <v/>
      </c>
      <c r="U832" s="8">
        <f>IF(OR(B832="",P832=""),"",IF(D832="Venda",-1,1)*((N(J832)*N(K832)+N(L832)*N(M832)+N(N832)*N(O832))-(N(J832)+N(L832)+N(N832))*F832)-N(Q832))</f>
        <v/>
      </c>
      <c r="V832" s="9">
        <f>IF(OR(B832="",P832=""),"",U832/S832)</f>
        <v/>
      </c>
      <c r="W832">
        <f>IF(OR(B832="",P832=""),"",NETWORKDAYS(C832,P832)-1)</f>
        <v/>
      </c>
      <c r="X832">
        <f>IF(B832="","",IF(P832="","Aberto","Fechado"))</f>
        <v/>
      </c>
    </row>
    <row r="833">
      <c r="C833" s="6" t="n"/>
      <c r="E833" s="7" t="n"/>
      <c r="F833" s="8" t="n"/>
      <c r="G833" s="8" t="n"/>
      <c r="H833" s="8" t="n"/>
      <c r="J833" s="7" t="n"/>
      <c r="K833" s="8" t="n"/>
      <c r="L833" s="7" t="n"/>
      <c r="M833" s="8" t="n"/>
      <c r="N833" s="7" t="n"/>
      <c r="O833" s="8" t="n"/>
      <c r="P833" s="6" t="n"/>
      <c r="Q833" s="8" t="n"/>
      <c r="S833" s="8">
        <f>IF(B833="","",E833*F833)</f>
        <v/>
      </c>
      <c r="T833" s="8">
        <f>IF(OR(B833="",N(G833)=0),"",ABS(F833-G833)*E833)</f>
        <v/>
      </c>
      <c r="U833" s="8">
        <f>IF(OR(B833="",P833=""),"",IF(D833="Venda",-1,1)*((N(J833)*N(K833)+N(L833)*N(M833)+N(N833)*N(O833))-(N(J833)+N(L833)+N(N833))*F833)-N(Q833))</f>
        <v/>
      </c>
      <c r="V833" s="9">
        <f>IF(OR(B833="",P833=""),"",U833/S833)</f>
        <v/>
      </c>
      <c r="W833">
        <f>IF(OR(B833="",P833=""),"",NETWORKDAYS(C833,P833)-1)</f>
        <v/>
      </c>
      <c r="X833">
        <f>IF(B833="","",IF(P833="","Aberto","Fechado"))</f>
        <v/>
      </c>
    </row>
    <row r="834">
      <c r="C834" s="6" t="n"/>
      <c r="E834" s="7" t="n"/>
      <c r="F834" s="8" t="n"/>
      <c r="G834" s="8" t="n"/>
      <c r="H834" s="8" t="n"/>
      <c r="J834" s="7" t="n"/>
      <c r="K834" s="8" t="n"/>
      <c r="L834" s="7" t="n"/>
      <c r="M834" s="8" t="n"/>
      <c r="N834" s="7" t="n"/>
      <c r="O834" s="8" t="n"/>
      <c r="P834" s="6" t="n"/>
      <c r="Q834" s="8" t="n"/>
      <c r="S834" s="8">
        <f>IF(B834="","",E834*F834)</f>
        <v/>
      </c>
      <c r="T834" s="8">
        <f>IF(OR(B834="",N(G834)=0),"",ABS(F834-G834)*E834)</f>
        <v/>
      </c>
      <c r="U834" s="8">
        <f>IF(OR(B834="",P834=""),"",IF(D834="Venda",-1,1)*((N(J834)*N(K834)+N(L834)*N(M834)+N(N834)*N(O834))-(N(J834)+N(L834)+N(N834))*F834)-N(Q834))</f>
        <v/>
      </c>
      <c r="V834" s="9">
        <f>IF(OR(B834="",P834=""),"",U834/S834)</f>
        <v/>
      </c>
      <c r="W834">
        <f>IF(OR(B834="",P834=""),"",NETWORKDAYS(C834,P834)-1)</f>
        <v/>
      </c>
      <c r="X834">
        <f>IF(B834="","",IF(P834="","Aberto","Fechado"))</f>
        <v/>
      </c>
    </row>
    <row r="835">
      <c r="C835" s="6" t="n"/>
      <c r="E835" s="7" t="n"/>
      <c r="F835" s="8" t="n"/>
      <c r="G835" s="8" t="n"/>
      <c r="H835" s="8" t="n"/>
      <c r="J835" s="7" t="n"/>
      <c r="K835" s="8" t="n"/>
      <c r="L835" s="7" t="n"/>
      <c r="M835" s="8" t="n"/>
      <c r="N835" s="7" t="n"/>
      <c r="O835" s="8" t="n"/>
      <c r="P835" s="6" t="n"/>
      <c r="Q835" s="8" t="n"/>
      <c r="S835" s="8">
        <f>IF(B835="","",E835*F835)</f>
        <v/>
      </c>
      <c r="T835" s="8">
        <f>IF(OR(B835="",N(G835)=0),"",ABS(F835-G835)*E835)</f>
        <v/>
      </c>
      <c r="U835" s="8">
        <f>IF(OR(B835="",P835=""),"",IF(D835="Venda",-1,1)*((N(J835)*N(K835)+N(L835)*N(M835)+N(N835)*N(O835))-(N(J835)+N(L835)+N(N835))*F835)-N(Q835))</f>
        <v/>
      </c>
      <c r="V835" s="9">
        <f>IF(OR(B835="",P835=""),"",U835/S835)</f>
        <v/>
      </c>
      <c r="W835">
        <f>IF(OR(B835="",P835=""),"",NETWORKDAYS(C835,P835)-1)</f>
        <v/>
      </c>
      <c r="X835">
        <f>IF(B835="","",IF(P835="","Aberto","Fechado"))</f>
        <v/>
      </c>
    </row>
    <row r="836">
      <c r="C836" s="6" t="n"/>
      <c r="E836" s="7" t="n"/>
      <c r="F836" s="8" t="n"/>
      <c r="G836" s="8" t="n"/>
      <c r="H836" s="8" t="n"/>
      <c r="J836" s="7" t="n"/>
      <c r="K836" s="8" t="n"/>
      <c r="L836" s="7" t="n"/>
      <c r="M836" s="8" t="n"/>
      <c r="N836" s="7" t="n"/>
      <c r="O836" s="8" t="n"/>
      <c r="P836" s="6" t="n"/>
      <c r="Q836" s="8" t="n"/>
      <c r="S836" s="8">
        <f>IF(B836="","",E836*F836)</f>
        <v/>
      </c>
      <c r="T836" s="8">
        <f>IF(OR(B836="",N(G836)=0),"",ABS(F836-G836)*E836)</f>
        <v/>
      </c>
      <c r="U836" s="8">
        <f>IF(OR(B836="",P836=""),"",IF(D836="Venda",-1,1)*((N(J836)*N(K836)+N(L836)*N(M836)+N(N836)*N(O836))-(N(J836)+N(L836)+N(N836))*F836)-N(Q836))</f>
        <v/>
      </c>
      <c r="V836" s="9">
        <f>IF(OR(B836="",P836=""),"",U836/S836)</f>
        <v/>
      </c>
      <c r="W836">
        <f>IF(OR(B836="",P836=""),"",NETWORKDAYS(C836,P836)-1)</f>
        <v/>
      </c>
      <c r="X836">
        <f>IF(B836="","",IF(P836="","Aberto","Fechado"))</f>
        <v/>
      </c>
    </row>
    <row r="837">
      <c r="C837" s="6" t="n"/>
      <c r="E837" s="7" t="n"/>
      <c r="F837" s="8" t="n"/>
      <c r="G837" s="8" t="n"/>
      <c r="H837" s="8" t="n"/>
      <c r="J837" s="7" t="n"/>
      <c r="K837" s="8" t="n"/>
      <c r="L837" s="7" t="n"/>
      <c r="M837" s="8" t="n"/>
      <c r="N837" s="7" t="n"/>
      <c r="O837" s="8" t="n"/>
      <c r="P837" s="6" t="n"/>
      <c r="Q837" s="8" t="n"/>
      <c r="S837" s="8">
        <f>IF(B837="","",E837*F837)</f>
        <v/>
      </c>
      <c r="T837" s="8">
        <f>IF(OR(B837="",N(G837)=0),"",ABS(F837-G837)*E837)</f>
        <v/>
      </c>
      <c r="U837" s="8">
        <f>IF(OR(B837="",P837=""),"",IF(D837="Venda",-1,1)*((N(J837)*N(K837)+N(L837)*N(M837)+N(N837)*N(O837))-(N(J837)+N(L837)+N(N837))*F837)-N(Q837))</f>
        <v/>
      </c>
      <c r="V837" s="9">
        <f>IF(OR(B837="",P837=""),"",U837/S837)</f>
        <v/>
      </c>
      <c r="W837">
        <f>IF(OR(B837="",P837=""),"",NETWORKDAYS(C837,P837)-1)</f>
        <v/>
      </c>
      <c r="X837">
        <f>IF(B837="","",IF(P837="","Aberto","Fechado"))</f>
        <v/>
      </c>
    </row>
    <row r="838">
      <c r="C838" s="6" t="n"/>
      <c r="E838" s="7" t="n"/>
      <c r="F838" s="8" t="n"/>
      <c r="G838" s="8" t="n"/>
      <c r="H838" s="8" t="n"/>
      <c r="J838" s="7" t="n"/>
      <c r="K838" s="8" t="n"/>
      <c r="L838" s="7" t="n"/>
      <c r="M838" s="8" t="n"/>
      <c r="N838" s="7" t="n"/>
      <c r="O838" s="8" t="n"/>
      <c r="P838" s="6" t="n"/>
      <c r="Q838" s="8" t="n"/>
      <c r="S838" s="8">
        <f>IF(B838="","",E838*F838)</f>
        <v/>
      </c>
      <c r="T838" s="8">
        <f>IF(OR(B838="",N(G838)=0),"",ABS(F838-G838)*E838)</f>
        <v/>
      </c>
      <c r="U838" s="8">
        <f>IF(OR(B838="",P838=""),"",IF(D838="Venda",-1,1)*((N(J838)*N(K838)+N(L838)*N(M838)+N(N838)*N(O838))-(N(J838)+N(L838)+N(N838))*F838)-N(Q838))</f>
        <v/>
      </c>
      <c r="V838" s="9">
        <f>IF(OR(B838="",P838=""),"",U838/S838)</f>
        <v/>
      </c>
      <c r="W838">
        <f>IF(OR(B838="",P838=""),"",NETWORKDAYS(C838,P838)-1)</f>
        <v/>
      </c>
      <c r="X838">
        <f>IF(B838="","",IF(P838="","Aberto","Fechado"))</f>
        <v/>
      </c>
    </row>
    <row r="839">
      <c r="C839" s="6" t="n"/>
      <c r="E839" s="7" t="n"/>
      <c r="F839" s="8" t="n"/>
      <c r="G839" s="8" t="n"/>
      <c r="H839" s="8" t="n"/>
      <c r="J839" s="7" t="n"/>
      <c r="K839" s="8" t="n"/>
      <c r="L839" s="7" t="n"/>
      <c r="M839" s="8" t="n"/>
      <c r="N839" s="7" t="n"/>
      <c r="O839" s="8" t="n"/>
      <c r="P839" s="6" t="n"/>
      <c r="Q839" s="8" t="n"/>
      <c r="S839" s="8">
        <f>IF(B839="","",E839*F839)</f>
        <v/>
      </c>
      <c r="T839" s="8">
        <f>IF(OR(B839="",N(G839)=0),"",ABS(F839-G839)*E839)</f>
        <v/>
      </c>
      <c r="U839" s="8">
        <f>IF(OR(B839="",P839=""),"",IF(D839="Venda",-1,1)*((N(J839)*N(K839)+N(L839)*N(M839)+N(N839)*N(O839))-(N(J839)+N(L839)+N(N839))*F839)-N(Q839))</f>
        <v/>
      </c>
      <c r="V839" s="9">
        <f>IF(OR(B839="",P839=""),"",U839/S839)</f>
        <v/>
      </c>
      <c r="W839">
        <f>IF(OR(B839="",P839=""),"",NETWORKDAYS(C839,P839)-1)</f>
        <v/>
      </c>
      <c r="X839">
        <f>IF(B839="","",IF(P839="","Aberto","Fechado"))</f>
        <v/>
      </c>
    </row>
    <row r="840">
      <c r="C840" s="6" t="n"/>
      <c r="E840" s="7" t="n"/>
      <c r="F840" s="8" t="n"/>
      <c r="G840" s="8" t="n"/>
      <c r="H840" s="8" t="n"/>
      <c r="J840" s="7" t="n"/>
      <c r="K840" s="8" t="n"/>
      <c r="L840" s="7" t="n"/>
      <c r="M840" s="8" t="n"/>
      <c r="N840" s="7" t="n"/>
      <c r="O840" s="8" t="n"/>
      <c r="P840" s="6" t="n"/>
      <c r="Q840" s="8" t="n"/>
      <c r="S840" s="8">
        <f>IF(B840="","",E840*F840)</f>
        <v/>
      </c>
      <c r="T840" s="8">
        <f>IF(OR(B840="",N(G840)=0),"",ABS(F840-G840)*E840)</f>
        <v/>
      </c>
      <c r="U840" s="8">
        <f>IF(OR(B840="",P840=""),"",IF(D840="Venda",-1,1)*((N(J840)*N(K840)+N(L840)*N(M840)+N(N840)*N(O840))-(N(J840)+N(L840)+N(N840))*F840)-N(Q840))</f>
        <v/>
      </c>
      <c r="V840" s="9">
        <f>IF(OR(B840="",P840=""),"",U840/S840)</f>
        <v/>
      </c>
      <c r="W840">
        <f>IF(OR(B840="",P840=""),"",NETWORKDAYS(C840,P840)-1)</f>
        <v/>
      </c>
      <c r="X840">
        <f>IF(B840="","",IF(P840="","Aberto","Fechado"))</f>
        <v/>
      </c>
    </row>
    <row r="841">
      <c r="C841" s="6" t="n"/>
      <c r="E841" s="7" t="n"/>
      <c r="F841" s="8" t="n"/>
      <c r="G841" s="8" t="n"/>
      <c r="H841" s="8" t="n"/>
      <c r="J841" s="7" t="n"/>
      <c r="K841" s="8" t="n"/>
      <c r="L841" s="7" t="n"/>
      <c r="M841" s="8" t="n"/>
      <c r="N841" s="7" t="n"/>
      <c r="O841" s="8" t="n"/>
      <c r="P841" s="6" t="n"/>
      <c r="Q841" s="8" t="n"/>
      <c r="S841" s="8">
        <f>IF(B841="","",E841*F841)</f>
        <v/>
      </c>
      <c r="T841" s="8">
        <f>IF(OR(B841="",N(G841)=0),"",ABS(F841-G841)*E841)</f>
        <v/>
      </c>
      <c r="U841" s="8">
        <f>IF(OR(B841="",P841=""),"",IF(D841="Venda",-1,1)*((N(J841)*N(K841)+N(L841)*N(M841)+N(N841)*N(O841))-(N(J841)+N(L841)+N(N841))*F841)-N(Q841))</f>
        <v/>
      </c>
      <c r="V841" s="9">
        <f>IF(OR(B841="",P841=""),"",U841/S841)</f>
        <v/>
      </c>
      <c r="W841">
        <f>IF(OR(B841="",P841=""),"",NETWORKDAYS(C841,P841)-1)</f>
        <v/>
      </c>
      <c r="X841">
        <f>IF(B841="","",IF(P841="","Aberto","Fechado"))</f>
        <v/>
      </c>
    </row>
    <row r="842">
      <c r="C842" s="6" t="n"/>
      <c r="E842" s="7" t="n"/>
      <c r="F842" s="8" t="n"/>
      <c r="G842" s="8" t="n"/>
      <c r="H842" s="8" t="n"/>
      <c r="J842" s="7" t="n"/>
      <c r="K842" s="8" t="n"/>
      <c r="L842" s="7" t="n"/>
      <c r="M842" s="8" t="n"/>
      <c r="N842" s="7" t="n"/>
      <c r="O842" s="8" t="n"/>
      <c r="P842" s="6" t="n"/>
      <c r="Q842" s="8" t="n"/>
      <c r="S842" s="8">
        <f>IF(B842="","",E842*F842)</f>
        <v/>
      </c>
      <c r="T842" s="8">
        <f>IF(OR(B842="",N(G842)=0),"",ABS(F842-G842)*E842)</f>
        <v/>
      </c>
      <c r="U842" s="8">
        <f>IF(OR(B842="",P842=""),"",IF(D842="Venda",-1,1)*((N(J842)*N(K842)+N(L842)*N(M842)+N(N842)*N(O842))-(N(J842)+N(L842)+N(N842))*F842)-N(Q842))</f>
        <v/>
      </c>
      <c r="V842" s="9">
        <f>IF(OR(B842="",P842=""),"",U842/S842)</f>
        <v/>
      </c>
      <c r="W842">
        <f>IF(OR(B842="",P842=""),"",NETWORKDAYS(C842,P842)-1)</f>
        <v/>
      </c>
      <c r="X842">
        <f>IF(B842="","",IF(P842="","Aberto","Fechado"))</f>
        <v/>
      </c>
    </row>
    <row r="843">
      <c r="C843" s="6" t="n"/>
      <c r="E843" s="7" t="n"/>
      <c r="F843" s="8" t="n"/>
      <c r="G843" s="8" t="n"/>
      <c r="H843" s="8" t="n"/>
      <c r="J843" s="7" t="n"/>
      <c r="K843" s="8" t="n"/>
      <c r="L843" s="7" t="n"/>
      <c r="M843" s="8" t="n"/>
      <c r="N843" s="7" t="n"/>
      <c r="O843" s="8" t="n"/>
      <c r="P843" s="6" t="n"/>
      <c r="Q843" s="8" t="n"/>
      <c r="S843" s="8">
        <f>IF(B843="","",E843*F843)</f>
        <v/>
      </c>
      <c r="T843" s="8">
        <f>IF(OR(B843="",N(G843)=0),"",ABS(F843-G843)*E843)</f>
        <v/>
      </c>
      <c r="U843" s="8">
        <f>IF(OR(B843="",P843=""),"",IF(D843="Venda",-1,1)*((N(J843)*N(K843)+N(L843)*N(M843)+N(N843)*N(O843))-(N(J843)+N(L843)+N(N843))*F843)-N(Q843))</f>
        <v/>
      </c>
      <c r="V843" s="9">
        <f>IF(OR(B843="",P843=""),"",U843/S843)</f>
        <v/>
      </c>
      <c r="W843">
        <f>IF(OR(B843="",P843=""),"",NETWORKDAYS(C843,P843)-1)</f>
        <v/>
      </c>
      <c r="X843">
        <f>IF(B843="","",IF(P843="","Aberto","Fechado"))</f>
        <v/>
      </c>
    </row>
    <row r="844">
      <c r="C844" s="6" t="n"/>
      <c r="E844" s="7" t="n"/>
      <c r="F844" s="8" t="n"/>
      <c r="G844" s="8" t="n"/>
      <c r="H844" s="8" t="n"/>
      <c r="J844" s="7" t="n"/>
      <c r="K844" s="8" t="n"/>
      <c r="L844" s="7" t="n"/>
      <c r="M844" s="8" t="n"/>
      <c r="N844" s="7" t="n"/>
      <c r="O844" s="8" t="n"/>
      <c r="P844" s="6" t="n"/>
      <c r="Q844" s="8" t="n"/>
      <c r="S844" s="8">
        <f>IF(B844="","",E844*F844)</f>
        <v/>
      </c>
      <c r="T844" s="8">
        <f>IF(OR(B844="",N(G844)=0),"",ABS(F844-G844)*E844)</f>
        <v/>
      </c>
      <c r="U844" s="8">
        <f>IF(OR(B844="",P844=""),"",IF(D844="Venda",-1,1)*((N(J844)*N(K844)+N(L844)*N(M844)+N(N844)*N(O844))-(N(J844)+N(L844)+N(N844))*F844)-N(Q844))</f>
        <v/>
      </c>
      <c r="V844" s="9">
        <f>IF(OR(B844="",P844=""),"",U844/S844)</f>
        <v/>
      </c>
      <c r="W844">
        <f>IF(OR(B844="",P844=""),"",NETWORKDAYS(C844,P844)-1)</f>
        <v/>
      </c>
      <c r="X844">
        <f>IF(B844="","",IF(P844="","Aberto","Fechado"))</f>
        <v/>
      </c>
    </row>
    <row r="845">
      <c r="C845" s="6" t="n"/>
      <c r="E845" s="7" t="n"/>
      <c r="F845" s="8" t="n"/>
      <c r="G845" s="8" t="n"/>
      <c r="H845" s="8" t="n"/>
      <c r="J845" s="7" t="n"/>
      <c r="K845" s="8" t="n"/>
      <c r="L845" s="7" t="n"/>
      <c r="M845" s="8" t="n"/>
      <c r="N845" s="7" t="n"/>
      <c r="O845" s="8" t="n"/>
      <c r="P845" s="6" t="n"/>
      <c r="Q845" s="8" t="n"/>
      <c r="S845" s="8">
        <f>IF(B845="","",E845*F845)</f>
        <v/>
      </c>
      <c r="T845" s="8">
        <f>IF(OR(B845="",N(G845)=0),"",ABS(F845-G845)*E845)</f>
        <v/>
      </c>
      <c r="U845" s="8">
        <f>IF(OR(B845="",P845=""),"",IF(D845="Venda",-1,1)*((N(J845)*N(K845)+N(L845)*N(M845)+N(N845)*N(O845))-(N(J845)+N(L845)+N(N845))*F845)-N(Q845))</f>
        <v/>
      </c>
      <c r="V845" s="9">
        <f>IF(OR(B845="",P845=""),"",U845/S845)</f>
        <v/>
      </c>
      <c r="W845">
        <f>IF(OR(B845="",P845=""),"",NETWORKDAYS(C845,P845)-1)</f>
        <v/>
      </c>
      <c r="X845">
        <f>IF(B845="","",IF(P845="","Aberto","Fechado"))</f>
        <v/>
      </c>
    </row>
    <row r="846">
      <c r="C846" s="6" t="n"/>
      <c r="E846" s="7" t="n"/>
      <c r="F846" s="8" t="n"/>
      <c r="G846" s="8" t="n"/>
      <c r="H846" s="8" t="n"/>
      <c r="J846" s="7" t="n"/>
      <c r="K846" s="8" t="n"/>
      <c r="L846" s="7" t="n"/>
      <c r="M846" s="8" t="n"/>
      <c r="N846" s="7" t="n"/>
      <c r="O846" s="8" t="n"/>
      <c r="P846" s="6" t="n"/>
      <c r="Q846" s="8" t="n"/>
      <c r="S846" s="8">
        <f>IF(B846="","",E846*F846)</f>
        <v/>
      </c>
      <c r="T846" s="8">
        <f>IF(OR(B846="",N(G846)=0),"",ABS(F846-G846)*E846)</f>
        <v/>
      </c>
      <c r="U846" s="8">
        <f>IF(OR(B846="",P846=""),"",IF(D846="Venda",-1,1)*((N(J846)*N(K846)+N(L846)*N(M846)+N(N846)*N(O846))-(N(J846)+N(L846)+N(N846))*F846)-N(Q846))</f>
        <v/>
      </c>
      <c r="V846" s="9">
        <f>IF(OR(B846="",P846=""),"",U846/S846)</f>
        <v/>
      </c>
      <c r="W846">
        <f>IF(OR(B846="",P846=""),"",NETWORKDAYS(C846,P846)-1)</f>
        <v/>
      </c>
      <c r="X846">
        <f>IF(B846="","",IF(P846="","Aberto","Fechado"))</f>
        <v/>
      </c>
    </row>
    <row r="847">
      <c r="C847" s="6" t="n"/>
      <c r="E847" s="7" t="n"/>
      <c r="F847" s="8" t="n"/>
      <c r="G847" s="8" t="n"/>
      <c r="H847" s="8" t="n"/>
      <c r="J847" s="7" t="n"/>
      <c r="K847" s="8" t="n"/>
      <c r="L847" s="7" t="n"/>
      <c r="M847" s="8" t="n"/>
      <c r="N847" s="7" t="n"/>
      <c r="O847" s="8" t="n"/>
      <c r="P847" s="6" t="n"/>
      <c r="Q847" s="8" t="n"/>
      <c r="S847" s="8">
        <f>IF(B847="","",E847*F847)</f>
        <v/>
      </c>
      <c r="T847" s="8">
        <f>IF(OR(B847="",N(G847)=0),"",ABS(F847-G847)*E847)</f>
        <v/>
      </c>
      <c r="U847" s="8">
        <f>IF(OR(B847="",P847=""),"",IF(D847="Venda",-1,1)*((N(J847)*N(K847)+N(L847)*N(M847)+N(N847)*N(O847))-(N(J847)+N(L847)+N(N847))*F847)-N(Q847))</f>
        <v/>
      </c>
      <c r="V847" s="9">
        <f>IF(OR(B847="",P847=""),"",U847/S847)</f>
        <v/>
      </c>
      <c r="W847">
        <f>IF(OR(B847="",P847=""),"",NETWORKDAYS(C847,P847)-1)</f>
        <v/>
      </c>
      <c r="X847">
        <f>IF(B847="","",IF(P847="","Aberto","Fechado"))</f>
        <v/>
      </c>
    </row>
    <row r="848">
      <c r="C848" s="6" t="n"/>
      <c r="E848" s="7" t="n"/>
      <c r="F848" s="8" t="n"/>
      <c r="G848" s="8" t="n"/>
      <c r="H848" s="8" t="n"/>
      <c r="J848" s="7" t="n"/>
      <c r="K848" s="8" t="n"/>
      <c r="L848" s="7" t="n"/>
      <c r="M848" s="8" t="n"/>
      <c r="N848" s="7" t="n"/>
      <c r="O848" s="8" t="n"/>
      <c r="P848" s="6" t="n"/>
      <c r="Q848" s="8" t="n"/>
      <c r="S848" s="8">
        <f>IF(B848="","",E848*F848)</f>
        <v/>
      </c>
      <c r="T848" s="8">
        <f>IF(OR(B848="",N(G848)=0),"",ABS(F848-G848)*E848)</f>
        <v/>
      </c>
      <c r="U848" s="8">
        <f>IF(OR(B848="",P848=""),"",IF(D848="Venda",-1,1)*((N(J848)*N(K848)+N(L848)*N(M848)+N(N848)*N(O848))-(N(J848)+N(L848)+N(N848))*F848)-N(Q848))</f>
        <v/>
      </c>
      <c r="V848" s="9">
        <f>IF(OR(B848="",P848=""),"",U848/S848)</f>
        <v/>
      </c>
      <c r="W848">
        <f>IF(OR(B848="",P848=""),"",NETWORKDAYS(C848,P848)-1)</f>
        <v/>
      </c>
      <c r="X848">
        <f>IF(B848="","",IF(P848="","Aberto","Fechado"))</f>
        <v/>
      </c>
    </row>
    <row r="849">
      <c r="C849" s="6" t="n"/>
      <c r="E849" s="7" t="n"/>
      <c r="F849" s="8" t="n"/>
      <c r="G849" s="8" t="n"/>
      <c r="H849" s="8" t="n"/>
      <c r="J849" s="7" t="n"/>
      <c r="K849" s="8" t="n"/>
      <c r="L849" s="7" t="n"/>
      <c r="M849" s="8" t="n"/>
      <c r="N849" s="7" t="n"/>
      <c r="O849" s="8" t="n"/>
      <c r="P849" s="6" t="n"/>
      <c r="Q849" s="8" t="n"/>
      <c r="S849" s="8">
        <f>IF(B849="","",E849*F849)</f>
        <v/>
      </c>
      <c r="T849" s="8">
        <f>IF(OR(B849="",N(G849)=0),"",ABS(F849-G849)*E849)</f>
        <v/>
      </c>
      <c r="U849" s="8">
        <f>IF(OR(B849="",P849=""),"",IF(D849="Venda",-1,1)*((N(J849)*N(K849)+N(L849)*N(M849)+N(N849)*N(O849))-(N(J849)+N(L849)+N(N849))*F849)-N(Q849))</f>
        <v/>
      </c>
      <c r="V849" s="9">
        <f>IF(OR(B849="",P849=""),"",U849/S849)</f>
        <v/>
      </c>
      <c r="W849">
        <f>IF(OR(B849="",P849=""),"",NETWORKDAYS(C849,P849)-1)</f>
        <v/>
      </c>
      <c r="X849">
        <f>IF(B849="","",IF(P849="","Aberto","Fechado"))</f>
        <v/>
      </c>
    </row>
    <row r="850">
      <c r="C850" s="6" t="n"/>
      <c r="E850" s="7" t="n"/>
      <c r="F850" s="8" t="n"/>
      <c r="G850" s="8" t="n"/>
      <c r="H850" s="8" t="n"/>
      <c r="J850" s="7" t="n"/>
      <c r="K850" s="8" t="n"/>
      <c r="L850" s="7" t="n"/>
      <c r="M850" s="8" t="n"/>
      <c r="N850" s="7" t="n"/>
      <c r="O850" s="8" t="n"/>
      <c r="P850" s="6" t="n"/>
      <c r="Q850" s="8" t="n"/>
      <c r="S850" s="8">
        <f>IF(B850="","",E850*F850)</f>
        <v/>
      </c>
      <c r="T850" s="8">
        <f>IF(OR(B850="",N(G850)=0),"",ABS(F850-G850)*E850)</f>
        <v/>
      </c>
      <c r="U850" s="8">
        <f>IF(OR(B850="",P850=""),"",IF(D850="Venda",-1,1)*((N(J850)*N(K850)+N(L850)*N(M850)+N(N850)*N(O850))-(N(J850)+N(L850)+N(N850))*F850)-N(Q850))</f>
        <v/>
      </c>
      <c r="V850" s="9">
        <f>IF(OR(B850="",P850=""),"",U850/S850)</f>
        <v/>
      </c>
      <c r="W850">
        <f>IF(OR(B850="",P850=""),"",NETWORKDAYS(C850,P850)-1)</f>
        <v/>
      </c>
      <c r="X850">
        <f>IF(B850="","",IF(P850="","Aberto","Fechado"))</f>
        <v/>
      </c>
    </row>
    <row r="851">
      <c r="C851" s="6" t="n"/>
      <c r="E851" s="7" t="n"/>
      <c r="F851" s="8" t="n"/>
      <c r="G851" s="8" t="n"/>
      <c r="H851" s="8" t="n"/>
      <c r="J851" s="7" t="n"/>
      <c r="K851" s="8" t="n"/>
      <c r="L851" s="7" t="n"/>
      <c r="M851" s="8" t="n"/>
      <c r="N851" s="7" t="n"/>
      <c r="O851" s="8" t="n"/>
      <c r="P851" s="6" t="n"/>
      <c r="Q851" s="8" t="n"/>
      <c r="S851" s="8">
        <f>IF(B851="","",E851*F851)</f>
        <v/>
      </c>
      <c r="T851" s="8">
        <f>IF(OR(B851="",N(G851)=0),"",ABS(F851-G851)*E851)</f>
        <v/>
      </c>
      <c r="U851" s="8">
        <f>IF(OR(B851="",P851=""),"",IF(D851="Venda",-1,1)*((N(J851)*N(K851)+N(L851)*N(M851)+N(N851)*N(O851))-(N(J851)+N(L851)+N(N851))*F851)-N(Q851))</f>
        <v/>
      </c>
      <c r="V851" s="9">
        <f>IF(OR(B851="",P851=""),"",U851/S851)</f>
        <v/>
      </c>
      <c r="W851">
        <f>IF(OR(B851="",P851=""),"",NETWORKDAYS(C851,P851)-1)</f>
        <v/>
      </c>
      <c r="X851">
        <f>IF(B851="","",IF(P851="","Aberto","Fechado"))</f>
        <v/>
      </c>
    </row>
    <row r="852">
      <c r="C852" s="6" t="n"/>
      <c r="E852" s="7" t="n"/>
      <c r="F852" s="8" t="n"/>
      <c r="G852" s="8" t="n"/>
      <c r="H852" s="8" t="n"/>
      <c r="J852" s="7" t="n"/>
      <c r="K852" s="8" t="n"/>
      <c r="L852" s="7" t="n"/>
      <c r="M852" s="8" t="n"/>
      <c r="N852" s="7" t="n"/>
      <c r="O852" s="8" t="n"/>
      <c r="P852" s="6" t="n"/>
      <c r="Q852" s="8" t="n"/>
      <c r="S852" s="8">
        <f>IF(B852="","",E852*F852)</f>
        <v/>
      </c>
      <c r="T852" s="8">
        <f>IF(OR(B852="",N(G852)=0),"",ABS(F852-G852)*E852)</f>
        <v/>
      </c>
      <c r="U852" s="8">
        <f>IF(OR(B852="",P852=""),"",IF(D852="Venda",-1,1)*((N(J852)*N(K852)+N(L852)*N(M852)+N(N852)*N(O852))-(N(J852)+N(L852)+N(N852))*F852)-N(Q852))</f>
        <v/>
      </c>
      <c r="V852" s="9">
        <f>IF(OR(B852="",P852=""),"",U852/S852)</f>
        <v/>
      </c>
      <c r="W852">
        <f>IF(OR(B852="",P852=""),"",NETWORKDAYS(C852,P852)-1)</f>
        <v/>
      </c>
      <c r="X852">
        <f>IF(B852="","",IF(P852="","Aberto","Fechado"))</f>
        <v/>
      </c>
    </row>
    <row r="853">
      <c r="C853" s="6" t="n"/>
      <c r="E853" s="7" t="n"/>
      <c r="F853" s="8" t="n"/>
      <c r="G853" s="8" t="n"/>
      <c r="H853" s="8" t="n"/>
      <c r="J853" s="7" t="n"/>
      <c r="K853" s="8" t="n"/>
      <c r="L853" s="7" t="n"/>
      <c r="M853" s="8" t="n"/>
      <c r="N853" s="7" t="n"/>
      <c r="O853" s="8" t="n"/>
      <c r="P853" s="6" t="n"/>
      <c r="Q853" s="8" t="n"/>
      <c r="S853" s="8">
        <f>IF(B853="","",E853*F853)</f>
        <v/>
      </c>
      <c r="T853" s="8">
        <f>IF(OR(B853="",N(G853)=0),"",ABS(F853-G853)*E853)</f>
        <v/>
      </c>
      <c r="U853" s="8">
        <f>IF(OR(B853="",P853=""),"",IF(D853="Venda",-1,1)*((N(J853)*N(K853)+N(L853)*N(M853)+N(N853)*N(O853))-(N(J853)+N(L853)+N(N853))*F853)-N(Q853))</f>
        <v/>
      </c>
      <c r="V853" s="9">
        <f>IF(OR(B853="",P853=""),"",U853/S853)</f>
        <v/>
      </c>
      <c r="W853">
        <f>IF(OR(B853="",P853=""),"",NETWORKDAYS(C853,P853)-1)</f>
        <v/>
      </c>
      <c r="X853">
        <f>IF(B853="","",IF(P853="","Aberto","Fechado"))</f>
        <v/>
      </c>
    </row>
    <row r="854">
      <c r="C854" s="6" t="n"/>
      <c r="E854" s="7" t="n"/>
      <c r="F854" s="8" t="n"/>
      <c r="G854" s="8" t="n"/>
      <c r="H854" s="8" t="n"/>
      <c r="J854" s="7" t="n"/>
      <c r="K854" s="8" t="n"/>
      <c r="L854" s="7" t="n"/>
      <c r="M854" s="8" t="n"/>
      <c r="N854" s="7" t="n"/>
      <c r="O854" s="8" t="n"/>
      <c r="P854" s="6" t="n"/>
      <c r="Q854" s="8" t="n"/>
      <c r="S854" s="8">
        <f>IF(B854="","",E854*F854)</f>
        <v/>
      </c>
      <c r="T854" s="8">
        <f>IF(OR(B854="",N(G854)=0),"",ABS(F854-G854)*E854)</f>
        <v/>
      </c>
      <c r="U854" s="8">
        <f>IF(OR(B854="",P854=""),"",IF(D854="Venda",-1,1)*((N(J854)*N(K854)+N(L854)*N(M854)+N(N854)*N(O854))-(N(J854)+N(L854)+N(N854))*F854)-N(Q854))</f>
        <v/>
      </c>
      <c r="V854" s="9">
        <f>IF(OR(B854="",P854=""),"",U854/S854)</f>
        <v/>
      </c>
      <c r="W854">
        <f>IF(OR(B854="",P854=""),"",NETWORKDAYS(C854,P854)-1)</f>
        <v/>
      </c>
      <c r="X854">
        <f>IF(B854="","",IF(P854="","Aberto","Fechado"))</f>
        <v/>
      </c>
    </row>
    <row r="855">
      <c r="C855" s="6" t="n"/>
      <c r="E855" s="7" t="n"/>
      <c r="F855" s="8" t="n"/>
      <c r="G855" s="8" t="n"/>
      <c r="H855" s="8" t="n"/>
      <c r="J855" s="7" t="n"/>
      <c r="K855" s="8" t="n"/>
      <c r="L855" s="7" t="n"/>
      <c r="M855" s="8" t="n"/>
      <c r="N855" s="7" t="n"/>
      <c r="O855" s="8" t="n"/>
      <c r="P855" s="6" t="n"/>
      <c r="Q855" s="8" t="n"/>
      <c r="S855" s="8">
        <f>IF(B855="","",E855*F855)</f>
        <v/>
      </c>
      <c r="T855" s="8">
        <f>IF(OR(B855="",N(G855)=0),"",ABS(F855-G855)*E855)</f>
        <v/>
      </c>
      <c r="U855" s="8">
        <f>IF(OR(B855="",P855=""),"",IF(D855="Venda",-1,1)*((N(J855)*N(K855)+N(L855)*N(M855)+N(N855)*N(O855))-(N(J855)+N(L855)+N(N855))*F855)-N(Q855))</f>
        <v/>
      </c>
      <c r="V855" s="9">
        <f>IF(OR(B855="",P855=""),"",U855/S855)</f>
        <v/>
      </c>
      <c r="W855">
        <f>IF(OR(B855="",P855=""),"",NETWORKDAYS(C855,P855)-1)</f>
        <v/>
      </c>
      <c r="X855">
        <f>IF(B855="","",IF(P855="","Aberto","Fechado"))</f>
        <v/>
      </c>
    </row>
    <row r="856">
      <c r="C856" s="6" t="n"/>
      <c r="E856" s="7" t="n"/>
      <c r="F856" s="8" t="n"/>
      <c r="G856" s="8" t="n"/>
      <c r="H856" s="8" t="n"/>
      <c r="J856" s="7" t="n"/>
      <c r="K856" s="8" t="n"/>
      <c r="L856" s="7" t="n"/>
      <c r="M856" s="8" t="n"/>
      <c r="N856" s="7" t="n"/>
      <c r="O856" s="8" t="n"/>
      <c r="P856" s="6" t="n"/>
      <c r="Q856" s="8" t="n"/>
      <c r="S856" s="8">
        <f>IF(B856="","",E856*F856)</f>
        <v/>
      </c>
      <c r="T856" s="8">
        <f>IF(OR(B856="",N(G856)=0),"",ABS(F856-G856)*E856)</f>
        <v/>
      </c>
      <c r="U856" s="8">
        <f>IF(OR(B856="",P856=""),"",IF(D856="Venda",-1,1)*((N(J856)*N(K856)+N(L856)*N(M856)+N(N856)*N(O856))-(N(J856)+N(L856)+N(N856))*F856)-N(Q856))</f>
        <v/>
      </c>
      <c r="V856" s="9">
        <f>IF(OR(B856="",P856=""),"",U856/S856)</f>
        <v/>
      </c>
      <c r="W856">
        <f>IF(OR(B856="",P856=""),"",NETWORKDAYS(C856,P856)-1)</f>
        <v/>
      </c>
      <c r="X856">
        <f>IF(B856="","",IF(P856="","Aberto","Fechado"))</f>
        <v/>
      </c>
    </row>
    <row r="857">
      <c r="C857" s="6" t="n"/>
      <c r="E857" s="7" t="n"/>
      <c r="F857" s="8" t="n"/>
      <c r="G857" s="8" t="n"/>
      <c r="H857" s="8" t="n"/>
      <c r="J857" s="7" t="n"/>
      <c r="K857" s="8" t="n"/>
      <c r="L857" s="7" t="n"/>
      <c r="M857" s="8" t="n"/>
      <c r="N857" s="7" t="n"/>
      <c r="O857" s="8" t="n"/>
      <c r="P857" s="6" t="n"/>
      <c r="Q857" s="8" t="n"/>
      <c r="S857" s="8">
        <f>IF(B857="","",E857*F857)</f>
        <v/>
      </c>
      <c r="T857" s="8">
        <f>IF(OR(B857="",N(G857)=0),"",ABS(F857-G857)*E857)</f>
        <v/>
      </c>
      <c r="U857" s="8">
        <f>IF(OR(B857="",P857=""),"",IF(D857="Venda",-1,1)*((N(J857)*N(K857)+N(L857)*N(M857)+N(N857)*N(O857))-(N(J857)+N(L857)+N(N857))*F857)-N(Q857))</f>
        <v/>
      </c>
      <c r="V857" s="9">
        <f>IF(OR(B857="",P857=""),"",U857/S857)</f>
        <v/>
      </c>
      <c r="W857">
        <f>IF(OR(B857="",P857=""),"",NETWORKDAYS(C857,P857)-1)</f>
        <v/>
      </c>
      <c r="X857">
        <f>IF(B857="","",IF(P857="","Aberto","Fechado"))</f>
        <v/>
      </c>
    </row>
    <row r="858">
      <c r="C858" s="6" t="n"/>
      <c r="E858" s="7" t="n"/>
      <c r="F858" s="8" t="n"/>
      <c r="G858" s="8" t="n"/>
      <c r="H858" s="8" t="n"/>
      <c r="J858" s="7" t="n"/>
      <c r="K858" s="8" t="n"/>
      <c r="L858" s="7" t="n"/>
      <c r="M858" s="8" t="n"/>
      <c r="N858" s="7" t="n"/>
      <c r="O858" s="8" t="n"/>
      <c r="P858" s="6" t="n"/>
      <c r="Q858" s="8" t="n"/>
      <c r="S858" s="8">
        <f>IF(B858="","",E858*F858)</f>
        <v/>
      </c>
      <c r="T858" s="8">
        <f>IF(OR(B858="",N(G858)=0),"",ABS(F858-G858)*E858)</f>
        <v/>
      </c>
      <c r="U858" s="8">
        <f>IF(OR(B858="",P858=""),"",IF(D858="Venda",-1,1)*((N(J858)*N(K858)+N(L858)*N(M858)+N(N858)*N(O858))-(N(J858)+N(L858)+N(N858))*F858)-N(Q858))</f>
        <v/>
      </c>
      <c r="V858" s="9">
        <f>IF(OR(B858="",P858=""),"",U858/S858)</f>
        <v/>
      </c>
      <c r="W858">
        <f>IF(OR(B858="",P858=""),"",NETWORKDAYS(C858,P858)-1)</f>
        <v/>
      </c>
      <c r="X858">
        <f>IF(B858="","",IF(P858="","Aberto","Fechado"))</f>
        <v/>
      </c>
    </row>
    <row r="859">
      <c r="C859" s="6" t="n"/>
      <c r="E859" s="7" t="n"/>
      <c r="F859" s="8" t="n"/>
      <c r="G859" s="8" t="n"/>
      <c r="H859" s="8" t="n"/>
      <c r="J859" s="7" t="n"/>
      <c r="K859" s="8" t="n"/>
      <c r="L859" s="7" t="n"/>
      <c r="M859" s="8" t="n"/>
      <c r="N859" s="7" t="n"/>
      <c r="O859" s="8" t="n"/>
      <c r="P859" s="6" t="n"/>
      <c r="Q859" s="8" t="n"/>
      <c r="S859" s="8">
        <f>IF(B859="","",E859*F859)</f>
        <v/>
      </c>
      <c r="T859" s="8">
        <f>IF(OR(B859="",N(G859)=0),"",ABS(F859-G859)*E859)</f>
        <v/>
      </c>
      <c r="U859" s="8">
        <f>IF(OR(B859="",P859=""),"",IF(D859="Venda",-1,1)*((N(J859)*N(K859)+N(L859)*N(M859)+N(N859)*N(O859))-(N(J859)+N(L859)+N(N859))*F859)-N(Q859))</f>
        <v/>
      </c>
      <c r="V859" s="9">
        <f>IF(OR(B859="",P859=""),"",U859/S859)</f>
        <v/>
      </c>
      <c r="W859">
        <f>IF(OR(B859="",P859=""),"",NETWORKDAYS(C859,P859)-1)</f>
        <v/>
      </c>
      <c r="X859">
        <f>IF(B859="","",IF(P859="","Aberto","Fechado"))</f>
        <v/>
      </c>
    </row>
    <row r="860">
      <c r="C860" s="6" t="n"/>
      <c r="E860" s="7" t="n"/>
      <c r="F860" s="8" t="n"/>
      <c r="G860" s="8" t="n"/>
      <c r="H860" s="8" t="n"/>
      <c r="J860" s="7" t="n"/>
      <c r="K860" s="8" t="n"/>
      <c r="L860" s="7" t="n"/>
      <c r="M860" s="8" t="n"/>
      <c r="N860" s="7" t="n"/>
      <c r="O860" s="8" t="n"/>
      <c r="P860" s="6" t="n"/>
      <c r="Q860" s="8" t="n"/>
      <c r="S860" s="8">
        <f>IF(B860="","",E860*F860)</f>
        <v/>
      </c>
      <c r="T860" s="8">
        <f>IF(OR(B860="",N(G860)=0),"",ABS(F860-G860)*E860)</f>
        <v/>
      </c>
      <c r="U860" s="8">
        <f>IF(OR(B860="",P860=""),"",IF(D860="Venda",-1,1)*((N(J860)*N(K860)+N(L860)*N(M860)+N(N860)*N(O860))-(N(J860)+N(L860)+N(N860))*F860)-N(Q860))</f>
        <v/>
      </c>
      <c r="V860" s="9">
        <f>IF(OR(B860="",P860=""),"",U860/S860)</f>
        <v/>
      </c>
      <c r="W860">
        <f>IF(OR(B860="",P860=""),"",NETWORKDAYS(C860,P860)-1)</f>
        <v/>
      </c>
      <c r="X860">
        <f>IF(B860="","",IF(P860="","Aberto","Fechado"))</f>
        <v/>
      </c>
    </row>
    <row r="861">
      <c r="C861" s="6" t="n"/>
      <c r="E861" s="7" t="n"/>
      <c r="F861" s="8" t="n"/>
      <c r="G861" s="8" t="n"/>
      <c r="H861" s="8" t="n"/>
      <c r="J861" s="7" t="n"/>
      <c r="K861" s="8" t="n"/>
      <c r="L861" s="7" t="n"/>
      <c r="M861" s="8" t="n"/>
      <c r="N861" s="7" t="n"/>
      <c r="O861" s="8" t="n"/>
      <c r="P861" s="6" t="n"/>
      <c r="Q861" s="8" t="n"/>
      <c r="S861" s="8">
        <f>IF(B861="","",E861*F861)</f>
        <v/>
      </c>
      <c r="T861" s="8">
        <f>IF(OR(B861="",N(G861)=0),"",ABS(F861-G861)*E861)</f>
        <v/>
      </c>
      <c r="U861" s="8">
        <f>IF(OR(B861="",P861=""),"",IF(D861="Venda",-1,1)*((N(J861)*N(K861)+N(L861)*N(M861)+N(N861)*N(O861))-(N(J861)+N(L861)+N(N861))*F861)-N(Q861))</f>
        <v/>
      </c>
      <c r="V861" s="9">
        <f>IF(OR(B861="",P861=""),"",U861/S861)</f>
        <v/>
      </c>
      <c r="W861">
        <f>IF(OR(B861="",P861=""),"",NETWORKDAYS(C861,P861)-1)</f>
        <v/>
      </c>
      <c r="X861">
        <f>IF(B861="","",IF(P861="","Aberto","Fechado"))</f>
        <v/>
      </c>
    </row>
    <row r="862">
      <c r="C862" s="6" t="n"/>
      <c r="E862" s="7" t="n"/>
      <c r="F862" s="8" t="n"/>
      <c r="G862" s="8" t="n"/>
      <c r="H862" s="8" t="n"/>
      <c r="J862" s="7" t="n"/>
      <c r="K862" s="8" t="n"/>
      <c r="L862" s="7" t="n"/>
      <c r="M862" s="8" t="n"/>
      <c r="N862" s="7" t="n"/>
      <c r="O862" s="8" t="n"/>
      <c r="P862" s="6" t="n"/>
      <c r="Q862" s="8" t="n"/>
      <c r="S862" s="8">
        <f>IF(B862="","",E862*F862)</f>
        <v/>
      </c>
      <c r="T862" s="8">
        <f>IF(OR(B862="",N(G862)=0),"",ABS(F862-G862)*E862)</f>
        <v/>
      </c>
      <c r="U862" s="8">
        <f>IF(OR(B862="",P862=""),"",IF(D862="Venda",-1,1)*((N(J862)*N(K862)+N(L862)*N(M862)+N(N862)*N(O862))-(N(J862)+N(L862)+N(N862))*F862)-N(Q862))</f>
        <v/>
      </c>
      <c r="V862" s="9">
        <f>IF(OR(B862="",P862=""),"",U862/S862)</f>
        <v/>
      </c>
      <c r="W862">
        <f>IF(OR(B862="",P862=""),"",NETWORKDAYS(C862,P862)-1)</f>
        <v/>
      </c>
      <c r="X862">
        <f>IF(B862="","",IF(P862="","Aberto","Fechado"))</f>
        <v/>
      </c>
    </row>
    <row r="863">
      <c r="C863" s="6" t="n"/>
      <c r="E863" s="7" t="n"/>
      <c r="F863" s="8" t="n"/>
      <c r="G863" s="8" t="n"/>
      <c r="H863" s="8" t="n"/>
      <c r="J863" s="7" t="n"/>
      <c r="K863" s="8" t="n"/>
      <c r="L863" s="7" t="n"/>
      <c r="M863" s="8" t="n"/>
      <c r="N863" s="7" t="n"/>
      <c r="O863" s="8" t="n"/>
      <c r="P863" s="6" t="n"/>
      <c r="Q863" s="8" t="n"/>
      <c r="S863" s="8">
        <f>IF(B863="","",E863*F863)</f>
        <v/>
      </c>
      <c r="T863" s="8">
        <f>IF(OR(B863="",N(G863)=0),"",ABS(F863-G863)*E863)</f>
        <v/>
      </c>
      <c r="U863" s="8">
        <f>IF(OR(B863="",P863=""),"",IF(D863="Venda",-1,1)*((N(J863)*N(K863)+N(L863)*N(M863)+N(N863)*N(O863))-(N(J863)+N(L863)+N(N863))*F863)-N(Q863))</f>
        <v/>
      </c>
      <c r="V863" s="9">
        <f>IF(OR(B863="",P863=""),"",U863/S863)</f>
        <v/>
      </c>
      <c r="W863">
        <f>IF(OR(B863="",P863=""),"",NETWORKDAYS(C863,P863)-1)</f>
        <v/>
      </c>
      <c r="X863">
        <f>IF(B863="","",IF(P863="","Aberto","Fechado"))</f>
        <v/>
      </c>
    </row>
    <row r="864">
      <c r="C864" s="6" t="n"/>
      <c r="E864" s="7" t="n"/>
      <c r="F864" s="8" t="n"/>
      <c r="G864" s="8" t="n"/>
      <c r="H864" s="8" t="n"/>
      <c r="J864" s="7" t="n"/>
      <c r="K864" s="8" t="n"/>
      <c r="L864" s="7" t="n"/>
      <c r="M864" s="8" t="n"/>
      <c r="N864" s="7" t="n"/>
      <c r="O864" s="8" t="n"/>
      <c r="P864" s="6" t="n"/>
      <c r="Q864" s="8" t="n"/>
      <c r="S864" s="8">
        <f>IF(B864="","",E864*F864)</f>
        <v/>
      </c>
      <c r="T864" s="8">
        <f>IF(OR(B864="",N(G864)=0),"",ABS(F864-G864)*E864)</f>
        <v/>
      </c>
      <c r="U864" s="8">
        <f>IF(OR(B864="",P864=""),"",IF(D864="Venda",-1,1)*((N(J864)*N(K864)+N(L864)*N(M864)+N(N864)*N(O864))-(N(J864)+N(L864)+N(N864))*F864)-N(Q864))</f>
        <v/>
      </c>
      <c r="V864" s="9">
        <f>IF(OR(B864="",P864=""),"",U864/S864)</f>
        <v/>
      </c>
      <c r="W864">
        <f>IF(OR(B864="",P864=""),"",NETWORKDAYS(C864,P864)-1)</f>
        <v/>
      </c>
      <c r="X864">
        <f>IF(B864="","",IF(P864="","Aberto","Fechado"))</f>
        <v/>
      </c>
    </row>
    <row r="865">
      <c r="C865" s="6" t="n"/>
      <c r="E865" s="7" t="n"/>
      <c r="F865" s="8" t="n"/>
      <c r="G865" s="8" t="n"/>
      <c r="H865" s="8" t="n"/>
      <c r="J865" s="7" t="n"/>
      <c r="K865" s="8" t="n"/>
      <c r="L865" s="7" t="n"/>
      <c r="M865" s="8" t="n"/>
      <c r="N865" s="7" t="n"/>
      <c r="O865" s="8" t="n"/>
      <c r="P865" s="6" t="n"/>
      <c r="Q865" s="8" t="n"/>
      <c r="S865" s="8">
        <f>IF(B865="","",E865*F865)</f>
        <v/>
      </c>
      <c r="T865" s="8">
        <f>IF(OR(B865="",N(G865)=0),"",ABS(F865-G865)*E865)</f>
        <v/>
      </c>
      <c r="U865" s="8">
        <f>IF(OR(B865="",P865=""),"",IF(D865="Venda",-1,1)*((N(J865)*N(K865)+N(L865)*N(M865)+N(N865)*N(O865))-(N(J865)+N(L865)+N(N865))*F865)-N(Q865))</f>
        <v/>
      </c>
      <c r="V865" s="9">
        <f>IF(OR(B865="",P865=""),"",U865/S865)</f>
        <v/>
      </c>
      <c r="W865">
        <f>IF(OR(B865="",P865=""),"",NETWORKDAYS(C865,P865)-1)</f>
        <v/>
      </c>
      <c r="X865">
        <f>IF(B865="","",IF(P865="","Aberto","Fechado"))</f>
        <v/>
      </c>
    </row>
    <row r="866">
      <c r="C866" s="6" t="n"/>
      <c r="E866" s="7" t="n"/>
      <c r="F866" s="8" t="n"/>
      <c r="G866" s="8" t="n"/>
      <c r="H866" s="8" t="n"/>
      <c r="J866" s="7" t="n"/>
      <c r="K866" s="8" t="n"/>
      <c r="L866" s="7" t="n"/>
      <c r="M866" s="8" t="n"/>
      <c r="N866" s="7" t="n"/>
      <c r="O866" s="8" t="n"/>
      <c r="P866" s="6" t="n"/>
      <c r="Q866" s="8" t="n"/>
      <c r="S866" s="8">
        <f>IF(B866="","",E866*F866)</f>
        <v/>
      </c>
      <c r="T866" s="8">
        <f>IF(OR(B866="",N(G866)=0),"",ABS(F866-G866)*E866)</f>
        <v/>
      </c>
      <c r="U866" s="8">
        <f>IF(OR(B866="",P866=""),"",IF(D866="Venda",-1,1)*((N(J866)*N(K866)+N(L866)*N(M866)+N(N866)*N(O866))-(N(J866)+N(L866)+N(N866))*F866)-N(Q866))</f>
        <v/>
      </c>
      <c r="V866" s="9">
        <f>IF(OR(B866="",P866=""),"",U866/S866)</f>
        <v/>
      </c>
      <c r="W866">
        <f>IF(OR(B866="",P866=""),"",NETWORKDAYS(C866,P866)-1)</f>
        <v/>
      </c>
      <c r="X866">
        <f>IF(B866="","",IF(P866="","Aberto","Fechado"))</f>
        <v/>
      </c>
    </row>
    <row r="867">
      <c r="C867" s="6" t="n"/>
      <c r="E867" s="7" t="n"/>
      <c r="F867" s="8" t="n"/>
      <c r="G867" s="8" t="n"/>
      <c r="H867" s="8" t="n"/>
      <c r="J867" s="7" t="n"/>
      <c r="K867" s="8" t="n"/>
      <c r="L867" s="7" t="n"/>
      <c r="M867" s="8" t="n"/>
      <c r="N867" s="7" t="n"/>
      <c r="O867" s="8" t="n"/>
      <c r="P867" s="6" t="n"/>
      <c r="Q867" s="8" t="n"/>
      <c r="S867" s="8">
        <f>IF(B867="","",E867*F867)</f>
        <v/>
      </c>
      <c r="T867" s="8">
        <f>IF(OR(B867="",N(G867)=0),"",ABS(F867-G867)*E867)</f>
        <v/>
      </c>
      <c r="U867" s="8">
        <f>IF(OR(B867="",P867=""),"",IF(D867="Venda",-1,1)*((N(J867)*N(K867)+N(L867)*N(M867)+N(N867)*N(O867))-(N(J867)+N(L867)+N(N867))*F867)-N(Q867))</f>
        <v/>
      </c>
      <c r="V867" s="9">
        <f>IF(OR(B867="",P867=""),"",U867/S867)</f>
        <v/>
      </c>
      <c r="W867">
        <f>IF(OR(B867="",P867=""),"",NETWORKDAYS(C867,P867)-1)</f>
        <v/>
      </c>
      <c r="X867">
        <f>IF(B867="","",IF(P867="","Aberto","Fechado"))</f>
        <v/>
      </c>
    </row>
    <row r="868">
      <c r="C868" s="6" t="n"/>
      <c r="E868" s="7" t="n"/>
      <c r="F868" s="8" t="n"/>
      <c r="G868" s="8" t="n"/>
      <c r="H868" s="8" t="n"/>
      <c r="J868" s="7" t="n"/>
      <c r="K868" s="8" t="n"/>
      <c r="L868" s="7" t="n"/>
      <c r="M868" s="8" t="n"/>
      <c r="N868" s="7" t="n"/>
      <c r="O868" s="8" t="n"/>
      <c r="P868" s="6" t="n"/>
      <c r="Q868" s="8" t="n"/>
      <c r="S868" s="8">
        <f>IF(B868="","",E868*F868)</f>
        <v/>
      </c>
      <c r="T868" s="8">
        <f>IF(OR(B868="",N(G868)=0),"",ABS(F868-G868)*E868)</f>
        <v/>
      </c>
      <c r="U868" s="8">
        <f>IF(OR(B868="",P868=""),"",IF(D868="Venda",-1,1)*((N(J868)*N(K868)+N(L868)*N(M868)+N(N868)*N(O868))-(N(J868)+N(L868)+N(N868))*F868)-N(Q868))</f>
        <v/>
      </c>
      <c r="V868" s="9">
        <f>IF(OR(B868="",P868=""),"",U868/S868)</f>
        <v/>
      </c>
      <c r="W868">
        <f>IF(OR(B868="",P868=""),"",NETWORKDAYS(C868,P868)-1)</f>
        <v/>
      </c>
      <c r="X868">
        <f>IF(B868="","",IF(P868="","Aberto","Fechado"))</f>
        <v/>
      </c>
    </row>
    <row r="869">
      <c r="C869" s="6" t="n"/>
      <c r="E869" s="7" t="n"/>
      <c r="F869" s="8" t="n"/>
      <c r="G869" s="8" t="n"/>
      <c r="H869" s="8" t="n"/>
      <c r="J869" s="7" t="n"/>
      <c r="K869" s="8" t="n"/>
      <c r="L869" s="7" t="n"/>
      <c r="M869" s="8" t="n"/>
      <c r="N869" s="7" t="n"/>
      <c r="O869" s="8" t="n"/>
      <c r="P869" s="6" t="n"/>
      <c r="Q869" s="8" t="n"/>
      <c r="S869" s="8">
        <f>IF(B869="","",E869*F869)</f>
        <v/>
      </c>
      <c r="T869" s="8">
        <f>IF(OR(B869="",N(G869)=0),"",ABS(F869-G869)*E869)</f>
        <v/>
      </c>
      <c r="U869" s="8">
        <f>IF(OR(B869="",P869=""),"",IF(D869="Venda",-1,1)*((N(J869)*N(K869)+N(L869)*N(M869)+N(N869)*N(O869))-(N(J869)+N(L869)+N(N869))*F869)-N(Q869))</f>
        <v/>
      </c>
      <c r="V869" s="9">
        <f>IF(OR(B869="",P869=""),"",U869/S869)</f>
        <v/>
      </c>
      <c r="W869">
        <f>IF(OR(B869="",P869=""),"",NETWORKDAYS(C869,P869)-1)</f>
        <v/>
      </c>
      <c r="X869">
        <f>IF(B869="","",IF(P869="","Aberto","Fechado"))</f>
        <v/>
      </c>
    </row>
    <row r="870">
      <c r="C870" s="6" t="n"/>
      <c r="E870" s="7" t="n"/>
      <c r="F870" s="8" t="n"/>
      <c r="G870" s="8" t="n"/>
      <c r="H870" s="8" t="n"/>
      <c r="J870" s="7" t="n"/>
      <c r="K870" s="8" t="n"/>
      <c r="L870" s="7" t="n"/>
      <c r="M870" s="8" t="n"/>
      <c r="N870" s="7" t="n"/>
      <c r="O870" s="8" t="n"/>
      <c r="P870" s="6" t="n"/>
      <c r="Q870" s="8" t="n"/>
      <c r="S870" s="8">
        <f>IF(B870="","",E870*F870)</f>
        <v/>
      </c>
      <c r="T870" s="8">
        <f>IF(OR(B870="",N(G870)=0),"",ABS(F870-G870)*E870)</f>
        <v/>
      </c>
      <c r="U870" s="8">
        <f>IF(OR(B870="",P870=""),"",IF(D870="Venda",-1,1)*((N(J870)*N(K870)+N(L870)*N(M870)+N(N870)*N(O870))-(N(J870)+N(L870)+N(N870))*F870)-N(Q870))</f>
        <v/>
      </c>
      <c r="V870" s="9">
        <f>IF(OR(B870="",P870=""),"",U870/S870)</f>
        <v/>
      </c>
      <c r="W870">
        <f>IF(OR(B870="",P870=""),"",NETWORKDAYS(C870,P870)-1)</f>
        <v/>
      </c>
      <c r="X870">
        <f>IF(B870="","",IF(P870="","Aberto","Fechado"))</f>
        <v/>
      </c>
    </row>
    <row r="871">
      <c r="C871" s="6" t="n"/>
      <c r="E871" s="7" t="n"/>
      <c r="F871" s="8" t="n"/>
      <c r="G871" s="8" t="n"/>
      <c r="H871" s="8" t="n"/>
      <c r="J871" s="7" t="n"/>
      <c r="K871" s="8" t="n"/>
      <c r="L871" s="7" t="n"/>
      <c r="M871" s="8" t="n"/>
      <c r="N871" s="7" t="n"/>
      <c r="O871" s="8" t="n"/>
      <c r="P871" s="6" t="n"/>
      <c r="Q871" s="8" t="n"/>
      <c r="S871" s="8">
        <f>IF(B871="","",E871*F871)</f>
        <v/>
      </c>
      <c r="T871" s="8">
        <f>IF(OR(B871="",N(G871)=0),"",ABS(F871-G871)*E871)</f>
        <v/>
      </c>
      <c r="U871" s="8">
        <f>IF(OR(B871="",P871=""),"",IF(D871="Venda",-1,1)*((N(J871)*N(K871)+N(L871)*N(M871)+N(N871)*N(O871))-(N(J871)+N(L871)+N(N871))*F871)-N(Q871))</f>
        <v/>
      </c>
      <c r="V871" s="9">
        <f>IF(OR(B871="",P871=""),"",U871/S871)</f>
        <v/>
      </c>
      <c r="W871">
        <f>IF(OR(B871="",P871=""),"",NETWORKDAYS(C871,P871)-1)</f>
        <v/>
      </c>
      <c r="X871">
        <f>IF(B871="","",IF(P871="","Aberto","Fechado"))</f>
        <v/>
      </c>
    </row>
    <row r="872">
      <c r="C872" s="6" t="n"/>
      <c r="E872" s="7" t="n"/>
      <c r="F872" s="8" t="n"/>
      <c r="G872" s="8" t="n"/>
      <c r="H872" s="8" t="n"/>
      <c r="J872" s="7" t="n"/>
      <c r="K872" s="8" t="n"/>
      <c r="L872" s="7" t="n"/>
      <c r="M872" s="8" t="n"/>
      <c r="N872" s="7" t="n"/>
      <c r="O872" s="8" t="n"/>
      <c r="P872" s="6" t="n"/>
      <c r="Q872" s="8" t="n"/>
      <c r="S872" s="8">
        <f>IF(B872="","",E872*F872)</f>
        <v/>
      </c>
      <c r="T872" s="8">
        <f>IF(OR(B872="",N(G872)=0),"",ABS(F872-G872)*E872)</f>
        <v/>
      </c>
      <c r="U872" s="8">
        <f>IF(OR(B872="",P872=""),"",IF(D872="Venda",-1,1)*((N(J872)*N(K872)+N(L872)*N(M872)+N(N872)*N(O872))-(N(J872)+N(L872)+N(N872))*F872)-N(Q872))</f>
        <v/>
      </c>
      <c r="V872" s="9">
        <f>IF(OR(B872="",P872=""),"",U872/S872)</f>
        <v/>
      </c>
      <c r="W872">
        <f>IF(OR(B872="",P872=""),"",NETWORKDAYS(C872,P872)-1)</f>
        <v/>
      </c>
      <c r="X872">
        <f>IF(B872="","",IF(P872="","Aberto","Fechado"))</f>
        <v/>
      </c>
    </row>
    <row r="873">
      <c r="C873" s="6" t="n"/>
      <c r="E873" s="7" t="n"/>
      <c r="F873" s="8" t="n"/>
      <c r="G873" s="8" t="n"/>
      <c r="H873" s="8" t="n"/>
      <c r="J873" s="7" t="n"/>
      <c r="K873" s="8" t="n"/>
      <c r="L873" s="7" t="n"/>
      <c r="M873" s="8" t="n"/>
      <c r="N873" s="7" t="n"/>
      <c r="O873" s="8" t="n"/>
      <c r="P873" s="6" t="n"/>
      <c r="Q873" s="8" t="n"/>
      <c r="S873" s="8">
        <f>IF(B873="","",E873*F873)</f>
        <v/>
      </c>
      <c r="T873" s="8">
        <f>IF(OR(B873="",N(G873)=0),"",ABS(F873-G873)*E873)</f>
        <v/>
      </c>
      <c r="U873" s="8">
        <f>IF(OR(B873="",P873=""),"",IF(D873="Venda",-1,1)*((N(J873)*N(K873)+N(L873)*N(M873)+N(N873)*N(O873))-(N(J873)+N(L873)+N(N873))*F873)-N(Q873))</f>
        <v/>
      </c>
      <c r="V873" s="9">
        <f>IF(OR(B873="",P873=""),"",U873/S873)</f>
        <v/>
      </c>
      <c r="W873">
        <f>IF(OR(B873="",P873=""),"",NETWORKDAYS(C873,P873)-1)</f>
        <v/>
      </c>
      <c r="X873">
        <f>IF(B873="","",IF(P873="","Aberto","Fechado"))</f>
        <v/>
      </c>
    </row>
    <row r="874">
      <c r="C874" s="6" t="n"/>
      <c r="E874" s="7" t="n"/>
      <c r="F874" s="8" t="n"/>
      <c r="G874" s="8" t="n"/>
      <c r="H874" s="8" t="n"/>
      <c r="J874" s="7" t="n"/>
      <c r="K874" s="8" t="n"/>
      <c r="L874" s="7" t="n"/>
      <c r="M874" s="8" t="n"/>
      <c r="N874" s="7" t="n"/>
      <c r="O874" s="8" t="n"/>
      <c r="P874" s="6" t="n"/>
      <c r="Q874" s="8" t="n"/>
      <c r="S874" s="8">
        <f>IF(B874="","",E874*F874)</f>
        <v/>
      </c>
      <c r="T874" s="8">
        <f>IF(OR(B874="",N(G874)=0),"",ABS(F874-G874)*E874)</f>
        <v/>
      </c>
      <c r="U874" s="8">
        <f>IF(OR(B874="",P874=""),"",IF(D874="Venda",-1,1)*((N(J874)*N(K874)+N(L874)*N(M874)+N(N874)*N(O874))-(N(J874)+N(L874)+N(N874))*F874)-N(Q874))</f>
        <v/>
      </c>
      <c r="V874" s="9">
        <f>IF(OR(B874="",P874=""),"",U874/S874)</f>
        <v/>
      </c>
      <c r="W874">
        <f>IF(OR(B874="",P874=""),"",NETWORKDAYS(C874,P874)-1)</f>
        <v/>
      </c>
      <c r="X874">
        <f>IF(B874="","",IF(P874="","Aberto","Fechado"))</f>
        <v/>
      </c>
    </row>
    <row r="875">
      <c r="C875" s="6" t="n"/>
      <c r="E875" s="7" t="n"/>
      <c r="F875" s="8" t="n"/>
      <c r="G875" s="8" t="n"/>
      <c r="H875" s="8" t="n"/>
      <c r="J875" s="7" t="n"/>
      <c r="K875" s="8" t="n"/>
      <c r="L875" s="7" t="n"/>
      <c r="M875" s="8" t="n"/>
      <c r="N875" s="7" t="n"/>
      <c r="O875" s="8" t="n"/>
      <c r="P875" s="6" t="n"/>
      <c r="Q875" s="8" t="n"/>
      <c r="S875" s="8">
        <f>IF(B875="","",E875*F875)</f>
        <v/>
      </c>
      <c r="T875" s="8">
        <f>IF(OR(B875="",N(G875)=0),"",ABS(F875-G875)*E875)</f>
        <v/>
      </c>
      <c r="U875" s="8">
        <f>IF(OR(B875="",P875=""),"",IF(D875="Venda",-1,1)*((N(J875)*N(K875)+N(L875)*N(M875)+N(N875)*N(O875))-(N(J875)+N(L875)+N(N875))*F875)-N(Q875))</f>
        <v/>
      </c>
      <c r="V875" s="9">
        <f>IF(OR(B875="",P875=""),"",U875/S875)</f>
        <v/>
      </c>
      <c r="W875">
        <f>IF(OR(B875="",P875=""),"",NETWORKDAYS(C875,P875)-1)</f>
        <v/>
      </c>
      <c r="X875">
        <f>IF(B875="","",IF(P875="","Aberto","Fechado"))</f>
        <v/>
      </c>
    </row>
    <row r="876">
      <c r="C876" s="6" t="n"/>
      <c r="E876" s="7" t="n"/>
      <c r="F876" s="8" t="n"/>
      <c r="G876" s="8" t="n"/>
      <c r="H876" s="8" t="n"/>
      <c r="J876" s="7" t="n"/>
      <c r="K876" s="8" t="n"/>
      <c r="L876" s="7" t="n"/>
      <c r="M876" s="8" t="n"/>
      <c r="N876" s="7" t="n"/>
      <c r="O876" s="8" t="n"/>
      <c r="P876" s="6" t="n"/>
      <c r="Q876" s="8" t="n"/>
      <c r="S876" s="8">
        <f>IF(B876="","",E876*F876)</f>
        <v/>
      </c>
      <c r="T876" s="8">
        <f>IF(OR(B876="",N(G876)=0),"",ABS(F876-G876)*E876)</f>
        <v/>
      </c>
      <c r="U876" s="8">
        <f>IF(OR(B876="",P876=""),"",IF(D876="Venda",-1,1)*((N(J876)*N(K876)+N(L876)*N(M876)+N(N876)*N(O876))-(N(J876)+N(L876)+N(N876))*F876)-N(Q876))</f>
        <v/>
      </c>
      <c r="V876" s="9">
        <f>IF(OR(B876="",P876=""),"",U876/S876)</f>
        <v/>
      </c>
      <c r="W876">
        <f>IF(OR(B876="",P876=""),"",NETWORKDAYS(C876,P876)-1)</f>
        <v/>
      </c>
      <c r="X876">
        <f>IF(B876="","",IF(P876="","Aberto","Fechado"))</f>
        <v/>
      </c>
    </row>
    <row r="877">
      <c r="C877" s="6" t="n"/>
      <c r="E877" s="7" t="n"/>
      <c r="F877" s="8" t="n"/>
      <c r="G877" s="8" t="n"/>
      <c r="H877" s="8" t="n"/>
      <c r="J877" s="7" t="n"/>
      <c r="K877" s="8" t="n"/>
      <c r="L877" s="7" t="n"/>
      <c r="M877" s="8" t="n"/>
      <c r="N877" s="7" t="n"/>
      <c r="O877" s="8" t="n"/>
      <c r="P877" s="6" t="n"/>
      <c r="Q877" s="8" t="n"/>
      <c r="S877" s="8">
        <f>IF(B877="","",E877*F877)</f>
        <v/>
      </c>
      <c r="T877" s="8">
        <f>IF(OR(B877="",N(G877)=0),"",ABS(F877-G877)*E877)</f>
        <v/>
      </c>
      <c r="U877" s="8">
        <f>IF(OR(B877="",P877=""),"",IF(D877="Venda",-1,1)*((N(J877)*N(K877)+N(L877)*N(M877)+N(N877)*N(O877))-(N(J877)+N(L877)+N(N877))*F877)-N(Q877))</f>
        <v/>
      </c>
      <c r="V877" s="9">
        <f>IF(OR(B877="",P877=""),"",U877/S877)</f>
        <v/>
      </c>
      <c r="W877">
        <f>IF(OR(B877="",P877=""),"",NETWORKDAYS(C877,P877)-1)</f>
        <v/>
      </c>
      <c r="X877">
        <f>IF(B877="","",IF(P877="","Aberto","Fechado"))</f>
        <v/>
      </c>
    </row>
    <row r="878">
      <c r="C878" s="6" t="n"/>
      <c r="E878" s="7" t="n"/>
      <c r="F878" s="8" t="n"/>
      <c r="G878" s="8" t="n"/>
      <c r="H878" s="8" t="n"/>
      <c r="J878" s="7" t="n"/>
      <c r="K878" s="8" t="n"/>
      <c r="L878" s="7" t="n"/>
      <c r="M878" s="8" t="n"/>
      <c r="N878" s="7" t="n"/>
      <c r="O878" s="8" t="n"/>
      <c r="P878" s="6" t="n"/>
      <c r="Q878" s="8" t="n"/>
      <c r="S878" s="8">
        <f>IF(B878="","",E878*F878)</f>
        <v/>
      </c>
      <c r="T878" s="8">
        <f>IF(OR(B878="",N(G878)=0),"",ABS(F878-G878)*E878)</f>
        <v/>
      </c>
      <c r="U878" s="8">
        <f>IF(OR(B878="",P878=""),"",IF(D878="Venda",-1,1)*((N(J878)*N(K878)+N(L878)*N(M878)+N(N878)*N(O878))-(N(J878)+N(L878)+N(N878))*F878)-N(Q878))</f>
        <v/>
      </c>
      <c r="V878" s="9">
        <f>IF(OR(B878="",P878=""),"",U878/S878)</f>
        <v/>
      </c>
      <c r="W878">
        <f>IF(OR(B878="",P878=""),"",NETWORKDAYS(C878,P878)-1)</f>
        <v/>
      </c>
      <c r="X878">
        <f>IF(B878="","",IF(P878="","Aberto","Fechado"))</f>
        <v/>
      </c>
    </row>
    <row r="879">
      <c r="C879" s="6" t="n"/>
      <c r="E879" s="7" t="n"/>
      <c r="F879" s="8" t="n"/>
      <c r="G879" s="8" t="n"/>
      <c r="H879" s="8" t="n"/>
      <c r="J879" s="7" t="n"/>
      <c r="K879" s="8" t="n"/>
      <c r="L879" s="7" t="n"/>
      <c r="M879" s="8" t="n"/>
      <c r="N879" s="7" t="n"/>
      <c r="O879" s="8" t="n"/>
      <c r="P879" s="6" t="n"/>
      <c r="Q879" s="8" t="n"/>
      <c r="S879" s="8">
        <f>IF(B879="","",E879*F879)</f>
        <v/>
      </c>
      <c r="T879" s="8">
        <f>IF(OR(B879="",N(G879)=0),"",ABS(F879-G879)*E879)</f>
        <v/>
      </c>
      <c r="U879" s="8">
        <f>IF(OR(B879="",P879=""),"",IF(D879="Venda",-1,1)*((N(J879)*N(K879)+N(L879)*N(M879)+N(N879)*N(O879))-(N(J879)+N(L879)+N(N879))*F879)-N(Q879))</f>
        <v/>
      </c>
      <c r="V879" s="9">
        <f>IF(OR(B879="",P879=""),"",U879/S879)</f>
        <v/>
      </c>
      <c r="W879">
        <f>IF(OR(B879="",P879=""),"",NETWORKDAYS(C879,P879)-1)</f>
        <v/>
      </c>
      <c r="X879">
        <f>IF(B879="","",IF(P879="","Aberto","Fechado"))</f>
        <v/>
      </c>
    </row>
    <row r="880">
      <c r="C880" s="6" t="n"/>
      <c r="E880" s="7" t="n"/>
      <c r="F880" s="8" t="n"/>
      <c r="G880" s="8" t="n"/>
      <c r="H880" s="8" t="n"/>
      <c r="J880" s="7" t="n"/>
      <c r="K880" s="8" t="n"/>
      <c r="L880" s="7" t="n"/>
      <c r="M880" s="8" t="n"/>
      <c r="N880" s="7" t="n"/>
      <c r="O880" s="8" t="n"/>
      <c r="P880" s="6" t="n"/>
      <c r="Q880" s="8" t="n"/>
      <c r="S880" s="8">
        <f>IF(B880="","",E880*F880)</f>
        <v/>
      </c>
      <c r="T880" s="8">
        <f>IF(OR(B880="",N(G880)=0),"",ABS(F880-G880)*E880)</f>
        <v/>
      </c>
      <c r="U880" s="8">
        <f>IF(OR(B880="",P880=""),"",IF(D880="Venda",-1,1)*((N(J880)*N(K880)+N(L880)*N(M880)+N(N880)*N(O880))-(N(J880)+N(L880)+N(N880))*F880)-N(Q880))</f>
        <v/>
      </c>
      <c r="V880" s="9">
        <f>IF(OR(B880="",P880=""),"",U880/S880)</f>
        <v/>
      </c>
      <c r="W880">
        <f>IF(OR(B880="",P880=""),"",NETWORKDAYS(C880,P880)-1)</f>
        <v/>
      </c>
      <c r="X880">
        <f>IF(B880="","",IF(P880="","Aberto","Fechado"))</f>
        <v/>
      </c>
    </row>
    <row r="881">
      <c r="C881" s="6" t="n"/>
      <c r="E881" s="7" t="n"/>
      <c r="F881" s="8" t="n"/>
      <c r="G881" s="8" t="n"/>
      <c r="H881" s="8" t="n"/>
      <c r="J881" s="7" t="n"/>
      <c r="K881" s="8" t="n"/>
      <c r="L881" s="7" t="n"/>
      <c r="M881" s="8" t="n"/>
      <c r="N881" s="7" t="n"/>
      <c r="O881" s="8" t="n"/>
      <c r="P881" s="6" t="n"/>
      <c r="Q881" s="8" t="n"/>
      <c r="S881" s="8">
        <f>IF(B881="","",E881*F881)</f>
        <v/>
      </c>
      <c r="T881" s="8">
        <f>IF(OR(B881="",N(G881)=0),"",ABS(F881-G881)*E881)</f>
        <v/>
      </c>
      <c r="U881" s="8">
        <f>IF(OR(B881="",P881=""),"",IF(D881="Venda",-1,1)*((N(J881)*N(K881)+N(L881)*N(M881)+N(N881)*N(O881))-(N(J881)+N(L881)+N(N881))*F881)-N(Q881))</f>
        <v/>
      </c>
      <c r="V881" s="9">
        <f>IF(OR(B881="",P881=""),"",U881/S881)</f>
        <v/>
      </c>
      <c r="W881">
        <f>IF(OR(B881="",P881=""),"",NETWORKDAYS(C881,P881)-1)</f>
        <v/>
      </c>
      <c r="X881">
        <f>IF(B881="","",IF(P881="","Aberto","Fechado"))</f>
        <v/>
      </c>
    </row>
    <row r="882">
      <c r="C882" s="6" t="n"/>
      <c r="E882" s="7" t="n"/>
      <c r="F882" s="8" t="n"/>
      <c r="G882" s="8" t="n"/>
      <c r="H882" s="8" t="n"/>
      <c r="J882" s="7" t="n"/>
      <c r="K882" s="8" t="n"/>
      <c r="L882" s="7" t="n"/>
      <c r="M882" s="8" t="n"/>
      <c r="N882" s="7" t="n"/>
      <c r="O882" s="8" t="n"/>
      <c r="P882" s="6" t="n"/>
      <c r="Q882" s="8" t="n"/>
      <c r="S882" s="8">
        <f>IF(B882="","",E882*F882)</f>
        <v/>
      </c>
      <c r="T882" s="8">
        <f>IF(OR(B882="",N(G882)=0),"",ABS(F882-G882)*E882)</f>
        <v/>
      </c>
      <c r="U882" s="8">
        <f>IF(OR(B882="",P882=""),"",IF(D882="Venda",-1,1)*((N(J882)*N(K882)+N(L882)*N(M882)+N(N882)*N(O882))-(N(J882)+N(L882)+N(N882))*F882)-N(Q882))</f>
        <v/>
      </c>
      <c r="V882" s="9">
        <f>IF(OR(B882="",P882=""),"",U882/S882)</f>
        <v/>
      </c>
      <c r="W882">
        <f>IF(OR(B882="",P882=""),"",NETWORKDAYS(C882,P882)-1)</f>
        <v/>
      </c>
      <c r="X882">
        <f>IF(B882="","",IF(P882="","Aberto","Fechado"))</f>
        <v/>
      </c>
    </row>
    <row r="883">
      <c r="C883" s="6" t="n"/>
      <c r="E883" s="7" t="n"/>
      <c r="F883" s="8" t="n"/>
      <c r="G883" s="8" t="n"/>
      <c r="H883" s="8" t="n"/>
      <c r="J883" s="7" t="n"/>
      <c r="K883" s="8" t="n"/>
      <c r="L883" s="7" t="n"/>
      <c r="M883" s="8" t="n"/>
      <c r="N883" s="7" t="n"/>
      <c r="O883" s="8" t="n"/>
      <c r="P883" s="6" t="n"/>
      <c r="Q883" s="8" t="n"/>
      <c r="S883" s="8">
        <f>IF(B883="","",E883*F883)</f>
        <v/>
      </c>
      <c r="T883" s="8">
        <f>IF(OR(B883="",N(G883)=0),"",ABS(F883-G883)*E883)</f>
        <v/>
      </c>
      <c r="U883" s="8">
        <f>IF(OR(B883="",P883=""),"",IF(D883="Venda",-1,1)*((N(J883)*N(K883)+N(L883)*N(M883)+N(N883)*N(O883))-(N(J883)+N(L883)+N(N883))*F883)-N(Q883))</f>
        <v/>
      </c>
      <c r="V883" s="9">
        <f>IF(OR(B883="",P883=""),"",U883/S883)</f>
        <v/>
      </c>
      <c r="W883">
        <f>IF(OR(B883="",P883=""),"",NETWORKDAYS(C883,P883)-1)</f>
        <v/>
      </c>
      <c r="X883">
        <f>IF(B883="","",IF(P883="","Aberto","Fechado"))</f>
        <v/>
      </c>
    </row>
    <row r="884">
      <c r="C884" s="6" t="n"/>
      <c r="E884" s="7" t="n"/>
      <c r="F884" s="8" t="n"/>
      <c r="G884" s="8" t="n"/>
      <c r="H884" s="8" t="n"/>
      <c r="J884" s="7" t="n"/>
      <c r="K884" s="8" t="n"/>
      <c r="L884" s="7" t="n"/>
      <c r="M884" s="8" t="n"/>
      <c r="N884" s="7" t="n"/>
      <c r="O884" s="8" t="n"/>
      <c r="P884" s="6" t="n"/>
      <c r="Q884" s="8" t="n"/>
      <c r="S884" s="8">
        <f>IF(B884="","",E884*F884)</f>
        <v/>
      </c>
      <c r="T884" s="8">
        <f>IF(OR(B884="",N(G884)=0),"",ABS(F884-G884)*E884)</f>
        <v/>
      </c>
      <c r="U884" s="8">
        <f>IF(OR(B884="",P884=""),"",IF(D884="Venda",-1,1)*((N(J884)*N(K884)+N(L884)*N(M884)+N(N884)*N(O884))-(N(J884)+N(L884)+N(N884))*F884)-N(Q884))</f>
        <v/>
      </c>
      <c r="V884" s="9">
        <f>IF(OR(B884="",P884=""),"",U884/S884)</f>
        <v/>
      </c>
      <c r="W884">
        <f>IF(OR(B884="",P884=""),"",NETWORKDAYS(C884,P884)-1)</f>
        <v/>
      </c>
      <c r="X884">
        <f>IF(B884="","",IF(P884="","Aberto","Fechado"))</f>
        <v/>
      </c>
    </row>
    <row r="885">
      <c r="C885" s="6" t="n"/>
      <c r="E885" s="7" t="n"/>
      <c r="F885" s="8" t="n"/>
      <c r="G885" s="8" t="n"/>
      <c r="H885" s="8" t="n"/>
      <c r="J885" s="7" t="n"/>
      <c r="K885" s="8" t="n"/>
      <c r="L885" s="7" t="n"/>
      <c r="M885" s="8" t="n"/>
      <c r="N885" s="7" t="n"/>
      <c r="O885" s="8" t="n"/>
      <c r="P885" s="6" t="n"/>
      <c r="Q885" s="8" t="n"/>
      <c r="S885" s="8">
        <f>IF(B885="","",E885*F885)</f>
        <v/>
      </c>
      <c r="T885" s="8">
        <f>IF(OR(B885="",N(G885)=0),"",ABS(F885-G885)*E885)</f>
        <v/>
      </c>
      <c r="U885" s="8">
        <f>IF(OR(B885="",P885=""),"",IF(D885="Venda",-1,1)*((N(J885)*N(K885)+N(L885)*N(M885)+N(N885)*N(O885))-(N(J885)+N(L885)+N(N885))*F885)-N(Q885))</f>
        <v/>
      </c>
      <c r="V885" s="9">
        <f>IF(OR(B885="",P885=""),"",U885/S885)</f>
        <v/>
      </c>
      <c r="W885">
        <f>IF(OR(B885="",P885=""),"",NETWORKDAYS(C885,P885)-1)</f>
        <v/>
      </c>
      <c r="X885">
        <f>IF(B885="","",IF(P885="","Aberto","Fechado"))</f>
        <v/>
      </c>
    </row>
    <row r="886">
      <c r="C886" s="6" t="n"/>
      <c r="E886" s="7" t="n"/>
      <c r="F886" s="8" t="n"/>
      <c r="G886" s="8" t="n"/>
      <c r="H886" s="8" t="n"/>
      <c r="J886" s="7" t="n"/>
      <c r="K886" s="8" t="n"/>
      <c r="L886" s="7" t="n"/>
      <c r="M886" s="8" t="n"/>
      <c r="N886" s="7" t="n"/>
      <c r="O886" s="8" t="n"/>
      <c r="P886" s="6" t="n"/>
      <c r="Q886" s="8" t="n"/>
      <c r="S886" s="8">
        <f>IF(B886="","",E886*F886)</f>
        <v/>
      </c>
      <c r="T886" s="8">
        <f>IF(OR(B886="",N(G886)=0),"",ABS(F886-G886)*E886)</f>
        <v/>
      </c>
      <c r="U886" s="8">
        <f>IF(OR(B886="",P886=""),"",IF(D886="Venda",-1,1)*((N(J886)*N(K886)+N(L886)*N(M886)+N(N886)*N(O886))-(N(J886)+N(L886)+N(N886))*F886)-N(Q886))</f>
        <v/>
      </c>
      <c r="V886" s="9">
        <f>IF(OR(B886="",P886=""),"",U886/S886)</f>
        <v/>
      </c>
      <c r="W886">
        <f>IF(OR(B886="",P886=""),"",NETWORKDAYS(C886,P886)-1)</f>
        <v/>
      </c>
      <c r="X886">
        <f>IF(B886="","",IF(P886="","Aberto","Fechado"))</f>
        <v/>
      </c>
    </row>
    <row r="887">
      <c r="C887" s="6" t="n"/>
      <c r="E887" s="7" t="n"/>
      <c r="F887" s="8" t="n"/>
      <c r="G887" s="8" t="n"/>
      <c r="H887" s="8" t="n"/>
      <c r="J887" s="7" t="n"/>
      <c r="K887" s="8" t="n"/>
      <c r="L887" s="7" t="n"/>
      <c r="M887" s="8" t="n"/>
      <c r="N887" s="7" t="n"/>
      <c r="O887" s="8" t="n"/>
      <c r="P887" s="6" t="n"/>
      <c r="Q887" s="8" t="n"/>
      <c r="S887" s="8">
        <f>IF(B887="","",E887*F887)</f>
        <v/>
      </c>
      <c r="T887" s="8">
        <f>IF(OR(B887="",N(G887)=0),"",ABS(F887-G887)*E887)</f>
        <v/>
      </c>
      <c r="U887" s="8">
        <f>IF(OR(B887="",P887=""),"",IF(D887="Venda",-1,1)*((N(J887)*N(K887)+N(L887)*N(M887)+N(N887)*N(O887))-(N(J887)+N(L887)+N(N887))*F887)-N(Q887))</f>
        <v/>
      </c>
      <c r="V887" s="9">
        <f>IF(OR(B887="",P887=""),"",U887/S887)</f>
        <v/>
      </c>
      <c r="W887">
        <f>IF(OR(B887="",P887=""),"",NETWORKDAYS(C887,P887)-1)</f>
        <v/>
      </c>
      <c r="X887">
        <f>IF(B887="","",IF(P887="","Aberto","Fechado"))</f>
        <v/>
      </c>
    </row>
    <row r="888">
      <c r="C888" s="6" t="n"/>
      <c r="E888" s="7" t="n"/>
      <c r="F888" s="8" t="n"/>
      <c r="G888" s="8" t="n"/>
      <c r="H888" s="8" t="n"/>
      <c r="J888" s="7" t="n"/>
      <c r="K888" s="8" t="n"/>
      <c r="L888" s="7" t="n"/>
      <c r="M888" s="8" t="n"/>
      <c r="N888" s="7" t="n"/>
      <c r="O888" s="8" t="n"/>
      <c r="P888" s="6" t="n"/>
      <c r="Q888" s="8" t="n"/>
      <c r="S888" s="8">
        <f>IF(B888="","",E888*F888)</f>
        <v/>
      </c>
      <c r="T888" s="8">
        <f>IF(OR(B888="",N(G888)=0),"",ABS(F888-G888)*E888)</f>
        <v/>
      </c>
      <c r="U888" s="8">
        <f>IF(OR(B888="",P888=""),"",IF(D888="Venda",-1,1)*((N(J888)*N(K888)+N(L888)*N(M888)+N(N888)*N(O888))-(N(J888)+N(L888)+N(N888))*F888)-N(Q888))</f>
        <v/>
      </c>
      <c r="V888" s="9">
        <f>IF(OR(B888="",P888=""),"",U888/S888)</f>
        <v/>
      </c>
      <c r="W888">
        <f>IF(OR(B888="",P888=""),"",NETWORKDAYS(C888,P888)-1)</f>
        <v/>
      </c>
      <c r="X888">
        <f>IF(B888="","",IF(P888="","Aberto","Fechado"))</f>
        <v/>
      </c>
    </row>
    <row r="889">
      <c r="C889" s="6" t="n"/>
      <c r="E889" s="7" t="n"/>
      <c r="F889" s="8" t="n"/>
      <c r="G889" s="8" t="n"/>
      <c r="H889" s="8" t="n"/>
      <c r="J889" s="7" t="n"/>
      <c r="K889" s="8" t="n"/>
      <c r="L889" s="7" t="n"/>
      <c r="M889" s="8" t="n"/>
      <c r="N889" s="7" t="n"/>
      <c r="O889" s="8" t="n"/>
      <c r="P889" s="6" t="n"/>
      <c r="Q889" s="8" t="n"/>
      <c r="S889" s="8">
        <f>IF(B889="","",E889*F889)</f>
        <v/>
      </c>
      <c r="T889" s="8">
        <f>IF(OR(B889="",N(G889)=0),"",ABS(F889-G889)*E889)</f>
        <v/>
      </c>
      <c r="U889" s="8">
        <f>IF(OR(B889="",P889=""),"",IF(D889="Venda",-1,1)*((N(J889)*N(K889)+N(L889)*N(M889)+N(N889)*N(O889))-(N(J889)+N(L889)+N(N889))*F889)-N(Q889))</f>
        <v/>
      </c>
      <c r="V889" s="9">
        <f>IF(OR(B889="",P889=""),"",U889/S889)</f>
        <v/>
      </c>
      <c r="W889">
        <f>IF(OR(B889="",P889=""),"",NETWORKDAYS(C889,P889)-1)</f>
        <v/>
      </c>
      <c r="X889">
        <f>IF(B889="","",IF(P889="","Aberto","Fechado"))</f>
        <v/>
      </c>
    </row>
    <row r="890">
      <c r="C890" s="6" t="n"/>
      <c r="E890" s="7" t="n"/>
      <c r="F890" s="8" t="n"/>
      <c r="G890" s="8" t="n"/>
      <c r="H890" s="8" t="n"/>
      <c r="J890" s="7" t="n"/>
      <c r="K890" s="8" t="n"/>
      <c r="L890" s="7" t="n"/>
      <c r="M890" s="8" t="n"/>
      <c r="N890" s="7" t="n"/>
      <c r="O890" s="8" t="n"/>
      <c r="P890" s="6" t="n"/>
      <c r="Q890" s="8" t="n"/>
      <c r="S890" s="8">
        <f>IF(B890="","",E890*F890)</f>
        <v/>
      </c>
      <c r="T890" s="8">
        <f>IF(OR(B890="",N(G890)=0),"",ABS(F890-G890)*E890)</f>
        <v/>
      </c>
      <c r="U890" s="8">
        <f>IF(OR(B890="",P890=""),"",IF(D890="Venda",-1,1)*((N(J890)*N(K890)+N(L890)*N(M890)+N(N890)*N(O890))-(N(J890)+N(L890)+N(N890))*F890)-N(Q890))</f>
        <v/>
      </c>
      <c r="V890" s="9">
        <f>IF(OR(B890="",P890=""),"",U890/S890)</f>
        <v/>
      </c>
      <c r="W890">
        <f>IF(OR(B890="",P890=""),"",NETWORKDAYS(C890,P890)-1)</f>
        <v/>
      </c>
      <c r="X890">
        <f>IF(B890="","",IF(P890="","Aberto","Fechado"))</f>
        <v/>
      </c>
    </row>
    <row r="891">
      <c r="C891" s="6" t="n"/>
      <c r="E891" s="7" t="n"/>
      <c r="F891" s="8" t="n"/>
      <c r="G891" s="8" t="n"/>
      <c r="H891" s="8" t="n"/>
      <c r="J891" s="7" t="n"/>
      <c r="K891" s="8" t="n"/>
      <c r="L891" s="7" t="n"/>
      <c r="M891" s="8" t="n"/>
      <c r="N891" s="7" t="n"/>
      <c r="O891" s="8" t="n"/>
      <c r="P891" s="6" t="n"/>
      <c r="Q891" s="8" t="n"/>
      <c r="S891" s="8">
        <f>IF(B891="","",E891*F891)</f>
        <v/>
      </c>
      <c r="T891" s="8">
        <f>IF(OR(B891="",N(G891)=0),"",ABS(F891-G891)*E891)</f>
        <v/>
      </c>
      <c r="U891" s="8">
        <f>IF(OR(B891="",P891=""),"",IF(D891="Venda",-1,1)*((N(J891)*N(K891)+N(L891)*N(M891)+N(N891)*N(O891))-(N(J891)+N(L891)+N(N891))*F891)-N(Q891))</f>
        <v/>
      </c>
      <c r="V891" s="9">
        <f>IF(OR(B891="",P891=""),"",U891/S891)</f>
        <v/>
      </c>
      <c r="W891">
        <f>IF(OR(B891="",P891=""),"",NETWORKDAYS(C891,P891)-1)</f>
        <v/>
      </c>
      <c r="X891">
        <f>IF(B891="","",IF(P891="","Aberto","Fechado"))</f>
        <v/>
      </c>
    </row>
    <row r="892">
      <c r="C892" s="6" t="n"/>
      <c r="E892" s="7" t="n"/>
      <c r="F892" s="8" t="n"/>
      <c r="G892" s="8" t="n"/>
      <c r="H892" s="8" t="n"/>
      <c r="J892" s="7" t="n"/>
      <c r="K892" s="8" t="n"/>
      <c r="L892" s="7" t="n"/>
      <c r="M892" s="8" t="n"/>
      <c r="N892" s="7" t="n"/>
      <c r="O892" s="8" t="n"/>
      <c r="P892" s="6" t="n"/>
      <c r="Q892" s="8" t="n"/>
      <c r="S892" s="8">
        <f>IF(B892="","",E892*F892)</f>
        <v/>
      </c>
      <c r="T892" s="8">
        <f>IF(OR(B892="",N(G892)=0),"",ABS(F892-G892)*E892)</f>
        <v/>
      </c>
      <c r="U892" s="8">
        <f>IF(OR(B892="",P892=""),"",IF(D892="Venda",-1,1)*((N(J892)*N(K892)+N(L892)*N(M892)+N(N892)*N(O892))-(N(J892)+N(L892)+N(N892))*F892)-N(Q892))</f>
        <v/>
      </c>
      <c r="V892" s="9">
        <f>IF(OR(B892="",P892=""),"",U892/S892)</f>
        <v/>
      </c>
      <c r="W892">
        <f>IF(OR(B892="",P892=""),"",NETWORKDAYS(C892,P892)-1)</f>
        <v/>
      </c>
      <c r="X892">
        <f>IF(B892="","",IF(P892="","Aberto","Fechado"))</f>
        <v/>
      </c>
    </row>
    <row r="893">
      <c r="C893" s="6" t="n"/>
      <c r="E893" s="7" t="n"/>
      <c r="F893" s="8" t="n"/>
      <c r="G893" s="8" t="n"/>
      <c r="H893" s="8" t="n"/>
      <c r="J893" s="7" t="n"/>
      <c r="K893" s="8" t="n"/>
      <c r="L893" s="7" t="n"/>
      <c r="M893" s="8" t="n"/>
      <c r="N893" s="7" t="n"/>
      <c r="O893" s="8" t="n"/>
      <c r="P893" s="6" t="n"/>
      <c r="Q893" s="8" t="n"/>
      <c r="S893" s="8">
        <f>IF(B893="","",E893*F893)</f>
        <v/>
      </c>
      <c r="T893" s="8">
        <f>IF(OR(B893="",N(G893)=0),"",ABS(F893-G893)*E893)</f>
        <v/>
      </c>
      <c r="U893" s="8">
        <f>IF(OR(B893="",P893=""),"",IF(D893="Venda",-1,1)*((N(J893)*N(K893)+N(L893)*N(M893)+N(N893)*N(O893))-(N(J893)+N(L893)+N(N893))*F893)-N(Q893))</f>
        <v/>
      </c>
      <c r="V893" s="9">
        <f>IF(OR(B893="",P893=""),"",U893/S893)</f>
        <v/>
      </c>
      <c r="W893">
        <f>IF(OR(B893="",P893=""),"",NETWORKDAYS(C893,P893)-1)</f>
        <v/>
      </c>
      <c r="X893">
        <f>IF(B893="","",IF(P893="","Aberto","Fechado"))</f>
        <v/>
      </c>
    </row>
    <row r="894">
      <c r="C894" s="6" t="n"/>
      <c r="E894" s="7" t="n"/>
      <c r="F894" s="8" t="n"/>
      <c r="G894" s="8" t="n"/>
      <c r="H894" s="8" t="n"/>
      <c r="J894" s="7" t="n"/>
      <c r="K894" s="8" t="n"/>
      <c r="L894" s="7" t="n"/>
      <c r="M894" s="8" t="n"/>
      <c r="N894" s="7" t="n"/>
      <c r="O894" s="8" t="n"/>
      <c r="P894" s="6" t="n"/>
      <c r="Q894" s="8" t="n"/>
      <c r="S894" s="8">
        <f>IF(B894="","",E894*F894)</f>
        <v/>
      </c>
      <c r="T894" s="8">
        <f>IF(OR(B894="",N(G894)=0),"",ABS(F894-G894)*E894)</f>
        <v/>
      </c>
      <c r="U894" s="8">
        <f>IF(OR(B894="",P894=""),"",IF(D894="Venda",-1,1)*((N(J894)*N(K894)+N(L894)*N(M894)+N(N894)*N(O894))-(N(J894)+N(L894)+N(N894))*F894)-N(Q894))</f>
        <v/>
      </c>
      <c r="V894" s="9">
        <f>IF(OR(B894="",P894=""),"",U894/S894)</f>
        <v/>
      </c>
      <c r="W894">
        <f>IF(OR(B894="",P894=""),"",NETWORKDAYS(C894,P894)-1)</f>
        <v/>
      </c>
      <c r="X894">
        <f>IF(B894="","",IF(P894="","Aberto","Fechado"))</f>
        <v/>
      </c>
    </row>
    <row r="895">
      <c r="C895" s="6" t="n"/>
      <c r="E895" s="7" t="n"/>
      <c r="F895" s="8" t="n"/>
      <c r="G895" s="8" t="n"/>
      <c r="H895" s="8" t="n"/>
      <c r="J895" s="7" t="n"/>
      <c r="K895" s="8" t="n"/>
      <c r="L895" s="7" t="n"/>
      <c r="M895" s="8" t="n"/>
      <c r="N895" s="7" t="n"/>
      <c r="O895" s="8" t="n"/>
      <c r="P895" s="6" t="n"/>
      <c r="Q895" s="8" t="n"/>
      <c r="S895" s="8">
        <f>IF(B895="","",E895*F895)</f>
        <v/>
      </c>
      <c r="T895" s="8">
        <f>IF(OR(B895="",N(G895)=0),"",ABS(F895-G895)*E895)</f>
        <v/>
      </c>
      <c r="U895" s="8">
        <f>IF(OR(B895="",P895=""),"",IF(D895="Venda",-1,1)*((N(J895)*N(K895)+N(L895)*N(M895)+N(N895)*N(O895))-(N(J895)+N(L895)+N(N895))*F895)-N(Q895))</f>
        <v/>
      </c>
      <c r="V895" s="9">
        <f>IF(OR(B895="",P895=""),"",U895/S895)</f>
        <v/>
      </c>
      <c r="W895">
        <f>IF(OR(B895="",P895=""),"",NETWORKDAYS(C895,P895)-1)</f>
        <v/>
      </c>
      <c r="X895">
        <f>IF(B895="","",IF(P895="","Aberto","Fechado"))</f>
        <v/>
      </c>
    </row>
    <row r="896">
      <c r="C896" s="6" t="n"/>
      <c r="E896" s="7" t="n"/>
      <c r="F896" s="8" t="n"/>
      <c r="G896" s="8" t="n"/>
      <c r="H896" s="8" t="n"/>
      <c r="J896" s="7" t="n"/>
      <c r="K896" s="8" t="n"/>
      <c r="L896" s="7" t="n"/>
      <c r="M896" s="8" t="n"/>
      <c r="N896" s="7" t="n"/>
      <c r="O896" s="8" t="n"/>
      <c r="P896" s="6" t="n"/>
      <c r="Q896" s="8" t="n"/>
      <c r="S896" s="8">
        <f>IF(B896="","",E896*F896)</f>
        <v/>
      </c>
      <c r="T896" s="8">
        <f>IF(OR(B896="",N(G896)=0),"",ABS(F896-G896)*E896)</f>
        <v/>
      </c>
      <c r="U896" s="8">
        <f>IF(OR(B896="",P896=""),"",IF(D896="Venda",-1,1)*((N(J896)*N(K896)+N(L896)*N(M896)+N(N896)*N(O896))-(N(J896)+N(L896)+N(N896))*F896)-N(Q896))</f>
        <v/>
      </c>
      <c r="V896" s="9">
        <f>IF(OR(B896="",P896=""),"",U896/S896)</f>
        <v/>
      </c>
      <c r="W896">
        <f>IF(OR(B896="",P896=""),"",NETWORKDAYS(C896,P896)-1)</f>
        <v/>
      </c>
      <c r="X896">
        <f>IF(B896="","",IF(P896="","Aberto","Fechado"))</f>
        <v/>
      </c>
    </row>
    <row r="897">
      <c r="C897" s="6" t="n"/>
      <c r="E897" s="7" t="n"/>
      <c r="F897" s="8" t="n"/>
      <c r="G897" s="8" t="n"/>
      <c r="H897" s="8" t="n"/>
      <c r="J897" s="7" t="n"/>
      <c r="K897" s="8" t="n"/>
      <c r="L897" s="7" t="n"/>
      <c r="M897" s="8" t="n"/>
      <c r="N897" s="7" t="n"/>
      <c r="O897" s="8" t="n"/>
      <c r="P897" s="6" t="n"/>
      <c r="Q897" s="8" t="n"/>
      <c r="S897" s="8">
        <f>IF(B897="","",E897*F897)</f>
        <v/>
      </c>
      <c r="T897" s="8">
        <f>IF(OR(B897="",N(G897)=0),"",ABS(F897-G897)*E897)</f>
        <v/>
      </c>
      <c r="U897" s="8">
        <f>IF(OR(B897="",P897=""),"",IF(D897="Venda",-1,1)*((N(J897)*N(K897)+N(L897)*N(M897)+N(N897)*N(O897))-(N(J897)+N(L897)+N(N897))*F897)-N(Q897))</f>
        <v/>
      </c>
      <c r="V897" s="9">
        <f>IF(OR(B897="",P897=""),"",U897/S897)</f>
        <v/>
      </c>
      <c r="W897">
        <f>IF(OR(B897="",P897=""),"",NETWORKDAYS(C897,P897)-1)</f>
        <v/>
      </c>
      <c r="X897">
        <f>IF(B897="","",IF(P897="","Aberto","Fechado"))</f>
        <v/>
      </c>
    </row>
    <row r="898">
      <c r="C898" s="6" t="n"/>
      <c r="E898" s="7" t="n"/>
      <c r="F898" s="8" t="n"/>
      <c r="G898" s="8" t="n"/>
      <c r="H898" s="8" t="n"/>
      <c r="J898" s="7" t="n"/>
      <c r="K898" s="8" t="n"/>
      <c r="L898" s="7" t="n"/>
      <c r="M898" s="8" t="n"/>
      <c r="N898" s="7" t="n"/>
      <c r="O898" s="8" t="n"/>
      <c r="P898" s="6" t="n"/>
      <c r="Q898" s="8" t="n"/>
      <c r="S898" s="8">
        <f>IF(B898="","",E898*F898)</f>
        <v/>
      </c>
      <c r="T898" s="8">
        <f>IF(OR(B898="",N(G898)=0),"",ABS(F898-G898)*E898)</f>
        <v/>
      </c>
      <c r="U898" s="8">
        <f>IF(OR(B898="",P898=""),"",IF(D898="Venda",-1,1)*((N(J898)*N(K898)+N(L898)*N(M898)+N(N898)*N(O898))-(N(J898)+N(L898)+N(N898))*F898)-N(Q898))</f>
        <v/>
      </c>
      <c r="V898" s="9">
        <f>IF(OR(B898="",P898=""),"",U898/S898)</f>
        <v/>
      </c>
      <c r="W898">
        <f>IF(OR(B898="",P898=""),"",NETWORKDAYS(C898,P898)-1)</f>
        <v/>
      </c>
      <c r="X898">
        <f>IF(B898="","",IF(P898="","Aberto","Fechado"))</f>
        <v/>
      </c>
    </row>
    <row r="899">
      <c r="C899" s="6" t="n"/>
      <c r="E899" s="7" t="n"/>
      <c r="F899" s="8" t="n"/>
      <c r="G899" s="8" t="n"/>
      <c r="H899" s="8" t="n"/>
      <c r="J899" s="7" t="n"/>
      <c r="K899" s="8" t="n"/>
      <c r="L899" s="7" t="n"/>
      <c r="M899" s="8" t="n"/>
      <c r="N899" s="7" t="n"/>
      <c r="O899" s="8" t="n"/>
      <c r="P899" s="6" t="n"/>
      <c r="Q899" s="8" t="n"/>
      <c r="S899" s="8">
        <f>IF(B899="","",E899*F899)</f>
        <v/>
      </c>
      <c r="T899" s="8">
        <f>IF(OR(B899="",N(G899)=0),"",ABS(F899-G899)*E899)</f>
        <v/>
      </c>
      <c r="U899" s="8">
        <f>IF(OR(B899="",P899=""),"",IF(D899="Venda",-1,1)*((N(J899)*N(K899)+N(L899)*N(M899)+N(N899)*N(O899))-(N(J899)+N(L899)+N(N899))*F899)-N(Q899))</f>
        <v/>
      </c>
      <c r="V899" s="9">
        <f>IF(OR(B899="",P899=""),"",U899/S899)</f>
        <v/>
      </c>
      <c r="W899">
        <f>IF(OR(B899="",P899=""),"",NETWORKDAYS(C899,P899)-1)</f>
        <v/>
      </c>
      <c r="X899">
        <f>IF(B899="","",IF(P899="","Aberto","Fechado"))</f>
        <v/>
      </c>
    </row>
    <row r="900">
      <c r="C900" s="6" t="n"/>
      <c r="E900" s="7" t="n"/>
      <c r="F900" s="8" t="n"/>
      <c r="G900" s="8" t="n"/>
      <c r="H900" s="8" t="n"/>
      <c r="J900" s="7" t="n"/>
      <c r="K900" s="8" t="n"/>
      <c r="L900" s="7" t="n"/>
      <c r="M900" s="8" t="n"/>
      <c r="N900" s="7" t="n"/>
      <c r="O900" s="8" t="n"/>
      <c r="P900" s="6" t="n"/>
      <c r="Q900" s="8" t="n"/>
      <c r="S900" s="8">
        <f>IF(B900="","",E900*F900)</f>
        <v/>
      </c>
      <c r="T900" s="8">
        <f>IF(OR(B900="",N(G900)=0),"",ABS(F900-G900)*E900)</f>
        <v/>
      </c>
      <c r="U900" s="8">
        <f>IF(OR(B900="",P900=""),"",IF(D900="Venda",-1,1)*((N(J900)*N(K900)+N(L900)*N(M900)+N(N900)*N(O900))-(N(J900)+N(L900)+N(N900))*F900)-N(Q900))</f>
        <v/>
      </c>
      <c r="V900" s="9">
        <f>IF(OR(B900="",P900=""),"",U900/S900)</f>
        <v/>
      </c>
      <c r="W900">
        <f>IF(OR(B900="",P900=""),"",NETWORKDAYS(C900,P900)-1)</f>
        <v/>
      </c>
      <c r="X900">
        <f>IF(B900="","",IF(P900="","Aberto","Fechado"))</f>
        <v/>
      </c>
    </row>
    <row r="901">
      <c r="C901" s="6" t="n"/>
      <c r="E901" s="7" t="n"/>
      <c r="F901" s="8" t="n"/>
      <c r="G901" s="8" t="n"/>
      <c r="H901" s="8" t="n"/>
      <c r="J901" s="7" t="n"/>
      <c r="K901" s="8" t="n"/>
      <c r="L901" s="7" t="n"/>
      <c r="M901" s="8" t="n"/>
      <c r="N901" s="7" t="n"/>
      <c r="O901" s="8" t="n"/>
      <c r="P901" s="6" t="n"/>
      <c r="Q901" s="8" t="n"/>
      <c r="S901" s="8">
        <f>IF(B901="","",E901*F901)</f>
        <v/>
      </c>
      <c r="T901" s="8">
        <f>IF(OR(B901="",N(G901)=0),"",ABS(F901-G901)*E901)</f>
        <v/>
      </c>
      <c r="U901" s="8">
        <f>IF(OR(B901="",P901=""),"",IF(D901="Venda",-1,1)*((N(J901)*N(K901)+N(L901)*N(M901)+N(N901)*N(O901))-(N(J901)+N(L901)+N(N901))*F901)-N(Q901))</f>
        <v/>
      </c>
      <c r="V901" s="9">
        <f>IF(OR(B901="",P901=""),"",U901/S901)</f>
        <v/>
      </c>
      <c r="W901">
        <f>IF(OR(B901="",P901=""),"",NETWORKDAYS(C901,P901)-1)</f>
        <v/>
      </c>
      <c r="X901">
        <f>IF(B901="","",IF(P901="","Aberto","Fechado"))</f>
        <v/>
      </c>
    </row>
    <row r="902">
      <c r="C902" s="6" t="n"/>
      <c r="E902" s="7" t="n"/>
      <c r="F902" s="8" t="n"/>
      <c r="G902" s="8" t="n"/>
      <c r="H902" s="8" t="n"/>
      <c r="J902" s="7" t="n"/>
      <c r="K902" s="8" t="n"/>
      <c r="L902" s="7" t="n"/>
      <c r="M902" s="8" t="n"/>
      <c r="N902" s="7" t="n"/>
      <c r="O902" s="8" t="n"/>
      <c r="P902" s="6" t="n"/>
      <c r="Q902" s="8" t="n"/>
      <c r="S902" s="8">
        <f>IF(B902="","",E902*F902)</f>
        <v/>
      </c>
      <c r="T902" s="8">
        <f>IF(OR(B902="",N(G902)=0),"",ABS(F902-G902)*E902)</f>
        <v/>
      </c>
      <c r="U902" s="8">
        <f>IF(OR(B902="",P902=""),"",IF(D902="Venda",-1,1)*((N(J902)*N(K902)+N(L902)*N(M902)+N(N902)*N(O902))-(N(J902)+N(L902)+N(N902))*F902)-N(Q902))</f>
        <v/>
      </c>
      <c r="V902" s="9">
        <f>IF(OR(B902="",P902=""),"",U902/S902)</f>
        <v/>
      </c>
      <c r="W902">
        <f>IF(OR(B902="",P902=""),"",NETWORKDAYS(C902,P902)-1)</f>
        <v/>
      </c>
      <c r="X902">
        <f>IF(B902="","",IF(P902="","Aberto","Fechado"))</f>
        <v/>
      </c>
    </row>
    <row r="903">
      <c r="C903" s="6" t="n"/>
      <c r="E903" s="7" t="n"/>
      <c r="F903" s="8" t="n"/>
      <c r="G903" s="8" t="n"/>
      <c r="H903" s="8" t="n"/>
      <c r="J903" s="7" t="n"/>
      <c r="K903" s="8" t="n"/>
      <c r="L903" s="7" t="n"/>
      <c r="M903" s="8" t="n"/>
      <c r="N903" s="7" t="n"/>
      <c r="O903" s="8" t="n"/>
      <c r="P903" s="6" t="n"/>
      <c r="Q903" s="8" t="n"/>
      <c r="S903" s="8">
        <f>IF(B903="","",E903*F903)</f>
        <v/>
      </c>
      <c r="T903" s="8">
        <f>IF(OR(B903="",N(G903)=0),"",ABS(F903-G903)*E903)</f>
        <v/>
      </c>
      <c r="U903" s="8">
        <f>IF(OR(B903="",P903=""),"",IF(D903="Venda",-1,1)*((N(J903)*N(K903)+N(L903)*N(M903)+N(N903)*N(O903))-(N(J903)+N(L903)+N(N903))*F903)-N(Q903))</f>
        <v/>
      </c>
      <c r="V903" s="9">
        <f>IF(OR(B903="",P903=""),"",U903/S903)</f>
        <v/>
      </c>
      <c r="W903">
        <f>IF(OR(B903="",P903=""),"",NETWORKDAYS(C903,P903)-1)</f>
        <v/>
      </c>
      <c r="X903">
        <f>IF(B903="","",IF(P903="","Aberto","Fechado"))</f>
        <v/>
      </c>
    </row>
    <row r="904">
      <c r="C904" s="6" t="n"/>
      <c r="E904" s="7" t="n"/>
      <c r="F904" s="8" t="n"/>
      <c r="G904" s="8" t="n"/>
      <c r="H904" s="8" t="n"/>
      <c r="J904" s="7" t="n"/>
      <c r="K904" s="8" t="n"/>
      <c r="L904" s="7" t="n"/>
      <c r="M904" s="8" t="n"/>
      <c r="N904" s="7" t="n"/>
      <c r="O904" s="8" t="n"/>
      <c r="P904" s="6" t="n"/>
      <c r="Q904" s="8" t="n"/>
      <c r="S904" s="8">
        <f>IF(B904="","",E904*F904)</f>
        <v/>
      </c>
      <c r="T904" s="8">
        <f>IF(OR(B904="",N(G904)=0),"",ABS(F904-G904)*E904)</f>
        <v/>
      </c>
      <c r="U904" s="8">
        <f>IF(OR(B904="",P904=""),"",IF(D904="Venda",-1,1)*((N(J904)*N(K904)+N(L904)*N(M904)+N(N904)*N(O904))-(N(J904)+N(L904)+N(N904))*F904)-N(Q904))</f>
        <v/>
      </c>
      <c r="V904" s="9">
        <f>IF(OR(B904="",P904=""),"",U904/S904)</f>
        <v/>
      </c>
      <c r="W904">
        <f>IF(OR(B904="",P904=""),"",NETWORKDAYS(C904,P904)-1)</f>
        <v/>
      </c>
      <c r="X904">
        <f>IF(B904="","",IF(P904="","Aberto","Fechado"))</f>
        <v/>
      </c>
    </row>
    <row r="905">
      <c r="C905" s="6" t="n"/>
      <c r="E905" s="7" t="n"/>
      <c r="F905" s="8" t="n"/>
      <c r="G905" s="8" t="n"/>
      <c r="H905" s="8" t="n"/>
      <c r="J905" s="7" t="n"/>
      <c r="K905" s="8" t="n"/>
      <c r="L905" s="7" t="n"/>
      <c r="M905" s="8" t="n"/>
      <c r="N905" s="7" t="n"/>
      <c r="O905" s="8" t="n"/>
      <c r="P905" s="6" t="n"/>
      <c r="Q905" s="8" t="n"/>
      <c r="S905" s="8">
        <f>IF(B905="","",E905*F905)</f>
        <v/>
      </c>
      <c r="T905" s="8">
        <f>IF(OR(B905="",N(G905)=0),"",ABS(F905-G905)*E905)</f>
        <v/>
      </c>
      <c r="U905" s="8">
        <f>IF(OR(B905="",P905=""),"",IF(D905="Venda",-1,1)*((N(J905)*N(K905)+N(L905)*N(M905)+N(N905)*N(O905))-(N(J905)+N(L905)+N(N905))*F905)-N(Q905))</f>
        <v/>
      </c>
      <c r="V905" s="9">
        <f>IF(OR(B905="",P905=""),"",U905/S905)</f>
        <v/>
      </c>
      <c r="W905">
        <f>IF(OR(B905="",P905=""),"",NETWORKDAYS(C905,P905)-1)</f>
        <v/>
      </c>
      <c r="X905">
        <f>IF(B905="","",IF(P905="","Aberto","Fechado"))</f>
        <v/>
      </c>
    </row>
    <row r="906">
      <c r="C906" s="6" t="n"/>
      <c r="E906" s="7" t="n"/>
      <c r="F906" s="8" t="n"/>
      <c r="G906" s="8" t="n"/>
      <c r="H906" s="8" t="n"/>
      <c r="J906" s="7" t="n"/>
      <c r="K906" s="8" t="n"/>
      <c r="L906" s="7" t="n"/>
      <c r="M906" s="8" t="n"/>
      <c r="N906" s="7" t="n"/>
      <c r="O906" s="8" t="n"/>
      <c r="P906" s="6" t="n"/>
      <c r="Q906" s="8" t="n"/>
      <c r="S906" s="8">
        <f>IF(B906="","",E906*F906)</f>
        <v/>
      </c>
      <c r="T906" s="8">
        <f>IF(OR(B906="",N(G906)=0),"",ABS(F906-G906)*E906)</f>
        <v/>
      </c>
      <c r="U906" s="8">
        <f>IF(OR(B906="",P906=""),"",IF(D906="Venda",-1,1)*((N(J906)*N(K906)+N(L906)*N(M906)+N(N906)*N(O906))-(N(J906)+N(L906)+N(N906))*F906)-N(Q906))</f>
        <v/>
      </c>
      <c r="V906" s="9">
        <f>IF(OR(B906="",P906=""),"",U906/S906)</f>
        <v/>
      </c>
      <c r="W906">
        <f>IF(OR(B906="",P906=""),"",NETWORKDAYS(C906,P906)-1)</f>
        <v/>
      </c>
      <c r="X906">
        <f>IF(B906="","",IF(P906="","Aberto","Fechado"))</f>
        <v/>
      </c>
    </row>
    <row r="907">
      <c r="C907" s="6" t="n"/>
      <c r="E907" s="7" t="n"/>
      <c r="F907" s="8" t="n"/>
      <c r="G907" s="8" t="n"/>
      <c r="H907" s="8" t="n"/>
      <c r="J907" s="7" t="n"/>
      <c r="K907" s="8" t="n"/>
      <c r="L907" s="7" t="n"/>
      <c r="M907" s="8" t="n"/>
      <c r="N907" s="7" t="n"/>
      <c r="O907" s="8" t="n"/>
      <c r="P907" s="6" t="n"/>
      <c r="Q907" s="8" t="n"/>
      <c r="S907" s="8">
        <f>IF(B907="","",E907*F907)</f>
        <v/>
      </c>
      <c r="T907" s="8">
        <f>IF(OR(B907="",N(G907)=0),"",ABS(F907-G907)*E907)</f>
        <v/>
      </c>
      <c r="U907" s="8">
        <f>IF(OR(B907="",P907=""),"",IF(D907="Venda",-1,1)*((N(J907)*N(K907)+N(L907)*N(M907)+N(N907)*N(O907))-(N(J907)+N(L907)+N(N907))*F907)-N(Q907))</f>
        <v/>
      </c>
      <c r="V907" s="9">
        <f>IF(OR(B907="",P907=""),"",U907/S907)</f>
        <v/>
      </c>
      <c r="W907">
        <f>IF(OR(B907="",P907=""),"",NETWORKDAYS(C907,P907)-1)</f>
        <v/>
      </c>
      <c r="X907">
        <f>IF(B907="","",IF(P907="","Aberto","Fechado"))</f>
        <v/>
      </c>
    </row>
    <row r="908">
      <c r="C908" s="6" t="n"/>
      <c r="E908" s="7" t="n"/>
      <c r="F908" s="8" t="n"/>
      <c r="G908" s="8" t="n"/>
      <c r="H908" s="8" t="n"/>
      <c r="J908" s="7" t="n"/>
      <c r="K908" s="8" t="n"/>
      <c r="L908" s="7" t="n"/>
      <c r="M908" s="8" t="n"/>
      <c r="N908" s="7" t="n"/>
      <c r="O908" s="8" t="n"/>
      <c r="P908" s="6" t="n"/>
      <c r="Q908" s="8" t="n"/>
      <c r="S908" s="8">
        <f>IF(B908="","",E908*F908)</f>
        <v/>
      </c>
      <c r="T908" s="8">
        <f>IF(OR(B908="",N(G908)=0),"",ABS(F908-G908)*E908)</f>
        <v/>
      </c>
      <c r="U908" s="8">
        <f>IF(OR(B908="",P908=""),"",IF(D908="Venda",-1,1)*((N(J908)*N(K908)+N(L908)*N(M908)+N(N908)*N(O908))-(N(J908)+N(L908)+N(N908))*F908)-N(Q908))</f>
        <v/>
      </c>
      <c r="V908" s="9">
        <f>IF(OR(B908="",P908=""),"",U908/S908)</f>
        <v/>
      </c>
      <c r="W908">
        <f>IF(OR(B908="",P908=""),"",NETWORKDAYS(C908,P908)-1)</f>
        <v/>
      </c>
      <c r="X908">
        <f>IF(B908="","",IF(P908="","Aberto","Fechado"))</f>
        <v/>
      </c>
    </row>
    <row r="909">
      <c r="C909" s="6" t="n"/>
      <c r="E909" s="7" t="n"/>
      <c r="F909" s="8" t="n"/>
      <c r="G909" s="8" t="n"/>
      <c r="H909" s="8" t="n"/>
      <c r="J909" s="7" t="n"/>
      <c r="K909" s="8" t="n"/>
      <c r="L909" s="7" t="n"/>
      <c r="M909" s="8" t="n"/>
      <c r="N909" s="7" t="n"/>
      <c r="O909" s="8" t="n"/>
      <c r="P909" s="6" t="n"/>
      <c r="Q909" s="8" t="n"/>
      <c r="S909" s="8">
        <f>IF(B909="","",E909*F909)</f>
        <v/>
      </c>
      <c r="T909" s="8">
        <f>IF(OR(B909="",N(G909)=0),"",ABS(F909-G909)*E909)</f>
        <v/>
      </c>
      <c r="U909" s="8">
        <f>IF(OR(B909="",P909=""),"",IF(D909="Venda",-1,1)*((N(J909)*N(K909)+N(L909)*N(M909)+N(N909)*N(O909))-(N(J909)+N(L909)+N(N909))*F909)-N(Q909))</f>
        <v/>
      </c>
      <c r="V909" s="9">
        <f>IF(OR(B909="",P909=""),"",U909/S909)</f>
        <v/>
      </c>
      <c r="W909">
        <f>IF(OR(B909="",P909=""),"",NETWORKDAYS(C909,P909)-1)</f>
        <v/>
      </c>
      <c r="X909">
        <f>IF(B909="","",IF(P909="","Aberto","Fechado"))</f>
        <v/>
      </c>
    </row>
    <row r="910">
      <c r="C910" s="6" t="n"/>
      <c r="E910" s="7" t="n"/>
      <c r="F910" s="8" t="n"/>
      <c r="G910" s="8" t="n"/>
      <c r="H910" s="8" t="n"/>
      <c r="J910" s="7" t="n"/>
      <c r="K910" s="8" t="n"/>
      <c r="L910" s="7" t="n"/>
      <c r="M910" s="8" t="n"/>
      <c r="N910" s="7" t="n"/>
      <c r="O910" s="8" t="n"/>
      <c r="P910" s="6" t="n"/>
      <c r="Q910" s="8" t="n"/>
      <c r="S910" s="8">
        <f>IF(B910="","",E910*F910)</f>
        <v/>
      </c>
      <c r="T910" s="8">
        <f>IF(OR(B910="",N(G910)=0),"",ABS(F910-G910)*E910)</f>
        <v/>
      </c>
      <c r="U910" s="8">
        <f>IF(OR(B910="",P910=""),"",IF(D910="Venda",-1,1)*((N(J910)*N(K910)+N(L910)*N(M910)+N(N910)*N(O910))-(N(J910)+N(L910)+N(N910))*F910)-N(Q910))</f>
        <v/>
      </c>
      <c r="V910" s="9">
        <f>IF(OR(B910="",P910=""),"",U910/S910)</f>
        <v/>
      </c>
      <c r="W910">
        <f>IF(OR(B910="",P910=""),"",NETWORKDAYS(C910,P910)-1)</f>
        <v/>
      </c>
      <c r="X910">
        <f>IF(B910="","",IF(P910="","Aberto","Fechado"))</f>
        <v/>
      </c>
    </row>
    <row r="911">
      <c r="C911" s="6" t="n"/>
      <c r="E911" s="7" t="n"/>
      <c r="F911" s="8" t="n"/>
      <c r="G911" s="8" t="n"/>
      <c r="H911" s="8" t="n"/>
      <c r="J911" s="7" t="n"/>
      <c r="K911" s="8" t="n"/>
      <c r="L911" s="7" t="n"/>
      <c r="M911" s="8" t="n"/>
      <c r="N911" s="7" t="n"/>
      <c r="O911" s="8" t="n"/>
      <c r="P911" s="6" t="n"/>
      <c r="Q911" s="8" t="n"/>
      <c r="S911" s="8">
        <f>IF(B911="","",E911*F911)</f>
        <v/>
      </c>
      <c r="T911" s="8">
        <f>IF(OR(B911="",N(G911)=0),"",ABS(F911-G911)*E911)</f>
        <v/>
      </c>
      <c r="U911" s="8">
        <f>IF(OR(B911="",P911=""),"",IF(D911="Venda",-1,1)*((N(J911)*N(K911)+N(L911)*N(M911)+N(N911)*N(O911))-(N(J911)+N(L911)+N(N911))*F911)-N(Q911))</f>
        <v/>
      </c>
      <c r="V911" s="9">
        <f>IF(OR(B911="",P911=""),"",U911/S911)</f>
        <v/>
      </c>
      <c r="W911">
        <f>IF(OR(B911="",P911=""),"",NETWORKDAYS(C911,P911)-1)</f>
        <v/>
      </c>
      <c r="X911">
        <f>IF(B911="","",IF(P911="","Aberto","Fechado"))</f>
        <v/>
      </c>
    </row>
    <row r="912">
      <c r="C912" s="6" t="n"/>
      <c r="E912" s="7" t="n"/>
      <c r="F912" s="8" t="n"/>
      <c r="G912" s="8" t="n"/>
      <c r="H912" s="8" t="n"/>
      <c r="J912" s="7" t="n"/>
      <c r="K912" s="8" t="n"/>
      <c r="L912" s="7" t="n"/>
      <c r="M912" s="8" t="n"/>
      <c r="N912" s="7" t="n"/>
      <c r="O912" s="8" t="n"/>
      <c r="P912" s="6" t="n"/>
      <c r="Q912" s="8" t="n"/>
      <c r="S912" s="8">
        <f>IF(B912="","",E912*F912)</f>
        <v/>
      </c>
      <c r="T912" s="8">
        <f>IF(OR(B912="",N(G912)=0),"",ABS(F912-G912)*E912)</f>
        <v/>
      </c>
      <c r="U912" s="8">
        <f>IF(OR(B912="",P912=""),"",IF(D912="Venda",-1,1)*((N(J912)*N(K912)+N(L912)*N(M912)+N(N912)*N(O912))-(N(J912)+N(L912)+N(N912))*F912)-N(Q912))</f>
        <v/>
      </c>
      <c r="V912" s="9">
        <f>IF(OR(B912="",P912=""),"",U912/S912)</f>
        <v/>
      </c>
      <c r="W912">
        <f>IF(OR(B912="",P912=""),"",NETWORKDAYS(C912,P912)-1)</f>
        <v/>
      </c>
      <c r="X912">
        <f>IF(B912="","",IF(P912="","Aberto","Fechado"))</f>
        <v/>
      </c>
    </row>
    <row r="913">
      <c r="C913" s="6" t="n"/>
      <c r="E913" s="7" t="n"/>
      <c r="F913" s="8" t="n"/>
      <c r="G913" s="8" t="n"/>
      <c r="H913" s="8" t="n"/>
      <c r="J913" s="7" t="n"/>
      <c r="K913" s="8" t="n"/>
      <c r="L913" s="7" t="n"/>
      <c r="M913" s="8" t="n"/>
      <c r="N913" s="7" t="n"/>
      <c r="O913" s="8" t="n"/>
      <c r="P913" s="6" t="n"/>
      <c r="Q913" s="8" t="n"/>
      <c r="S913" s="8">
        <f>IF(B913="","",E913*F913)</f>
        <v/>
      </c>
      <c r="T913" s="8">
        <f>IF(OR(B913="",N(G913)=0),"",ABS(F913-G913)*E913)</f>
        <v/>
      </c>
      <c r="U913" s="8">
        <f>IF(OR(B913="",P913=""),"",IF(D913="Venda",-1,1)*((N(J913)*N(K913)+N(L913)*N(M913)+N(N913)*N(O913))-(N(J913)+N(L913)+N(N913))*F913)-N(Q913))</f>
        <v/>
      </c>
      <c r="V913" s="9">
        <f>IF(OR(B913="",P913=""),"",U913/S913)</f>
        <v/>
      </c>
      <c r="W913">
        <f>IF(OR(B913="",P913=""),"",NETWORKDAYS(C913,P913)-1)</f>
        <v/>
      </c>
      <c r="X913">
        <f>IF(B913="","",IF(P913="","Aberto","Fechado"))</f>
        <v/>
      </c>
    </row>
    <row r="914">
      <c r="C914" s="6" t="n"/>
      <c r="E914" s="7" t="n"/>
      <c r="F914" s="8" t="n"/>
      <c r="G914" s="8" t="n"/>
      <c r="H914" s="8" t="n"/>
      <c r="J914" s="7" t="n"/>
      <c r="K914" s="8" t="n"/>
      <c r="L914" s="7" t="n"/>
      <c r="M914" s="8" t="n"/>
      <c r="N914" s="7" t="n"/>
      <c r="O914" s="8" t="n"/>
      <c r="P914" s="6" t="n"/>
      <c r="Q914" s="8" t="n"/>
      <c r="S914" s="8">
        <f>IF(B914="","",E914*F914)</f>
        <v/>
      </c>
      <c r="T914" s="8">
        <f>IF(OR(B914="",N(G914)=0),"",ABS(F914-G914)*E914)</f>
        <v/>
      </c>
      <c r="U914" s="8">
        <f>IF(OR(B914="",P914=""),"",IF(D914="Venda",-1,1)*((N(J914)*N(K914)+N(L914)*N(M914)+N(N914)*N(O914))-(N(J914)+N(L914)+N(N914))*F914)-N(Q914))</f>
        <v/>
      </c>
      <c r="V914" s="9">
        <f>IF(OR(B914="",P914=""),"",U914/S914)</f>
        <v/>
      </c>
      <c r="W914">
        <f>IF(OR(B914="",P914=""),"",NETWORKDAYS(C914,P914)-1)</f>
        <v/>
      </c>
      <c r="X914">
        <f>IF(B914="","",IF(P914="","Aberto","Fechado"))</f>
        <v/>
      </c>
    </row>
    <row r="915">
      <c r="C915" s="6" t="n"/>
      <c r="E915" s="7" t="n"/>
      <c r="F915" s="8" t="n"/>
      <c r="G915" s="8" t="n"/>
      <c r="H915" s="8" t="n"/>
      <c r="J915" s="7" t="n"/>
      <c r="K915" s="8" t="n"/>
      <c r="L915" s="7" t="n"/>
      <c r="M915" s="8" t="n"/>
      <c r="N915" s="7" t="n"/>
      <c r="O915" s="8" t="n"/>
      <c r="P915" s="6" t="n"/>
      <c r="Q915" s="8" t="n"/>
      <c r="S915" s="8">
        <f>IF(B915="","",E915*F915)</f>
        <v/>
      </c>
      <c r="T915" s="8">
        <f>IF(OR(B915="",N(G915)=0),"",ABS(F915-G915)*E915)</f>
        <v/>
      </c>
      <c r="U915" s="8">
        <f>IF(OR(B915="",P915=""),"",IF(D915="Venda",-1,1)*((N(J915)*N(K915)+N(L915)*N(M915)+N(N915)*N(O915))-(N(J915)+N(L915)+N(N915))*F915)-N(Q915))</f>
        <v/>
      </c>
      <c r="V915" s="9">
        <f>IF(OR(B915="",P915=""),"",U915/S915)</f>
        <v/>
      </c>
      <c r="W915">
        <f>IF(OR(B915="",P915=""),"",NETWORKDAYS(C915,P915)-1)</f>
        <v/>
      </c>
      <c r="X915">
        <f>IF(B915="","",IF(P915="","Aberto","Fechado"))</f>
        <v/>
      </c>
    </row>
    <row r="916">
      <c r="C916" s="6" t="n"/>
      <c r="E916" s="7" t="n"/>
      <c r="F916" s="8" t="n"/>
      <c r="G916" s="8" t="n"/>
      <c r="H916" s="8" t="n"/>
      <c r="J916" s="7" t="n"/>
      <c r="K916" s="8" t="n"/>
      <c r="L916" s="7" t="n"/>
      <c r="M916" s="8" t="n"/>
      <c r="N916" s="7" t="n"/>
      <c r="O916" s="8" t="n"/>
      <c r="P916" s="6" t="n"/>
      <c r="Q916" s="8" t="n"/>
      <c r="S916" s="8">
        <f>IF(B916="","",E916*F916)</f>
        <v/>
      </c>
      <c r="T916" s="8">
        <f>IF(OR(B916="",N(G916)=0),"",ABS(F916-G916)*E916)</f>
        <v/>
      </c>
      <c r="U916" s="8">
        <f>IF(OR(B916="",P916=""),"",IF(D916="Venda",-1,1)*((N(J916)*N(K916)+N(L916)*N(M916)+N(N916)*N(O916))-(N(J916)+N(L916)+N(N916))*F916)-N(Q916))</f>
        <v/>
      </c>
      <c r="V916" s="9">
        <f>IF(OR(B916="",P916=""),"",U916/S916)</f>
        <v/>
      </c>
      <c r="W916">
        <f>IF(OR(B916="",P916=""),"",NETWORKDAYS(C916,P916)-1)</f>
        <v/>
      </c>
      <c r="X916">
        <f>IF(B916="","",IF(P916="","Aberto","Fechado"))</f>
        <v/>
      </c>
    </row>
    <row r="917">
      <c r="C917" s="6" t="n"/>
      <c r="E917" s="7" t="n"/>
      <c r="F917" s="8" t="n"/>
      <c r="G917" s="8" t="n"/>
      <c r="H917" s="8" t="n"/>
      <c r="J917" s="7" t="n"/>
      <c r="K917" s="8" t="n"/>
      <c r="L917" s="7" t="n"/>
      <c r="M917" s="8" t="n"/>
      <c r="N917" s="7" t="n"/>
      <c r="O917" s="8" t="n"/>
      <c r="P917" s="6" t="n"/>
      <c r="Q917" s="8" t="n"/>
      <c r="S917" s="8">
        <f>IF(B917="","",E917*F917)</f>
        <v/>
      </c>
      <c r="T917" s="8">
        <f>IF(OR(B917="",N(G917)=0),"",ABS(F917-G917)*E917)</f>
        <v/>
      </c>
      <c r="U917" s="8">
        <f>IF(OR(B917="",P917=""),"",IF(D917="Venda",-1,1)*((N(J917)*N(K917)+N(L917)*N(M917)+N(N917)*N(O917))-(N(J917)+N(L917)+N(N917))*F917)-N(Q917))</f>
        <v/>
      </c>
      <c r="V917" s="9">
        <f>IF(OR(B917="",P917=""),"",U917/S917)</f>
        <v/>
      </c>
      <c r="W917">
        <f>IF(OR(B917="",P917=""),"",NETWORKDAYS(C917,P917)-1)</f>
        <v/>
      </c>
      <c r="X917">
        <f>IF(B917="","",IF(P917="","Aberto","Fechado"))</f>
        <v/>
      </c>
    </row>
    <row r="918">
      <c r="C918" s="6" t="n"/>
      <c r="E918" s="7" t="n"/>
      <c r="F918" s="8" t="n"/>
      <c r="G918" s="8" t="n"/>
      <c r="H918" s="8" t="n"/>
      <c r="J918" s="7" t="n"/>
      <c r="K918" s="8" t="n"/>
      <c r="L918" s="7" t="n"/>
      <c r="M918" s="8" t="n"/>
      <c r="N918" s="7" t="n"/>
      <c r="O918" s="8" t="n"/>
      <c r="P918" s="6" t="n"/>
      <c r="Q918" s="8" t="n"/>
      <c r="S918" s="8">
        <f>IF(B918="","",E918*F918)</f>
        <v/>
      </c>
      <c r="T918" s="8">
        <f>IF(OR(B918="",N(G918)=0),"",ABS(F918-G918)*E918)</f>
        <v/>
      </c>
      <c r="U918" s="8">
        <f>IF(OR(B918="",P918=""),"",IF(D918="Venda",-1,1)*((N(J918)*N(K918)+N(L918)*N(M918)+N(N918)*N(O918))-(N(J918)+N(L918)+N(N918))*F918)-N(Q918))</f>
        <v/>
      </c>
      <c r="V918" s="9">
        <f>IF(OR(B918="",P918=""),"",U918/S918)</f>
        <v/>
      </c>
      <c r="W918">
        <f>IF(OR(B918="",P918=""),"",NETWORKDAYS(C918,P918)-1)</f>
        <v/>
      </c>
      <c r="X918">
        <f>IF(B918="","",IF(P918="","Aberto","Fechado"))</f>
        <v/>
      </c>
    </row>
    <row r="919">
      <c r="C919" s="6" t="n"/>
      <c r="E919" s="7" t="n"/>
      <c r="F919" s="8" t="n"/>
      <c r="G919" s="8" t="n"/>
      <c r="H919" s="8" t="n"/>
      <c r="J919" s="7" t="n"/>
      <c r="K919" s="8" t="n"/>
      <c r="L919" s="7" t="n"/>
      <c r="M919" s="8" t="n"/>
      <c r="N919" s="7" t="n"/>
      <c r="O919" s="8" t="n"/>
      <c r="P919" s="6" t="n"/>
      <c r="Q919" s="8" t="n"/>
      <c r="S919" s="8">
        <f>IF(B919="","",E919*F919)</f>
        <v/>
      </c>
      <c r="T919" s="8">
        <f>IF(OR(B919="",N(G919)=0),"",ABS(F919-G919)*E919)</f>
        <v/>
      </c>
      <c r="U919" s="8">
        <f>IF(OR(B919="",P919=""),"",IF(D919="Venda",-1,1)*((N(J919)*N(K919)+N(L919)*N(M919)+N(N919)*N(O919))-(N(J919)+N(L919)+N(N919))*F919)-N(Q919))</f>
        <v/>
      </c>
      <c r="V919" s="9">
        <f>IF(OR(B919="",P919=""),"",U919/S919)</f>
        <v/>
      </c>
      <c r="W919">
        <f>IF(OR(B919="",P919=""),"",NETWORKDAYS(C919,P919)-1)</f>
        <v/>
      </c>
      <c r="X919">
        <f>IF(B919="","",IF(P919="","Aberto","Fechado"))</f>
        <v/>
      </c>
    </row>
    <row r="920">
      <c r="C920" s="6" t="n"/>
      <c r="E920" s="7" t="n"/>
      <c r="F920" s="8" t="n"/>
      <c r="G920" s="8" t="n"/>
      <c r="H920" s="8" t="n"/>
      <c r="J920" s="7" t="n"/>
      <c r="K920" s="8" t="n"/>
      <c r="L920" s="7" t="n"/>
      <c r="M920" s="8" t="n"/>
      <c r="N920" s="7" t="n"/>
      <c r="O920" s="8" t="n"/>
      <c r="P920" s="6" t="n"/>
      <c r="Q920" s="8" t="n"/>
      <c r="S920" s="8">
        <f>IF(B920="","",E920*F920)</f>
        <v/>
      </c>
      <c r="T920" s="8">
        <f>IF(OR(B920="",N(G920)=0),"",ABS(F920-G920)*E920)</f>
        <v/>
      </c>
      <c r="U920" s="8">
        <f>IF(OR(B920="",P920=""),"",IF(D920="Venda",-1,1)*((N(J920)*N(K920)+N(L920)*N(M920)+N(N920)*N(O920))-(N(J920)+N(L920)+N(N920))*F920)-N(Q920))</f>
        <v/>
      </c>
      <c r="V920" s="9">
        <f>IF(OR(B920="",P920=""),"",U920/S920)</f>
        <v/>
      </c>
      <c r="W920">
        <f>IF(OR(B920="",P920=""),"",NETWORKDAYS(C920,P920)-1)</f>
        <v/>
      </c>
      <c r="X920">
        <f>IF(B920="","",IF(P920="","Aberto","Fechado"))</f>
        <v/>
      </c>
    </row>
    <row r="921">
      <c r="C921" s="6" t="n"/>
      <c r="E921" s="7" t="n"/>
      <c r="F921" s="8" t="n"/>
      <c r="G921" s="8" t="n"/>
      <c r="H921" s="8" t="n"/>
      <c r="J921" s="7" t="n"/>
      <c r="K921" s="8" t="n"/>
      <c r="L921" s="7" t="n"/>
      <c r="M921" s="8" t="n"/>
      <c r="N921" s="7" t="n"/>
      <c r="O921" s="8" t="n"/>
      <c r="P921" s="6" t="n"/>
      <c r="Q921" s="8" t="n"/>
      <c r="S921" s="8">
        <f>IF(B921="","",E921*F921)</f>
        <v/>
      </c>
      <c r="T921" s="8">
        <f>IF(OR(B921="",N(G921)=0),"",ABS(F921-G921)*E921)</f>
        <v/>
      </c>
      <c r="U921" s="8">
        <f>IF(OR(B921="",P921=""),"",IF(D921="Venda",-1,1)*((N(J921)*N(K921)+N(L921)*N(M921)+N(N921)*N(O921))-(N(J921)+N(L921)+N(N921))*F921)-N(Q921))</f>
        <v/>
      </c>
      <c r="V921" s="9">
        <f>IF(OR(B921="",P921=""),"",U921/S921)</f>
        <v/>
      </c>
      <c r="W921">
        <f>IF(OR(B921="",P921=""),"",NETWORKDAYS(C921,P921)-1)</f>
        <v/>
      </c>
      <c r="X921">
        <f>IF(B921="","",IF(P921="","Aberto","Fechado"))</f>
        <v/>
      </c>
    </row>
    <row r="922">
      <c r="C922" s="6" t="n"/>
      <c r="E922" s="7" t="n"/>
      <c r="F922" s="8" t="n"/>
      <c r="G922" s="8" t="n"/>
      <c r="H922" s="8" t="n"/>
      <c r="J922" s="7" t="n"/>
      <c r="K922" s="8" t="n"/>
      <c r="L922" s="7" t="n"/>
      <c r="M922" s="8" t="n"/>
      <c r="N922" s="7" t="n"/>
      <c r="O922" s="8" t="n"/>
      <c r="P922" s="6" t="n"/>
      <c r="Q922" s="8" t="n"/>
      <c r="S922" s="8">
        <f>IF(B922="","",E922*F922)</f>
        <v/>
      </c>
      <c r="T922" s="8">
        <f>IF(OR(B922="",N(G922)=0),"",ABS(F922-G922)*E922)</f>
        <v/>
      </c>
      <c r="U922" s="8">
        <f>IF(OR(B922="",P922=""),"",IF(D922="Venda",-1,1)*((N(J922)*N(K922)+N(L922)*N(M922)+N(N922)*N(O922))-(N(J922)+N(L922)+N(N922))*F922)-N(Q922))</f>
        <v/>
      </c>
      <c r="V922" s="9">
        <f>IF(OR(B922="",P922=""),"",U922/S922)</f>
        <v/>
      </c>
      <c r="W922">
        <f>IF(OR(B922="",P922=""),"",NETWORKDAYS(C922,P922)-1)</f>
        <v/>
      </c>
      <c r="X922">
        <f>IF(B922="","",IF(P922="","Aberto","Fechado"))</f>
        <v/>
      </c>
    </row>
    <row r="923">
      <c r="C923" s="6" t="n"/>
      <c r="E923" s="7" t="n"/>
      <c r="F923" s="8" t="n"/>
      <c r="G923" s="8" t="n"/>
      <c r="H923" s="8" t="n"/>
      <c r="J923" s="7" t="n"/>
      <c r="K923" s="8" t="n"/>
      <c r="L923" s="7" t="n"/>
      <c r="M923" s="8" t="n"/>
      <c r="N923" s="7" t="n"/>
      <c r="O923" s="8" t="n"/>
      <c r="P923" s="6" t="n"/>
      <c r="Q923" s="8" t="n"/>
      <c r="S923" s="8">
        <f>IF(B923="","",E923*F923)</f>
        <v/>
      </c>
      <c r="T923" s="8">
        <f>IF(OR(B923="",N(G923)=0),"",ABS(F923-G923)*E923)</f>
        <v/>
      </c>
      <c r="U923" s="8">
        <f>IF(OR(B923="",P923=""),"",IF(D923="Venda",-1,1)*((N(J923)*N(K923)+N(L923)*N(M923)+N(N923)*N(O923))-(N(J923)+N(L923)+N(N923))*F923)-N(Q923))</f>
        <v/>
      </c>
      <c r="V923" s="9">
        <f>IF(OR(B923="",P923=""),"",U923/S923)</f>
        <v/>
      </c>
      <c r="W923">
        <f>IF(OR(B923="",P923=""),"",NETWORKDAYS(C923,P923)-1)</f>
        <v/>
      </c>
      <c r="X923">
        <f>IF(B923="","",IF(P923="","Aberto","Fechado"))</f>
        <v/>
      </c>
    </row>
    <row r="924">
      <c r="C924" s="6" t="n"/>
      <c r="E924" s="7" t="n"/>
      <c r="F924" s="8" t="n"/>
      <c r="G924" s="8" t="n"/>
      <c r="H924" s="8" t="n"/>
      <c r="J924" s="7" t="n"/>
      <c r="K924" s="8" t="n"/>
      <c r="L924" s="7" t="n"/>
      <c r="M924" s="8" t="n"/>
      <c r="N924" s="7" t="n"/>
      <c r="O924" s="8" t="n"/>
      <c r="P924" s="6" t="n"/>
      <c r="Q924" s="8" t="n"/>
      <c r="S924" s="8">
        <f>IF(B924="","",E924*F924)</f>
        <v/>
      </c>
      <c r="T924" s="8">
        <f>IF(OR(B924="",N(G924)=0),"",ABS(F924-G924)*E924)</f>
        <v/>
      </c>
      <c r="U924" s="8">
        <f>IF(OR(B924="",P924=""),"",IF(D924="Venda",-1,1)*((N(J924)*N(K924)+N(L924)*N(M924)+N(N924)*N(O924))-(N(J924)+N(L924)+N(N924))*F924)-N(Q924))</f>
        <v/>
      </c>
      <c r="V924" s="9">
        <f>IF(OR(B924="",P924=""),"",U924/S924)</f>
        <v/>
      </c>
      <c r="W924">
        <f>IF(OR(B924="",P924=""),"",NETWORKDAYS(C924,P924)-1)</f>
        <v/>
      </c>
      <c r="X924">
        <f>IF(B924="","",IF(P924="","Aberto","Fechado"))</f>
        <v/>
      </c>
    </row>
    <row r="925">
      <c r="C925" s="6" t="n"/>
      <c r="E925" s="7" t="n"/>
      <c r="F925" s="8" t="n"/>
      <c r="G925" s="8" t="n"/>
      <c r="H925" s="8" t="n"/>
      <c r="J925" s="7" t="n"/>
      <c r="K925" s="8" t="n"/>
      <c r="L925" s="7" t="n"/>
      <c r="M925" s="8" t="n"/>
      <c r="N925" s="7" t="n"/>
      <c r="O925" s="8" t="n"/>
      <c r="P925" s="6" t="n"/>
      <c r="Q925" s="8" t="n"/>
      <c r="S925" s="8">
        <f>IF(B925="","",E925*F925)</f>
        <v/>
      </c>
      <c r="T925" s="8">
        <f>IF(OR(B925="",N(G925)=0),"",ABS(F925-G925)*E925)</f>
        <v/>
      </c>
      <c r="U925" s="8">
        <f>IF(OR(B925="",P925=""),"",IF(D925="Venda",-1,1)*((N(J925)*N(K925)+N(L925)*N(M925)+N(N925)*N(O925))-(N(J925)+N(L925)+N(N925))*F925)-N(Q925))</f>
        <v/>
      </c>
      <c r="V925" s="9">
        <f>IF(OR(B925="",P925=""),"",U925/S925)</f>
        <v/>
      </c>
      <c r="W925">
        <f>IF(OR(B925="",P925=""),"",NETWORKDAYS(C925,P925)-1)</f>
        <v/>
      </c>
      <c r="X925">
        <f>IF(B925="","",IF(P925="","Aberto","Fechado"))</f>
        <v/>
      </c>
    </row>
    <row r="926">
      <c r="C926" s="6" t="n"/>
      <c r="E926" s="7" t="n"/>
      <c r="F926" s="8" t="n"/>
      <c r="G926" s="8" t="n"/>
      <c r="H926" s="8" t="n"/>
      <c r="J926" s="7" t="n"/>
      <c r="K926" s="8" t="n"/>
      <c r="L926" s="7" t="n"/>
      <c r="M926" s="8" t="n"/>
      <c r="N926" s="7" t="n"/>
      <c r="O926" s="8" t="n"/>
      <c r="P926" s="6" t="n"/>
      <c r="Q926" s="8" t="n"/>
      <c r="S926" s="8">
        <f>IF(B926="","",E926*F926)</f>
        <v/>
      </c>
      <c r="T926" s="8">
        <f>IF(OR(B926="",N(G926)=0),"",ABS(F926-G926)*E926)</f>
        <v/>
      </c>
      <c r="U926" s="8">
        <f>IF(OR(B926="",P926=""),"",IF(D926="Venda",-1,1)*((N(J926)*N(K926)+N(L926)*N(M926)+N(N926)*N(O926))-(N(J926)+N(L926)+N(N926))*F926)-N(Q926))</f>
        <v/>
      </c>
      <c r="V926" s="9">
        <f>IF(OR(B926="",P926=""),"",U926/S926)</f>
        <v/>
      </c>
      <c r="W926">
        <f>IF(OR(B926="",P926=""),"",NETWORKDAYS(C926,P926)-1)</f>
        <v/>
      </c>
      <c r="X926">
        <f>IF(B926="","",IF(P926="","Aberto","Fechado"))</f>
        <v/>
      </c>
    </row>
    <row r="927">
      <c r="C927" s="6" t="n"/>
      <c r="E927" s="7" t="n"/>
      <c r="F927" s="8" t="n"/>
      <c r="G927" s="8" t="n"/>
      <c r="H927" s="8" t="n"/>
      <c r="J927" s="7" t="n"/>
      <c r="K927" s="8" t="n"/>
      <c r="L927" s="7" t="n"/>
      <c r="M927" s="8" t="n"/>
      <c r="N927" s="7" t="n"/>
      <c r="O927" s="8" t="n"/>
      <c r="P927" s="6" t="n"/>
      <c r="Q927" s="8" t="n"/>
      <c r="S927" s="8">
        <f>IF(B927="","",E927*F927)</f>
        <v/>
      </c>
      <c r="T927" s="8">
        <f>IF(OR(B927="",N(G927)=0),"",ABS(F927-G927)*E927)</f>
        <v/>
      </c>
      <c r="U927" s="8">
        <f>IF(OR(B927="",P927=""),"",IF(D927="Venda",-1,1)*((N(J927)*N(K927)+N(L927)*N(M927)+N(N927)*N(O927))-(N(J927)+N(L927)+N(N927))*F927)-N(Q927))</f>
        <v/>
      </c>
      <c r="V927" s="9">
        <f>IF(OR(B927="",P927=""),"",U927/S927)</f>
        <v/>
      </c>
      <c r="W927">
        <f>IF(OR(B927="",P927=""),"",NETWORKDAYS(C927,P927)-1)</f>
        <v/>
      </c>
      <c r="X927">
        <f>IF(B927="","",IF(P927="","Aberto","Fechado"))</f>
        <v/>
      </c>
    </row>
    <row r="928">
      <c r="C928" s="6" t="n"/>
      <c r="E928" s="7" t="n"/>
      <c r="F928" s="8" t="n"/>
      <c r="G928" s="8" t="n"/>
      <c r="H928" s="8" t="n"/>
      <c r="J928" s="7" t="n"/>
      <c r="K928" s="8" t="n"/>
      <c r="L928" s="7" t="n"/>
      <c r="M928" s="8" t="n"/>
      <c r="N928" s="7" t="n"/>
      <c r="O928" s="8" t="n"/>
      <c r="P928" s="6" t="n"/>
      <c r="Q928" s="8" t="n"/>
      <c r="S928" s="8">
        <f>IF(B928="","",E928*F928)</f>
        <v/>
      </c>
      <c r="T928" s="8">
        <f>IF(OR(B928="",N(G928)=0),"",ABS(F928-G928)*E928)</f>
        <v/>
      </c>
      <c r="U928" s="8">
        <f>IF(OR(B928="",P928=""),"",IF(D928="Venda",-1,1)*((N(J928)*N(K928)+N(L928)*N(M928)+N(N928)*N(O928))-(N(J928)+N(L928)+N(N928))*F928)-N(Q928))</f>
        <v/>
      </c>
      <c r="V928" s="9">
        <f>IF(OR(B928="",P928=""),"",U928/S928)</f>
        <v/>
      </c>
      <c r="W928">
        <f>IF(OR(B928="",P928=""),"",NETWORKDAYS(C928,P928)-1)</f>
        <v/>
      </c>
      <c r="X928">
        <f>IF(B928="","",IF(P928="","Aberto","Fechado"))</f>
        <v/>
      </c>
    </row>
    <row r="929">
      <c r="C929" s="6" t="n"/>
      <c r="E929" s="7" t="n"/>
      <c r="F929" s="8" t="n"/>
      <c r="G929" s="8" t="n"/>
      <c r="H929" s="8" t="n"/>
      <c r="J929" s="7" t="n"/>
      <c r="K929" s="8" t="n"/>
      <c r="L929" s="7" t="n"/>
      <c r="M929" s="8" t="n"/>
      <c r="N929" s="7" t="n"/>
      <c r="O929" s="8" t="n"/>
      <c r="P929" s="6" t="n"/>
      <c r="Q929" s="8" t="n"/>
      <c r="S929" s="8">
        <f>IF(B929="","",E929*F929)</f>
        <v/>
      </c>
      <c r="T929" s="8">
        <f>IF(OR(B929="",N(G929)=0),"",ABS(F929-G929)*E929)</f>
        <v/>
      </c>
      <c r="U929" s="8">
        <f>IF(OR(B929="",P929=""),"",IF(D929="Venda",-1,1)*((N(J929)*N(K929)+N(L929)*N(M929)+N(N929)*N(O929))-(N(J929)+N(L929)+N(N929))*F929)-N(Q929))</f>
        <v/>
      </c>
      <c r="V929" s="9">
        <f>IF(OR(B929="",P929=""),"",U929/S929)</f>
        <v/>
      </c>
      <c r="W929">
        <f>IF(OR(B929="",P929=""),"",NETWORKDAYS(C929,P929)-1)</f>
        <v/>
      </c>
      <c r="X929">
        <f>IF(B929="","",IF(P929="","Aberto","Fechado"))</f>
        <v/>
      </c>
    </row>
    <row r="930">
      <c r="C930" s="6" t="n"/>
      <c r="E930" s="7" t="n"/>
      <c r="F930" s="8" t="n"/>
      <c r="G930" s="8" t="n"/>
      <c r="H930" s="8" t="n"/>
      <c r="J930" s="7" t="n"/>
      <c r="K930" s="8" t="n"/>
      <c r="L930" s="7" t="n"/>
      <c r="M930" s="8" t="n"/>
      <c r="N930" s="7" t="n"/>
      <c r="O930" s="8" t="n"/>
      <c r="P930" s="6" t="n"/>
      <c r="Q930" s="8" t="n"/>
      <c r="S930" s="8">
        <f>IF(B930="","",E930*F930)</f>
        <v/>
      </c>
      <c r="T930" s="8">
        <f>IF(OR(B930="",N(G930)=0),"",ABS(F930-G930)*E930)</f>
        <v/>
      </c>
      <c r="U930" s="8">
        <f>IF(OR(B930="",P930=""),"",IF(D930="Venda",-1,1)*((N(J930)*N(K930)+N(L930)*N(M930)+N(N930)*N(O930))-(N(J930)+N(L930)+N(N930))*F930)-N(Q930))</f>
        <v/>
      </c>
      <c r="V930" s="9">
        <f>IF(OR(B930="",P930=""),"",U930/S930)</f>
        <v/>
      </c>
      <c r="W930">
        <f>IF(OR(B930="",P930=""),"",NETWORKDAYS(C930,P930)-1)</f>
        <v/>
      </c>
      <c r="X930">
        <f>IF(B930="","",IF(P930="","Aberto","Fechado"))</f>
        <v/>
      </c>
    </row>
    <row r="931">
      <c r="C931" s="6" t="n"/>
      <c r="E931" s="7" t="n"/>
      <c r="F931" s="8" t="n"/>
      <c r="G931" s="8" t="n"/>
      <c r="H931" s="8" t="n"/>
      <c r="J931" s="7" t="n"/>
      <c r="K931" s="8" t="n"/>
      <c r="L931" s="7" t="n"/>
      <c r="M931" s="8" t="n"/>
      <c r="N931" s="7" t="n"/>
      <c r="O931" s="8" t="n"/>
      <c r="P931" s="6" t="n"/>
      <c r="Q931" s="8" t="n"/>
      <c r="S931" s="8">
        <f>IF(B931="","",E931*F931)</f>
        <v/>
      </c>
      <c r="T931" s="8">
        <f>IF(OR(B931="",N(G931)=0),"",ABS(F931-G931)*E931)</f>
        <v/>
      </c>
      <c r="U931" s="8">
        <f>IF(OR(B931="",P931=""),"",IF(D931="Venda",-1,1)*((N(J931)*N(K931)+N(L931)*N(M931)+N(N931)*N(O931))-(N(J931)+N(L931)+N(N931))*F931)-N(Q931))</f>
        <v/>
      </c>
      <c r="V931" s="9">
        <f>IF(OR(B931="",P931=""),"",U931/S931)</f>
        <v/>
      </c>
      <c r="W931">
        <f>IF(OR(B931="",P931=""),"",NETWORKDAYS(C931,P931)-1)</f>
        <v/>
      </c>
      <c r="X931">
        <f>IF(B931="","",IF(P931="","Aberto","Fechado"))</f>
        <v/>
      </c>
    </row>
    <row r="932">
      <c r="C932" s="6" t="n"/>
      <c r="E932" s="7" t="n"/>
      <c r="F932" s="8" t="n"/>
      <c r="G932" s="8" t="n"/>
      <c r="H932" s="8" t="n"/>
      <c r="J932" s="7" t="n"/>
      <c r="K932" s="8" t="n"/>
      <c r="L932" s="7" t="n"/>
      <c r="M932" s="8" t="n"/>
      <c r="N932" s="7" t="n"/>
      <c r="O932" s="8" t="n"/>
      <c r="P932" s="6" t="n"/>
      <c r="Q932" s="8" t="n"/>
      <c r="S932" s="8">
        <f>IF(B932="","",E932*F932)</f>
        <v/>
      </c>
      <c r="T932" s="8">
        <f>IF(OR(B932="",N(G932)=0),"",ABS(F932-G932)*E932)</f>
        <v/>
      </c>
      <c r="U932" s="8">
        <f>IF(OR(B932="",P932=""),"",IF(D932="Venda",-1,1)*((N(J932)*N(K932)+N(L932)*N(M932)+N(N932)*N(O932))-(N(J932)+N(L932)+N(N932))*F932)-N(Q932))</f>
        <v/>
      </c>
      <c r="V932" s="9">
        <f>IF(OR(B932="",P932=""),"",U932/S932)</f>
        <v/>
      </c>
      <c r="W932">
        <f>IF(OR(B932="",P932=""),"",NETWORKDAYS(C932,P932)-1)</f>
        <v/>
      </c>
      <c r="X932">
        <f>IF(B932="","",IF(P932="","Aberto","Fechado"))</f>
        <v/>
      </c>
    </row>
    <row r="933">
      <c r="C933" s="6" t="n"/>
      <c r="E933" s="7" t="n"/>
      <c r="F933" s="8" t="n"/>
      <c r="G933" s="8" t="n"/>
      <c r="H933" s="8" t="n"/>
      <c r="J933" s="7" t="n"/>
      <c r="K933" s="8" t="n"/>
      <c r="L933" s="7" t="n"/>
      <c r="M933" s="8" t="n"/>
      <c r="N933" s="7" t="n"/>
      <c r="O933" s="8" t="n"/>
      <c r="P933" s="6" t="n"/>
      <c r="Q933" s="8" t="n"/>
      <c r="S933" s="8">
        <f>IF(B933="","",E933*F933)</f>
        <v/>
      </c>
      <c r="T933" s="8">
        <f>IF(OR(B933="",N(G933)=0),"",ABS(F933-G933)*E933)</f>
        <v/>
      </c>
      <c r="U933" s="8">
        <f>IF(OR(B933="",P933=""),"",IF(D933="Venda",-1,1)*((N(J933)*N(K933)+N(L933)*N(M933)+N(N933)*N(O933))-(N(J933)+N(L933)+N(N933))*F933)-N(Q933))</f>
        <v/>
      </c>
      <c r="V933" s="9">
        <f>IF(OR(B933="",P933=""),"",U933/S933)</f>
        <v/>
      </c>
      <c r="W933">
        <f>IF(OR(B933="",P933=""),"",NETWORKDAYS(C933,P933)-1)</f>
        <v/>
      </c>
      <c r="X933">
        <f>IF(B933="","",IF(P933="","Aberto","Fechado"))</f>
        <v/>
      </c>
    </row>
    <row r="934">
      <c r="C934" s="6" t="n"/>
      <c r="E934" s="7" t="n"/>
      <c r="F934" s="8" t="n"/>
      <c r="G934" s="8" t="n"/>
      <c r="H934" s="8" t="n"/>
      <c r="J934" s="7" t="n"/>
      <c r="K934" s="8" t="n"/>
      <c r="L934" s="7" t="n"/>
      <c r="M934" s="8" t="n"/>
      <c r="N934" s="7" t="n"/>
      <c r="O934" s="8" t="n"/>
      <c r="P934" s="6" t="n"/>
      <c r="Q934" s="8" t="n"/>
      <c r="S934" s="8">
        <f>IF(B934="","",E934*F934)</f>
        <v/>
      </c>
      <c r="T934" s="8">
        <f>IF(OR(B934="",N(G934)=0),"",ABS(F934-G934)*E934)</f>
        <v/>
      </c>
      <c r="U934" s="8">
        <f>IF(OR(B934="",P934=""),"",IF(D934="Venda",-1,1)*((N(J934)*N(K934)+N(L934)*N(M934)+N(N934)*N(O934))-(N(J934)+N(L934)+N(N934))*F934)-N(Q934))</f>
        <v/>
      </c>
      <c r="V934" s="9">
        <f>IF(OR(B934="",P934=""),"",U934/S934)</f>
        <v/>
      </c>
      <c r="W934">
        <f>IF(OR(B934="",P934=""),"",NETWORKDAYS(C934,P934)-1)</f>
        <v/>
      </c>
      <c r="X934">
        <f>IF(B934="","",IF(P934="","Aberto","Fechado"))</f>
        <v/>
      </c>
    </row>
    <row r="935">
      <c r="C935" s="6" t="n"/>
      <c r="E935" s="7" t="n"/>
      <c r="F935" s="8" t="n"/>
      <c r="G935" s="8" t="n"/>
      <c r="H935" s="8" t="n"/>
      <c r="J935" s="7" t="n"/>
      <c r="K935" s="8" t="n"/>
      <c r="L935" s="7" t="n"/>
      <c r="M935" s="8" t="n"/>
      <c r="N935" s="7" t="n"/>
      <c r="O935" s="8" t="n"/>
      <c r="P935" s="6" t="n"/>
      <c r="Q935" s="8" t="n"/>
      <c r="S935" s="8">
        <f>IF(B935="","",E935*F935)</f>
        <v/>
      </c>
      <c r="T935" s="8">
        <f>IF(OR(B935="",N(G935)=0),"",ABS(F935-G935)*E935)</f>
        <v/>
      </c>
      <c r="U935" s="8">
        <f>IF(OR(B935="",P935=""),"",IF(D935="Venda",-1,1)*((N(J935)*N(K935)+N(L935)*N(M935)+N(N935)*N(O935))-(N(J935)+N(L935)+N(N935))*F935)-N(Q935))</f>
        <v/>
      </c>
      <c r="V935" s="9">
        <f>IF(OR(B935="",P935=""),"",U935/S935)</f>
        <v/>
      </c>
      <c r="W935">
        <f>IF(OR(B935="",P935=""),"",NETWORKDAYS(C935,P935)-1)</f>
        <v/>
      </c>
      <c r="X935">
        <f>IF(B935="","",IF(P935="","Aberto","Fechado"))</f>
        <v/>
      </c>
    </row>
    <row r="936">
      <c r="C936" s="6" t="n"/>
      <c r="E936" s="7" t="n"/>
      <c r="F936" s="8" t="n"/>
      <c r="G936" s="8" t="n"/>
      <c r="H936" s="8" t="n"/>
      <c r="J936" s="7" t="n"/>
      <c r="K936" s="8" t="n"/>
      <c r="L936" s="7" t="n"/>
      <c r="M936" s="8" t="n"/>
      <c r="N936" s="7" t="n"/>
      <c r="O936" s="8" t="n"/>
      <c r="P936" s="6" t="n"/>
      <c r="Q936" s="8" t="n"/>
      <c r="S936" s="8">
        <f>IF(B936="","",E936*F936)</f>
        <v/>
      </c>
      <c r="T936" s="8">
        <f>IF(OR(B936="",N(G936)=0),"",ABS(F936-G936)*E936)</f>
        <v/>
      </c>
      <c r="U936" s="8">
        <f>IF(OR(B936="",P936=""),"",IF(D936="Venda",-1,1)*((N(J936)*N(K936)+N(L936)*N(M936)+N(N936)*N(O936))-(N(J936)+N(L936)+N(N936))*F936)-N(Q936))</f>
        <v/>
      </c>
      <c r="V936" s="9">
        <f>IF(OR(B936="",P936=""),"",U936/S936)</f>
        <v/>
      </c>
      <c r="W936">
        <f>IF(OR(B936="",P936=""),"",NETWORKDAYS(C936,P936)-1)</f>
        <v/>
      </c>
      <c r="X936">
        <f>IF(B936="","",IF(P936="","Aberto","Fechado"))</f>
        <v/>
      </c>
    </row>
    <row r="937">
      <c r="C937" s="6" t="n"/>
      <c r="E937" s="7" t="n"/>
      <c r="F937" s="8" t="n"/>
      <c r="G937" s="8" t="n"/>
      <c r="H937" s="8" t="n"/>
      <c r="J937" s="7" t="n"/>
      <c r="K937" s="8" t="n"/>
      <c r="L937" s="7" t="n"/>
      <c r="M937" s="8" t="n"/>
      <c r="N937" s="7" t="n"/>
      <c r="O937" s="8" t="n"/>
      <c r="P937" s="6" t="n"/>
      <c r="Q937" s="8" t="n"/>
      <c r="S937" s="8">
        <f>IF(B937="","",E937*F937)</f>
        <v/>
      </c>
      <c r="T937" s="8">
        <f>IF(OR(B937="",N(G937)=0),"",ABS(F937-G937)*E937)</f>
        <v/>
      </c>
      <c r="U937" s="8">
        <f>IF(OR(B937="",P937=""),"",IF(D937="Venda",-1,1)*((N(J937)*N(K937)+N(L937)*N(M937)+N(N937)*N(O937))-(N(J937)+N(L937)+N(N937))*F937)-N(Q937))</f>
        <v/>
      </c>
      <c r="V937" s="9">
        <f>IF(OR(B937="",P937=""),"",U937/S937)</f>
        <v/>
      </c>
      <c r="W937">
        <f>IF(OR(B937="",P937=""),"",NETWORKDAYS(C937,P937)-1)</f>
        <v/>
      </c>
      <c r="X937">
        <f>IF(B937="","",IF(P937="","Aberto","Fechado"))</f>
        <v/>
      </c>
    </row>
    <row r="938">
      <c r="C938" s="6" t="n"/>
      <c r="E938" s="7" t="n"/>
      <c r="F938" s="8" t="n"/>
      <c r="G938" s="8" t="n"/>
      <c r="H938" s="8" t="n"/>
      <c r="J938" s="7" t="n"/>
      <c r="K938" s="8" t="n"/>
      <c r="L938" s="7" t="n"/>
      <c r="M938" s="8" t="n"/>
      <c r="N938" s="7" t="n"/>
      <c r="O938" s="8" t="n"/>
      <c r="P938" s="6" t="n"/>
      <c r="Q938" s="8" t="n"/>
      <c r="S938" s="8">
        <f>IF(B938="","",E938*F938)</f>
        <v/>
      </c>
      <c r="T938" s="8">
        <f>IF(OR(B938="",N(G938)=0),"",ABS(F938-G938)*E938)</f>
        <v/>
      </c>
      <c r="U938" s="8">
        <f>IF(OR(B938="",P938=""),"",IF(D938="Venda",-1,1)*((N(J938)*N(K938)+N(L938)*N(M938)+N(N938)*N(O938))-(N(J938)+N(L938)+N(N938))*F938)-N(Q938))</f>
        <v/>
      </c>
      <c r="V938" s="9">
        <f>IF(OR(B938="",P938=""),"",U938/S938)</f>
        <v/>
      </c>
      <c r="W938">
        <f>IF(OR(B938="",P938=""),"",NETWORKDAYS(C938,P938)-1)</f>
        <v/>
      </c>
      <c r="X938">
        <f>IF(B938="","",IF(P938="","Aberto","Fechado"))</f>
        <v/>
      </c>
    </row>
    <row r="939">
      <c r="C939" s="6" t="n"/>
      <c r="E939" s="7" t="n"/>
      <c r="F939" s="8" t="n"/>
      <c r="G939" s="8" t="n"/>
      <c r="H939" s="8" t="n"/>
      <c r="J939" s="7" t="n"/>
      <c r="K939" s="8" t="n"/>
      <c r="L939" s="7" t="n"/>
      <c r="M939" s="8" t="n"/>
      <c r="N939" s="7" t="n"/>
      <c r="O939" s="8" t="n"/>
      <c r="P939" s="6" t="n"/>
      <c r="Q939" s="8" t="n"/>
      <c r="S939" s="8">
        <f>IF(B939="","",E939*F939)</f>
        <v/>
      </c>
      <c r="T939" s="8">
        <f>IF(OR(B939="",N(G939)=0),"",ABS(F939-G939)*E939)</f>
        <v/>
      </c>
      <c r="U939" s="8">
        <f>IF(OR(B939="",P939=""),"",IF(D939="Venda",-1,1)*((N(J939)*N(K939)+N(L939)*N(M939)+N(N939)*N(O939))-(N(J939)+N(L939)+N(N939))*F939)-N(Q939))</f>
        <v/>
      </c>
      <c r="V939" s="9">
        <f>IF(OR(B939="",P939=""),"",U939/S939)</f>
        <v/>
      </c>
      <c r="W939">
        <f>IF(OR(B939="",P939=""),"",NETWORKDAYS(C939,P939)-1)</f>
        <v/>
      </c>
      <c r="X939">
        <f>IF(B939="","",IF(P939="","Aberto","Fechado"))</f>
        <v/>
      </c>
    </row>
    <row r="940">
      <c r="C940" s="6" t="n"/>
      <c r="E940" s="7" t="n"/>
      <c r="F940" s="8" t="n"/>
      <c r="G940" s="8" t="n"/>
      <c r="H940" s="8" t="n"/>
      <c r="J940" s="7" t="n"/>
      <c r="K940" s="8" t="n"/>
      <c r="L940" s="7" t="n"/>
      <c r="M940" s="8" t="n"/>
      <c r="N940" s="7" t="n"/>
      <c r="O940" s="8" t="n"/>
      <c r="P940" s="6" t="n"/>
      <c r="Q940" s="8" t="n"/>
      <c r="S940" s="8">
        <f>IF(B940="","",E940*F940)</f>
        <v/>
      </c>
      <c r="T940" s="8">
        <f>IF(OR(B940="",N(G940)=0),"",ABS(F940-G940)*E940)</f>
        <v/>
      </c>
      <c r="U940" s="8">
        <f>IF(OR(B940="",P940=""),"",IF(D940="Venda",-1,1)*((N(J940)*N(K940)+N(L940)*N(M940)+N(N940)*N(O940))-(N(J940)+N(L940)+N(N940))*F940)-N(Q940))</f>
        <v/>
      </c>
      <c r="V940" s="9">
        <f>IF(OR(B940="",P940=""),"",U940/S940)</f>
        <v/>
      </c>
      <c r="W940">
        <f>IF(OR(B940="",P940=""),"",NETWORKDAYS(C940,P940)-1)</f>
        <v/>
      </c>
      <c r="X940">
        <f>IF(B940="","",IF(P940="","Aberto","Fechado"))</f>
        <v/>
      </c>
    </row>
    <row r="941">
      <c r="C941" s="6" t="n"/>
      <c r="E941" s="7" t="n"/>
      <c r="F941" s="8" t="n"/>
      <c r="G941" s="8" t="n"/>
      <c r="H941" s="8" t="n"/>
      <c r="J941" s="7" t="n"/>
      <c r="K941" s="8" t="n"/>
      <c r="L941" s="7" t="n"/>
      <c r="M941" s="8" t="n"/>
      <c r="N941" s="7" t="n"/>
      <c r="O941" s="8" t="n"/>
      <c r="P941" s="6" t="n"/>
      <c r="Q941" s="8" t="n"/>
      <c r="S941" s="8">
        <f>IF(B941="","",E941*F941)</f>
        <v/>
      </c>
      <c r="T941" s="8">
        <f>IF(OR(B941="",N(G941)=0),"",ABS(F941-G941)*E941)</f>
        <v/>
      </c>
      <c r="U941" s="8">
        <f>IF(OR(B941="",P941=""),"",IF(D941="Venda",-1,1)*((N(J941)*N(K941)+N(L941)*N(M941)+N(N941)*N(O941))-(N(J941)+N(L941)+N(N941))*F941)-N(Q941))</f>
        <v/>
      </c>
      <c r="V941" s="9">
        <f>IF(OR(B941="",P941=""),"",U941/S941)</f>
        <v/>
      </c>
      <c r="W941">
        <f>IF(OR(B941="",P941=""),"",NETWORKDAYS(C941,P941)-1)</f>
        <v/>
      </c>
      <c r="X941">
        <f>IF(B941="","",IF(P941="","Aberto","Fechado"))</f>
        <v/>
      </c>
    </row>
    <row r="942">
      <c r="C942" s="6" t="n"/>
      <c r="E942" s="7" t="n"/>
      <c r="F942" s="8" t="n"/>
      <c r="G942" s="8" t="n"/>
      <c r="H942" s="8" t="n"/>
      <c r="J942" s="7" t="n"/>
      <c r="K942" s="8" t="n"/>
      <c r="L942" s="7" t="n"/>
      <c r="M942" s="8" t="n"/>
      <c r="N942" s="7" t="n"/>
      <c r="O942" s="8" t="n"/>
      <c r="P942" s="6" t="n"/>
      <c r="Q942" s="8" t="n"/>
      <c r="S942" s="8">
        <f>IF(B942="","",E942*F942)</f>
        <v/>
      </c>
      <c r="T942" s="8">
        <f>IF(OR(B942="",N(G942)=0),"",ABS(F942-G942)*E942)</f>
        <v/>
      </c>
      <c r="U942" s="8">
        <f>IF(OR(B942="",P942=""),"",IF(D942="Venda",-1,1)*((N(J942)*N(K942)+N(L942)*N(M942)+N(N942)*N(O942))-(N(J942)+N(L942)+N(N942))*F942)-N(Q942))</f>
        <v/>
      </c>
      <c r="V942" s="9">
        <f>IF(OR(B942="",P942=""),"",U942/S942)</f>
        <v/>
      </c>
      <c r="W942">
        <f>IF(OR(B942="",P942=""),"",NETWORKDAYS(C942,P942)-1)</f>
        <v/>
      </c>
      <c r="X942">
        <f>IF(B942="","",IF(P942="","Aberto","Fechado"))</f>
        <v/>
      </c>
    </row>
    <row r="943">
      <c r="C943" s="6" t="n"/>
      <c r="E943" s="7" t="n"/>
      <c r="F943" s="8" t="n"/>
      <c r="G943" s="8" t="n"/>
      <c r="H943" s="8" t="n"/>
      <c r="J943" s="7" t="n"/>
      <c r="K943" s="8" t="n"/>
      <c r="L943" s="7" t="n"/>
      <c r="M943" s="8" t="n"/>
      <c r="N943" s="7" t="n"/>
      <c r="O943" s="8" t="n"/>
      <c r="P943" s="6" t="n"/>
      <c r="Q943" s="8" t="n"/>
      <c r="S943" s="8">
        <f>IF(B943="","",E943*F943)</f>
        <v/>
      </c>
      <c r="T943" s="8">
        <f>IF(OR(B943="",N(G943)=0),"",ABS(F943-G943)*E943)</f>
        <v/>
      </c>
      <c r="U943" s="8">
        <f>IF(OR(B943="",P943=""),"",IF(D943="Venda",-1,1)*((N(J943)*N(K943)+N(L943)*N(M943)+N(N943)*N(O943))-(N(J943)+N(L943)+N(N943))*F943)-N(Q943))</f>
        <v/>
      </c>
      <c r="V943" s="9">
        <f>IF(OR(B943="",P943=""),"",U943/S943)</f>
        <v/>
      </c>
      <c r="W943">
        <f>IF(OR(B943="",P943=""),"",NETWORKDAYS(C943,P943)-1)</f>
        <v/>
      </c>
      <c r="X943">
        <f>IF(B943="","",IF(P943="","Aberto","Fechado"))</f>
        <v/>
      </c>
    </row>
    <row r="944">
      <c r="C944" s="6" t="n"/>
      <c r="E944" s="7" t="n"/>
      <c r="F944" s="8" t="n"/>
      <c r="G944" s="8" t="n"/>
      <c r="H944" s="8" t="n"/>
      <c r="J944" s="7" t="n"/>
      <c r="K944" s="8" t="n"/>
      <c r="L944" s="7" t="n"/>
      <c r="M944" s="8" t="n"/>
      <c r="N944" s="7" t="n"/>
      <c r="O944" s="8" t="n"/>
      <c r="P944" s="6" t="n"/>
      <c r="Q944" s="8" t="n"/>
      <c r="S944" s="8">
        <f>IF(B944="","",E944*F944)</f>
        <v/>
      </c>
      <c r="T944" s="8">
        <f>IF(OR(B944="",N(G944)=0),"",ABS(F944-G944)*E944)</f>
        <v/>
      </c>
      <c r="U944" s="8">
        <f>IF(OR(B944="",P944=""),"",IF(D944="Venda",-1,1)*((N(J944)*N(K944)+N(L944)*N(M944)+N(N944)*N(O944))-(N(J944)+N(L944)+N(N944))*F944)-N(Q944))</f>
        <v/>
      </c>
      <c r="V944" s="9">
        <f>IF(OR(B944="",P944=""),"",U944/S944)</f>
        <v/>
      </c>
      <c r="W944">
        <f>IF(OR(B944="",P944=""),"",NETWORKDAYS(C944,P944)-1)</f>
        <v/>
      </c>
      <c r="X944">
        <f>IF(B944="","",IF(P944="","Aberto","Fechado"))</f>
        <v/>
      </c>
    </row>
    <row r="945">
      <c r="C945" s="6" t="n"/>
      <c r="E945" s="7" t="n"/>
      <c r="F945" s="8" t="n"/>
      <c r="G945" s="8" t="n"/>
      <c r="H945" s="8" t="n"/>
      <c r="J945" s="7" t="n"/>
      <c r="K945" s="8" t="n"/>
      <c r="L945" s="7" t="n"/>
      <c r="M945" s="8" t="n"/>
      <c r="N945" s="7" t="n"/>
      <c r="O945" s="8" t="n"/>
      <c r="P945" s="6" t="n"/>
      <c r="Q945" s="8" t="n"/>
      <c r="S945" s="8">
        <f>IF(B945="","",E945*F945)</f>
        <v/>
      </c>
      <c r="T945" s="8">
        <f>IF(OR(B945="",N(G945)=0),"",ABS(F945-G945)*E945)</f>
        <v/>
      </c>
      <c r="U945" s="8">
        <f>IF(OR(B945="",P945=""),"",IF(D945="Venda",-1,1)*((N(J945)*N(K945)+N(L945)*N(M945)+N(N945)*N(O945))-(N(J945)+N(L945)+N(N945))*F945)-N(Q945))</f>
        <v/>
      </c>
      <c r="V945" s="9">
        <f>IF(OR(B945="",P945=""),"",U945/S945)</f>
        <v/>
      </c>
      <c r="W945">
        <f>IF(OR(B945="",P945=""),"",NETWORKDAYS(C945,P945)-1)</f>
        <v/>
      </c>
      <c r="X945">
        <f>IF(B945="","",IF(P945="","Aberto","Fechado"))</f>
        <v/>
      </c>
    </row>
    <row r="946">
      <c r="C946" s="6" t="n"/>
      <c r="E946" s="7" t="n"/>
      <c r="F946" s="8" t="n"/>
      <c r="G946" s="8" t="n"/>
      <c r="H946" s="8" t="n"/>
      <c r="J946" s="7" t="n"/>
      <c r="K946" s="8" t="n"/>
      <c r="L946" s="7" t="n"/>
      <c r="M946" s="8" t="n"/>
      <c r="N946" s="7" t="n"/>
      <c r="O946" s="8" t="n"/>
      <c r="P946" s="6" t="n"/>
      <c r="Q946" s="8" t="n"/>
      <c r="S946" s="8">
        <f>IF(B946="","",E946*F946)</f>
        <v/>
      </c>
      <c r="T946" s="8">
        <f>IF(OR(B946="",N(G946)=0),"",ABS(F946-G946)*E946)</f>
        <v/>
      </c>
      <c r="U946" s="8">
        <f>IF(OR(B946="",P946=""),"",IF(D946="Venda",-1,1)*((N(J946)*N(K946)+N(L946)*N(M946)+N(N946)*N(O946))-(N(J946)+N(L946)+N(N946))*F946)-N(Q946))</f>
        <v/>
      </c>
      <c r="V946" s="9">
        <f>IF(OR(B946="",P946=""),"",U946/S946)</f>
        <v/>
      </c>
      <c r="W946">
        <f>IF(OR(B946="",P946=""),"",NETWORKDAYS(C946,P946)-1)</f>
        <v/>
      </c>
      <c r="X946">
        <f>IF(B946="","",IF(P946="","Aberto","Fechado"))</f>
        <v/>
      </c>
    </row>
    <row r="947">
      <c r="C947" s="6" t="n"/>
      <c r="E947" s="7" t="n"/>
      <c r="F947" s="8" t="n"/>
      <c r="G947" s="8" t="n"/>
      <c r="H947" s="8" t="n"/>
      <c r="J947" s="7" t="n"/>
      <c r="K947" s="8" t="n"/>
      <c r="L947" s="7" t="n"/>
      <c r="M947" s="8" t="n"/>
      <c r="N947" s="7" t="n"/>
      <c r="O947" s="8" t="n"/>
      <c r="P947" s="6" t="n"/>
      <c r="Q947" s="8" t="n"/>
      <c r="S947" s="8">
        <f>IF(B947="","",E947*F947)</f>
        <v/>
      </c>
      <c r="T947" s="8">
        <f>IF(OR(B947="",N(G947)=0),"",ABS(F947-G947)*E947)</f>
        <v/>
      </c>
      <c r="U947" s="8">
        <f>IF(OR(B947="",P947=""),"",IF(D947="Venda",-1,1)*((N(J947)*N(K947)+N(L947)*N(M947)+N(N947)*N(O947))-(N(J947)+N(L947)+N(N947))*F947)-N(Q947))</f>
        <v/>
      </c>
      <c r="V947" s="9">
        <f>IF(OR(B947="",P947=""),"",U947/S947)</f>
        <v/>
      </c>
      <c r="W947">
        <f>IF(OR(B947="",P947=""),"",NETWORKDAYS(C947,P947)-1)</f>
        <v/>
      </c>
      <c r="X947">
        <f>IF(B947="","",IF(P947="","Aberto","Fechado"))</f>
        <v/>
      </c>
    </row>
    <row r="948">
      <c r="C948" s="6" t="n"/>
      <c r="E948" s="7" t="n"/>
      <c r="F948" s="8" t="n"/>
      <c r="G948" s="8" t="n"/>
      <c r="H948" s="8" t="n"/>
      <c r="J948" s="7" t="n"/>
      <c r="K948" s="8" t="n"/>
      <c r="L948" s="7" t="n"/>
      <c r="M948" s="8" t="n"/>
      <c r="N948" s="7" t="n"/>
      <c r="O948" s="8" t="n"/>
      <c r="P948" s="6" t="n"/>
      <c r="Q948" s="8" t="n"/>
      <c r="S948" s="8">
        <f>IF(B948="","",E948*F948)</f>
        <v/>
      </c>
      <c r="T948" s="8">
        <f>IF(OR(B948="",N(G948)=0),"",ABS(F948-G948)*E948)</f>
        <v/>
      </c>
      <c r="U948" s="8">
        <f>IF(OR(B948="",P948=""),"",IF(D948="Venda",-1,1)*((N(J948)*N(K948)+N(L948)*N(M948)+N(N948)*N(O948))-(N(J948)+N(L948)+N(N948))*F948)-N(Q948))</f>
        <v/>
      </c>
      <c r="V948" s="9">
        <f>IF(OR(B948="",P948=""),"",U948/S948)</f>
        <v/>
      </c>
      <c r="W948">
        <f>IF(OR(B948="",P948=""),"",NETWORKDAYS(C948,P948)-1)</f>
        <v/>
      </c>
      <c r="X948">
        <f>IF(B948="","",IF(P948="","Aberto","Fechado"))</f>
        <v/>
      </c>
    </row>
    <row r="949">
      <c r="C949" s="6" t="n"/>
      <c r="E949" s="7" t="n"/>
      <c r="F949" s="8" t="n"/>
      <c r="G949" s="8" t="n"/>
      <c r="H949" s="8" t="n"/>
      <c r="J949" s="7" t="n"/>
      <c r="K949" s="8" t="n"/>
      <c r="L949" s="7" t="n"/>
      <c r="M949" s="8" t="n"/>
      <c r="N949" s="7" t="n"/>
      <c r="O949" s="8" t="n"/>
      <c r="P949" s="6" t="n"/>
      <c r="Q949" s="8" t="n"/>
      <c r="S949" s="8">
        <f>IF(B949="","",E949*F949)</f>
        <v/>
      </c>
      <c r="T949" s="8">
        <f>IF(OR(B949="",N(G949)=0),"",ABS(F949-G949)*E949)</f>
        <v/>
      </c>
      <c r="U949" s="8">
        <f>IF(OR(B949="",P949=""),"",IF(D949="Venda",-1,1)*((N(J949)*N(K949)+N(L949)*N(M949)+N(N949)*N(O949))-(N(J949)+N(L949)+N(N949))*F949)-N(Q949))</f>
        <v/>
      </c>
      <c r="V949" s="9">
        <f>IF(OR(B949="",P949=""),"",U949/S949)</f>
        <v/>
      </c>
      <c r="W949">
        <f>IF(OR(B949="",P949=""),"",NETWORKDAYS(C949,P949)-1)</f>
        <v/>
      </c>
      <c r="X949">
        <f>IF(B949="","",IF(P949="","Aberto","Fechado"))</f>
        <v/>
      </c>
    </row>
    <row r="950">
      <c r="C950" s="6" t="n"/>
      <c r="E950" s="7" t="n"/>
      <c r="F950" s="8" t="n"/>
      <c r="G950" s="8" t="n"/>
      <c r="H950" s="8" t="n"/>
      <c r="J950" s="7" t="n"/>
      <c r="K950" s="8" t="n"/>
      <c r="L950" s="7" t="n"/>
      <c r="M950" s="8" t="n"/>
      <c r="N950" s="7" t="n"/>
      <c r="O950" s="8" t="n"/>
      <c r="P950" s="6" t="n"/>
      <c r="Q950" s="8" t="n"/>
      <c r="S950" s="8">
        <f>IF(B950="","",E950*F950)</f>
        <v/>
      </c>
      <c r="T950" s="8">
        <f>IF(OR(B950="",N(G950)=0),"",ABS(F950-G950)*E950)</f>
        <v/>
      </c>
      <c r="U950" s="8">
        <f>IF(OR(B950="",P950=""),"",IF(D950="Venda",-1,1)*((N(J950)*N(K950)+N(L950)*N(M950)+N(N950)*N(O950))-(N(J950)+N(L950)+N(N950))*F950)-N(Q950))</f>
        <v/>
      </c>
      <c r="V950" s="9">
        <f>IF(OR(B950="",P950=""),"",U950/S950)</f>
        <v/>
      </c>
      <c r="W950">
        <f>IF(OR(B950="",P950=""),"",NETWORKDAYS(C950,P950)-1)</f>
        <v/>
      </c>
      <c r="X950">
        <f>IF(B950="","",IF(P950="","Aberto","Fechado"))</f>
        <v/>
      </c>
    </row>
    <row r="951">
      <c r="C951" s="6" t="n"/>
      <c r="E951" s="7" t="n"/>
      <c r="F951" s="8" t="n"/>
      <c r="G951" s="8" t="n"/>
      <c r="H951" s="8" t="n"/>
      <c r="J951" s="7" t="n"/>
      <c r="K951" s="8" t="n"/>
      <c r="L951" s="7" t="n"/>
      <c r="M951" s="8" t="n"/>
      <c r="N951" s="7" t="n"/>
      <c r="O951" s="8" t="n"/>
      <c r="P951" s="6" t="n"/>
      <c r="Q951" s="8" t="n"/>
      <c r="S951" s="8">
        <f>IF(B951="","",E951*F951)</f>
        <v/>
      </c>
      <c r="T951" s="8">
        <f>IF(OR(B951="",N(G951)=0),"",ABS(F951-G951)*E951)</f>
        <v/>
      </c>
      <c r="U951" s="8">
        <f>IF(OR(B951="",P951=""),"",IF(D951="Venda",-1,1)*((N(J951)*N(K951)+N(L951)*N(M951)+N(N951)*N(O951))-(N(J951)+N(L951)+N(N951))*F951)-N(Q951))</f>
        <v/>
      </c>
      <c r="V951" s="9">
        <f>IF(OR(B951="",P951=""),"",U951/S951)</f>
        <v/>
      </c>
      <c r="W951">
        <f>IF(OR(B951="",P951=""),"",NETWORKDAYS(C951,P951)-1)</f>
        <v/>
      </c>
      <c r="X951">
        <f>IF(B951="","",IF(P951="","Aberto","Fechado"))</f>
        <v/>
      </c>
    </row>
    <row r="952">
      <c r="C952" s="6" t="n"/>
      <c r="E952" s="7" t="n"/>
      <c r="F952" s="8" t="n"/>
      <c r="G952" s="8" t="n"/>
      <c r="H952" s="8" t="n"/>
      <c r="J952" s="7" t="n"/>
      <c r="K952" s="8" t="n"/>
      <c r="L952" s="7" t="n"/>
      <c r="M952" s="8" t="n"/>
      <c r="N952" s="7" t="n"/>
      <c r="O952" s="8" t="n"/>
      <c r="P952" s="6" t="n"/>
      <c r="Q952" s="8" t="n"/>
      <c r="S952" s="8">
        <f>IF(B952="","",E952*F952)</f>
        <v/>
      </c>
      <c r="T952" s="8">
        <f>IF(OR(B952="",N(G952)=0),"",ABS(F952-G952)*E952)</f>
        <v/>
      </c>
      <c r="U952" s="8">
        <f>IF(OR(B952="",P952=""),"",IF(D952="Venda",-1,1)*((N(J952)*N(K952)+N(L952)*N(M952)+N(N952)*N(O952))-(N(J952)+N(L952)+N(N952))*F952)-N(Q952))</f>
        <v/>
      </c>
      <c r="V952" s="9">
        <f>IF(OR(B952="",P952=""),"",U952/S952)</f>
        <v/>
      </c>
      <c r="W952">
        <f>IF(OR(B952="",P952=""),"",NETWORKDAYS(C952,P952)-1)</f>
        <v/>
      </c>
      <c r="X952">
        <f>IF(B952="","",IF(P952="","Aberto","Fechado"))</f>
        <v/>
      </c>
    </row>
    <row r="953">
      <c r="C953" s="6" t="n"/>
      <c r="E953" s="7" t="n"/>
      <c r="F953" s="8" t="n"/>
      <c r="G953" s="8" t="n"/>
      <c r="H953" s="8" t="n"/>
      <c r="J953" s="7" t="n"/>
      <c r="K953" s="8" t="n"/>
      <c r="L953" s="7" t="n"/>
      <c r="M953" s="8" t="n"/>
      <c r="N953" s="7" t="n"/>
      <c r="O953" s="8" t="n"/>
      <c r="P953" s="6" t="n"/>
      <c r="Q953" s="8" t="n"/>
      <c r="S953" s="8">
        <f>IF(B953="","",E953*F953)</f>
        <v/>
      </c>
      <c r="T953" s="8">
        <f>IF(OR(B953="",N(G953)=0),"",ABS(F953-G953)*E953)</f>
        <v/>
      </c>
      <c r="U953" s="8">
        <f>IF(OR(B953="",P953=""),"",IF(D953="Venda",-1,1)*((N(J953)*N(K953)+N(L953)*N(M953)+N(N953)*N(O953))-(N(J953)+N(L953)+N(N953))*F953)-N(Q953))</f>
        <v/>
      </c>
      <c r="V953" s="9">
        <f>IF(OR(B953="",P953=""),"",U953/S953)</f>
        <v/>
      </c>
      <c r="W953">
        <f>IF(OR(B953="",P953=""),"",NETWORKDAYS(C953,P953)-1)</f>
        <v/>
      </c>
      <c r="X953">
        <f>IF(B953="","",IF(P953="","Aberto","Fechado"))</f>
        <v/>
      </c>
    </row>
    <row r="954">
      <c r="C954" s="6" t="n"/>
      <c r="E954" s="7" t="n"/>
      <c r="F954" s="8" t="n"/>
      <c r="G954" s="8" t="n"/>
      <c r="H954" s="8" t="n"/>
      <c r="J954" s="7" t="n"/>
      <c r="K954" s="8" t="n"/>
      <c r="L954" s="7" t="n"/>
      <c r="M954" s="8" t="n"/>
      <c r="N954" s="7" t="n"/>
      <c r="O954" s="8" t="n"/>
      <c r="P954" s="6" t="n"/>
      <c r="Q954" s="8" t="n"/>
      <c r="S954" s="8">
        <f>IF(B954="","",E954*F954)</f>
        <v/>
      </c>
      <c r="T954" s="8">
        <f>IF(OR(B954="",N(G954)=0),"",ABS(F954-G954)*E954)</f>
        <v/>
      </c>
      <c r="U954" s="8">
        <f>IF(OR(B954="",P954=""),"",IF(D954="Venda",-1,1)*((N(J954)*N(K954)+N(L954)*N(M954)+N(N954)*N(O954))-(N(J954)+N(L954)+N(N954))*F954)-N(Q954))</f>
        <v/>
      </c>
      <c r="V954" s="9">
        <f>IF(OR(B954="",P954=""),"",U954/S954)</f>
        <v/>
      </c>
      <c r="W954">
        <f>IF(OR(B954="",P954=""),"",NETWORKDAYS(C954,P954)-1)</f>
        <v/>
      </c>
      <c r="X954">
        <f>IF(B954="","",IF(P954="","Aberto","Fechado"))</f>
        <v/>
      </c>
    </row>
    <row r="955">
      <c r="C955" s="6" t="n"/>
      <c r="E955" s="7" t="n"/>
      <c r="F955" s="8" t="n"/>
      <c r="G955" s="8" t="n"/>
      <c r="H955" s="8" t="n"/>
      <c r="J955" s="7" t="n"/>
      <c r="K955" s="8" t="n"/>
      <c r="L955" s="7" t="n"/>
      <c r="M955" s="8" t="n"/>
      <c r="N955" s="7" t="n"/>
      <c r="O955" s="8" t="n"/>
      <c r="P955" s="6" t="n"/>
      <c r="Q955" s="8" t="n"/>
      <c r="S955" s="8">
        <f>IF(B955="","",E955*F955)</f>
        <v/>
      </c>
      <c r="T955" s="8">
        <f>IF(OR(B955="",N(G955)=0),"",ABS(F955-G955)*E955)</f>
        <v/>
      </c>
      <c r="U955" s="8">
        <f>IF(OR(B955="",P955=""),"",IF(D955="Venda",-1,1)*((N(J955)*N(K955)+N(L955)*N(M955)+N(N955)*N(O955))-(N(J955)+N(L955)+N(N955))*F955)-N(Q955))</f>
        <v/>
      </c>
      <c r="V955" s="9">
        <f>IF(OR(B955="",P955=""),"",U955/S955)</f>
        <v/>
      </c>
      <c r="W955">
        <f>IF(OR(B955="",P955=""),"",NETWORKDAYS(C955,P955)-1)</f>
        <v/>
      </c>
      <c r="X955">
        <f>IF(B955="","",IF(P955="","Aberto","Fechado"))</f>
        <v/>
      </c>
    </row>
    <row r="956">
      <c r="C956" s="6" t="n"/>
      <c r="E956" s="7" t="n"/>
      <c r="F956" s="8" t="n"/>
      <c r="G956" s="8" t="n"/>
      <c r="H956" s="8" t="n"/>
      <c r="J956" s="7" t="n"/>
      <c r="K956" s="8" t="n"/>
      <c r="L956" s="7" t="n"/>
      <c r="M956" s="8" t="n"/>
      <c r="N956" s="7" t="n"/>
      <c r="O956" s="8" t="n"/>
      <c r="P956" s="6" t="n"/>
      <c r="Q956" s="8" t="n"/>
      <c r="S956" s="8">
        <f>IF(B956="","",E956*F956)</f>
        <v/>
      </c>
      <c r="T956" s="8">
        <f>IF(OR(B956="",N(G956)=0),"",ABS(F956-G956)*E956)</f>
        <v/>
      </c>
      <c r="U956" s="8">
        <f>IF(OR(B956="",P956=""),"",IF(D956="Venda",-1,1)*((N(J956)*N(K956)+N(L956)*N(M956)+N(N956)*N(O956))-(N(J956)+N(L956)+N(N956))*F956)-N(Q956))</f>
        <v/>
      </c>
      <c r="V956" s="9">
        <f>IF(OR(B956="",P956=""),"",U956/S956)</f>
        <v/>
      </c>
      <c r="W956">
        <f>IF(OR(B956="",P956=""),"",NETWORKDAYS(C956,P956)-1)</f>
        <v/>
      </c>
      <c r="X956">
        <f>IF(B956="","",IF(P956="","Aberto","Fechado"))</f>
        <v/>
      </c>
    </row>
    <row r="957">
      <c r="C957" s="6" t="n"/>
      <c r="E957" s="7" t="n"/>
      <c r="F957" s="8" t="n"/>
      <c r="G957" s="8" t="n"/>
      <c r="H957" s="8" t="n"/>
      <c r="J957" s="7" t="n"/>
      <c r="K957" s="8" t="n"/>
      <c r="L957" s="7" t="n"/>
      <c r="M957" s="8" t="n"/>
      <c r="N957" s="7" t="n"/>
      <c r="O957" s="8" t="n"/>
      <c r="P957" s="6" t="n"/>
      <c r="Q957" s="8" t="n"/>
      <c r="S957" s="8">
        <f>IF(B957="","",E957*F957)</f>
        <v/>
      </c>
      <c r="T957" s="8">
        <f>IF(OR(B957="",N(G957)=0),"",ABS(F957-G957)*E957)</f>
        <v/>
      </c>
      <c r="U957" s="8">
        <f>IF(OR(B957="",P957=""),"",IF(D957="Venda",-1,1)*((N(J957)*N(K957)+N(L957)*N(M957)+N(N957)*N(O957))-(N(J957)+N(L957)+N(N957))*F957)-N(Q957))</f>
        <v/>
      </c>
      <c r="V957" s="9">
        <f>IF(OR(B957="",P957=""),"",U957/S957)</f>
        <v/>
      </c>
      <c r="W957">
        <f>IF(OR(B957="",P957=""),"",NETWORKDAYS(C957,P957)-1)</f>
        <v/>
      </c>
      <c r="X957">
        <f>IF(B957="","",IF(P957="","Aberto","Fechado"))</f>
        <v/>
      </c>
    </row>
    <row r="958">
      <c r="C958" s="6" t="n"/>
      <c r="E958" s="7" t="n"/>
      <c r="F958" s="8" t="n"/>
      <c r="G958" s="8" t="n"/>
      <c r="H958" s="8" t="n"/>
      <c r="J958" s="7" t="n"/>
      <c r="K958" s="8" t="n"/>
      <c r="L958" s="7" t="n"/>
      <c r="M958" s="8" t="n"/>
      <c r="N958" s="7" t="n"/>
      <c r="O958" s="8" t="n"/>
      <c r="P958" s="6" t="n"/>
      <c r="Q958" s="8" t="n"/>
      <c r="S958" s="8">
        <f>IF(B958="","",E958*F958)</f>
        <v/>
      </c>
      <c r="T958" s="8">
        <f>IF(OR(B958="",N(G958)=0),"",ABS(F958-G958)*E958)</f>
        <v/>
      </c>
      <c r="U958" s="8">
        <f>IF(OR(B958="",P958=""),"",IF(D958="Venda",-1,1)*((N(J958)*N(K958)+N(L958)*N(M958)+N(N958)*N(O958))-(N(J958)+N(L958)+N(N958))*F958)-N(Q958))</f>
        <v/>
      </c>
      <c r="V958" s="9">
        <f>IF(OR(B958="",P958=""),"",U958/S958)</f>
        <v/>
      </c>
      <c r="W958">
        <f>IF(OR(B958="",P958=""),"",NETWORKDAYS(C958,P958)-1)</f>
        <v/>
      </c>
      <c r="X958">
        <f>IF(B958="","",IF(P958="","Aberto","Fechado"))</f>
        <v/>
      </c>
    </row>
    <row r="959">
      <c r="C959" s="6" t="n"/>
      <c r="E959" s="7" t="n"/>
      <c r="F959" s="8" t="n"/>
      <c r="G959" s="8" t="n"/>
      <c r="H959" s="8" t="n"/>
      <c r="J959" s="7" t="n"/>
      <c r="K959" s="8" t="n"/>
      <c r="L959" s="7" t="n"/>
      <c r="M959" s="8" t="n"/>
      <c r="N959" s="7" t="n"/>
      <c r="O959" s="8" t="n"/>
      <c r="P959" s="6" t="n"/>
      <c r="Q959" s="8" t="n"/>
      <c r="S959" s="8">
        <f>IF(B959="","",E959*F959)</f>
        <v/>
      </c>
      <c r="T959" s="8">
        <f>IF(OR(B959="",N(G959)=0),"",ABS(F959-G959)*E959)</f>
        <v/>
      </c>
      <c r="U959" s="8">
        <f>IF(OR(B959="",P959=""),"",IF(D959="Venda",-1,1)*((N(J959)*N(K959)+N(L959)*N(M959)+N(N959)*N(O959))-(N(J959)+N(L959)+N(N959))*F959)-N(Q959))</f>
        <v/>
      </c>
      <c r="V959" s="9">
        <f>IF(OR(B959="",P959=""),"",U959/S959)</f>
        <v/>
      </c>
      <c r="W959">
        <f>IF(OR(B959="",P959=""),"",NETWORKDAYS(C959,P959)-1)</f>
        <v/>
      </c>
      <c r="X959">
        <f>IF(B959="","",IF(P959="","Aberto","Fechado"))</f>
        <v/>
      </c>
    </row>
    <row r="960">
      <c r="C960" s="6" t="n"/>
      <c r="E960" s="7" t="n"/>
      <c r="F960" s="8" t="n"/>
      <c r="G960" s="8" t="n"/>
      <c r="H960" s="8" t="n"/>
      <c r="J960" s="7" t="n"/>
      <c r="K960" s="8" t="n"/>
      <c r="L960" s="7" t="n"/>
      <c r="M960" s="8" t="n"/>
      <c r="N960" s="7" t="n"/>
      <c r="O960" s="8" t="n"/>
      <c r="P960" s="6" t="n"/>
      <c r="Q960" s="8" t="n"/>
      <c r="S960" s="8">
        <f>IF(B960="","",E960*F960)</f>
        <v/>
      </c>
      <c r="T960" s="8">
        <f>IF(OR(B960="",N(G960)=0),"",ABS(F960-G960)*E960)</f>
        <v/>
      </c>
      <c r="U960" s="8">
        <f>IF(OR(B960="",P960=""),"",IF(D960="Venda",-1,1)*((N(J960)*N(K960)+N(L960)*N(M960)+N(N960)*N(O960))-(N(J960)+N(L960)+N(N960))*F960)-N(Q960))</f>
        <v/>
      </c>
      <c r="V960" s="9">
        <f>IF(OR(B960="",P960=""),"",U960/S960)</f>
        <v/>
      </c>
      <c r="W960">
        <f>IF(OR(B960="",P960=""),"",NETWORKDAYS(C960,P960)-1)</f>
        <v/>
      </c>
      <c r="X960">
        <f>IF(B960="","",IF(P960="","Aberto","Fechado"))</f>
        <v/>
      </c>
    </row>
    <row r="961">
      <c r="C961" s="6" t="n"/>
      <c r="E961" s="7" t="n"/>
      <c r="F961" s="8" t="n"/>
      <c r="G961" s="8" t="n"/>
      <c r="H961" s="8" t="n"/>
      <c r="J961" s="7" t="n"/>
      <c r="K961" s="8" t="n"/>
      <c r="L961" s="7" t="n"/>
      <c r="M961" s="8" t="n"/>
      <c r="N961" s="7" t="n"/>
      <c r="O961" s="8" t="n"/>
      <c r="P961" s="6" t="n"/>
      <c r="Q961" s="8" t="n"/>
      <c r="S961" s="8">
        <f>IF(B961="","",E961*F961)</f>
        <v/>
      </c>
      <c r="T961" s="8">
        <f>IF(OR(B961="",N(G961)=0),"",ABS(F961-G961)*E961)</f>
        <v/>
      </c>
      <c r="U961" s="8">
        <f>IF(OR(B961="",P961=""),"",IF(D961="Venda",-1,1)*((N(J961)*N(K961)+N(L961)*N(M961)+N(N961)*N(O961))-(N(J961)+N(L961)+N(N961))*F961)-N(Q961))</f>
        <v/>
      </c>
      <c r="V961" s="9">
        <f>IF(OR(B961="",P961=""),"",U961/S961)</f>
        <v/>
      </c>
      <c r="W961">
        <f>IF(OR(B961="",P961=""),"",NETWORKDAYS(C961,P961)-1)</f>
        <v/>
      </c>
      <c r="X961">
        <f>IF(B961="","",IF(P961="","Aberto","Fechado"))</f>
        <v/>
      </c>
    </row>
    <row r="962">
      <c r="C962" s="6" t="n"/>
      <c r="E962" s="7" t="n"/>
      <c r="F962" s="8" t="n"/>
      <c r="G962" s="8" t="n"/>
      <c r="H962" s="8" t="n"/>
      <c r="J962" s="7" t="n"/>
      <c r="K962" s="8" t="n"/>
      <c r="L962" s="7" t="n"/>
      <c r="M962" s="8" t="n"/>
      <c r="N962" s="7" t="n"/>
      <c r="O962" s="8" t="n"/>
      <c r="P962" s="6" t="n"/>
      <c r="Q962" s="8" t="n"/>
      <c r="S962" s="8">
        <f>IF(B962="","",E962*F962)</f>
        <v/>
      </c>
      <c r="T962" s="8">
        <f>IF(OR(B962="",N(G962)=0),"",ABS(F962-G962)*E962)</f>
        <v/>
      </c>
      <c r="U962" s="8">
        <f>IF(OR(B962="",P962=""),"",IF(D962="Venda",-1,1)*((N(J962)*N(K962)+N(L962)*N(M962)+N(N962)*N(O962))-(N(J962)+N(L962)+N(N962))*F962)-N(Q962))</f>
        <v/>
      </c>
      <c r="V962" s="9">
        <f>IF(OR(B962="",P962=""),"",U962/S962)</f>
        <v/>
      </c>
      <c r="W962">
        <f>IF(OR(B962="",P962=""),"",NETWORKDAYS(C962,P962)-1)</f>
        <v/>
      </c>
      <c r="X962">
        <f>IF(B962="","",IF(P962="","Aberto","Fechado"))</f>
        <v/>
      </c>
    </row>
    <row r="963">
      <c r="C963" s="6" t="n"/>
      <c r="E963" s="7" t="n"/>
      <c r="F963" s="8" t="n"/>
      <c r="G963" s="8" t="n"/>
      <c r="H963" s="8" t="n"/>
      <c r="J963" s="7" t="n"/>
      <c r="K963" s="8" t="n"/>
      <c r="L963" s="7" t="n"/>
      <c r="M963" s="8" t="n"/>
      <c r="N963" s="7" t="n"/>
      <c r="O963" s="8" t="n"/>
      <c r="P963" s="6" t="n"/>
      <c r="Q963" s="8" t="n"/>
      <c r="S963" s="8">
        <f>IF(B963="","",E963*F963)</f>
        <v/>
      </c>
      <c r="T963" s="8">
        <f>IF(OR(B963="",N(G963)=0),"",ABS(F963-G963)*E963)</f>
        <v/>
      </c>
      <c r="U963" s="8">
        <f>IF(OR(B963="",P963=""),"",IF(D963="Venda",-1,1)*((N(J963)*N(K963)+N(L963)*N(M963)+N(N963)*N(O963))-(N(J963)+N(L963)+N(N963))*F963)-N(Q963))</f>
        <v/>
      </c>
      <c r="V963" s="9">
        <f>IF(OR(B963="",P963=""),"",U963/S963)</f>
        <v/>
      </c>
      <c r="W963">
        <f>IF(OR(B963="",P963=""),"",NETWORKDAYS(C963,P963)-1)</f>
        <v/>
      </c>
      <c r="X963">
        <f>IF(B963="","",IF(P963="","Aberto","Fechado"))</f>
        <v/>
      </c>
    </row>
    <row r="964">
      <c r="C964" s="6" t="n"/>
      <c r="E964" s="7" t="n"/>
      <c r="F964" s="8" t="n"/>
      <c r="G964" s="8" t="n"/>
      <c r="H964" s="8" t="n"/>
      <c r="J964" s="7" t="n"/>
      <c r="K964" s="8" t="n"/>
      <c r="L964" s="7" t="n"/>
      <c r="M964" s="8" t="n"/>
      <c r="N964" s="7" t="n"/>
      <c r="O964" s="8" t="n"/>
      <c r="P964" s="6" t="n"/>
      <c r="Q964" s="8" t="n"/>
      <c r="S964" s="8">
        <f>IF(B964="","",E964*F964)</f>
        <v/>
      </c>
      <c r="T964" s="8">
        <f>IF(OR(B964="",N(G964)=0),"",ABS(F964-G964)*E964)</f>
        <v/>
      </c>
      <c r="U964" s="8">
        <f>IF(OR(B964="",P964=""),"",IF(D964="Venda",-1,1)*((N(J964)*N(K964)+N(L964)*N(M964)+N(N964)*N(O964))-(N(J964)+N(L964)+N(N964))*F964)-N(Q964))</f>
        <v/>
      </c>
      <c r="V964" s="9">
        <f>IF(OR(B964="",P964=""),"",U964/S964)</f>
        <v/>
      </c>
      <c r="W964">
        <f>IF(OR(B964="",P964=""),"",NETWORKDAYS(C964,P964)-1)</f>
        <v/>
      </c>
      <c r="X964">
        <f>IF(B964="","",IF(P964="","Aberto","Fechado"))</f>
        <v/>
      </c>
    </row>
    <row r="965">
      <c r="C965" s="6" t="n"/>
      <c r="E965" s="7" t="n"/>
      <c r="F965" s="8" t="n"/>
      <c r="G965" s="8" t="n"/>
      <c r="H965" s="8" t="n"/>
      <c r="J965" s="7" t="n"/>
      <c r="K965" s="8" t="n"/>
      <c r="L965" s="7" t="n"/>
      <c r="M965" s="8" t="n"/>
      <c r="N965" s="7" t="n"/>
      <c r="O965" s="8" t="n"/>
      <c r="P965" s="6" t="n"/>
      <c r="Q965" s="8" t="n"/>
      <c r="S965" s="8">
        <f>IF(B965="","",E965*F965)</f>
        <v/>
      </c>
      <c r="T965" s="8">
        <f>IF(OR(B965="",N(G965)=0),"",ABS(F965-G965)*E965)</f>
        <v/>
      </c>
      <c r="U965" s="8">
        <f>IF(OR(B965="",P965=""),"",IF(D965="Venda",-1,1)*((N(J965)*N(K965)+N(L965)*N(M965)+N(N965)*N(O965))-(N(J965)+N(L965)+N(N965))*F965)-N(Q965))</f>
        <v/>
      </c>
      <c r="V965" s="9">
        <f>IF(OR(B965="",P965=""),"",U965/S965)</f>
        <v/>
      </c>
      <c r="W965">
        <f>IF(OR(B965="",P965=""),"",NETWORKDAYS(C965,P965)-1)</f>
        <v/>
      </c>
      <c r="X965">
        <f>IF(B965="","",IF(P965="","Aberto","Fechado"))</f>
        <v/>
      </c>
    </row>
    <row r="966">
      <c r="C966" s="6" t="n"/>
      <c r="E966" s="7" t="n"/>
      <c r="F966" s="8" t="n"/>
      <c r="G966" s="8" t="n"/>
      <c r="H966" s="8" t="n"/>
      <c r="J966" s="7" t="n"/>
      <c r="K966" s="8" t="n"/>
      <c r="L966" s="7" t="n"/>
      <c r="M966" s="8" t="n"/>
      <c r="N966" s="7" t="n"/>
      <c r="O966" s="8" t="n"/>
      <c r="P966" s="6" t="n"/>
      <c r="Q966" s="8" t="n"/>
      <c r="S966" s="8">
        <f>IF(B966="","",E966*F966)</f>
        <v/>
      </c>
      <c r="T966" s="8">
        <f>IF(OR(B966="",N(G966)=0),"",ABS(F966-G966)*E966)</f>
        <v/>
      </c>
      <c r="U966" s="8">
        <f>IF(OR(B966="",P966=""),"",IF(D966="Venda",-1,1)*((N(J966)*N(K966)+N(L966)*N(M966)+N(N966)*N(O966))-(N(J966)+N(L966)+N(N966))*F966)-N(Q966))</f>
        <v/>
      </c>
      <c r="V966" s="9">
        <f>IF(OR(B966="",P966=""),"",U966/S966)</f>
        <v/>
      </c>
      <c r="W966">
        <f>IF(OR(B966="",P966=""),"",NETWORKDAYS(C966,P966)-1)</f>
        <v/>
      </c>
      <c r="X966">
        <f>IF(B966="","",IF(P966="","Aberto","Fechado"))</f>
        <v/>
      </c>
    </row>
    <row r="967">
      <c r="C967" s="6" t="n"/>
      <c r="E967" s="7" t="n"/>
      <c r="F967" s="8" t="n"/>
      <c r="G967" s="8" t="n"/>
      <c r="H967" s="8" t="n"/>
      <c r="J967" s="7" t="n"/>
      <c r="K967" s="8" t="n"/>
      <c r="L967" s="7" t="n"/>
      <c r="M967" s="8" t="n"/>
      <c r="N967" s="7" t="n"/>
      <c r="O967" s="8" t="n"/>
      <c r="P967" s="6" t="n"/>
      <c r="Q967" s="8" t="n"/>
      <c r="S967" s="8">
        <f>IF(B967="","",E967*F967)</f>
        <v/>
      </c>
      <c r="T967" s="8">
        <f>IF(OR(B967="",N(G967)=0),"",ABS(F967-G967)*E967)</f>
        <v/>
      </c>
      <c r="U967" s="8">
        <f>IF(OR(B967="",P967=""),"",IF(D967="Venda",-1,1)*((N(J967)*N(K967)+N(L967)*N(M967)+N(N967)*N(O967))-(N(J967)+N(L967)+N(N967))*F967)-N(Q967))</f>
        <v/>
      </c>
      <c r="V967" s="9">
        <f>IF(OR(B967="",P967=""),"",U967/S967)</f>
        <v/>
      </c>
      <c r="W967">
        <f>IF(OR(B967="",P967=""),"",NETWORKDAYS(C967,P967)-1)</f>
        <v/>
      </c>
      <c r="X967">
        <f>IF(B967="","",IF(P967="","Aberto","Fechado"))</f>
        <v/>
      </c>
    </row>
    <row r="968">
      <c r="C968" s="6" t="n"/>
      <c r="E968" s="7" t="n"/>
      <c r="F968" s="8" t="n"/>
      <c r="G968" s="8" t="n"/>
      <c r="H968" s="8" t="n"/>
      <c r="J968" s="7" t="n"/>
      <c r="K968" s="8" t="n"/>
      <c r="L968" s="7" t="n"/>
      <c r="M968" s="8" t="n"/>
      <c r="N968" s="7" t="n"/>
      <c r="O968" s="8" t="n"/>
      <c r="P968" s="6" t="n"/>
      <c r="Q968" s="8" t="n"/>
      <c r="S968" s="8">
        <f>IF(B968="","",E968*F968)</f>
        <v/>
      </c>
      <c r="T968" s="8">
        <f>IF(OR(B968="",N(G968)=0),"",ABS(F968-G968)*E968)</f>
        <v/>
      </c>
      <c r="U968" s="8">
        <f>IF(OR(B968="",P968=""),"",IF(D968="Venda",-1,1)*((N(J968)*N(K968)+N(L968)*N(M968)+N(N968)*N(O968))-(N(J968)+N(L968)+N(N968))*F968)-N(Q968))</f>
        <v/>
      </c>
      <c r="V968" s="9">
        <f>IF(OR(B968="",P968=""),"",U968/S968)</f>
        <v/>
      </c>
      <c r="W968">
        <f>IF(OR(B968="",P968=""),"",NETWORKDAYS(C968,P968)-1)</f>
        <v/>
      </c>
      <c r="X968">
        <f>IF(B968="","",IF(P968="","Aberto","Fechado"))</f>
        <v/>
      </c>
    </row>
    <row r="969">
      <c r="C969" s="6" t="n"/>
      <c r="E969" s="7" t="n"/>
      <c r="F969" s="8" t="n"/>
      <c r="G969" s="8" t="n"/>
      <c r="H969" s="8" t="n"/>
      <c r="J969" s="7" t="n"/>
      <c r="K969" s="8" t="n"/>
      <c r="L969" s="7" t="n"/>
      <c r="M969" s="8" t="n"/>
      <c r="N969" s="7" t="n"/>
      <c r="O969" s="8" t="n"/>
      <c r="P969" s="6" t="n"/>
      <c r="Q969" s="8" t="n"/>
      <c r="S969" s="8">
        <f>IF(B969="","",E969*F969)</f>
        <v/>
      </c>
      <c r="T969" s="8">
        <f>IF(OR(B969="",N(G969)=0),"",ABS(F969-G969)*E969)</f>
        <v/>
      </c>
      <c r="U969" s="8">
        <f>IF(OR(B969="",P969=""),"",IF(D969="Venda",-1,1)*((N(J969)*N(K969)+N(L969)*N(M969)+N(N969)*N(O969))-(N(J969)+N(L969)+N(N969))*F969)-N(Q969))</f>
        <v/>
      </c>
      <c r="V969" s="9">
        <f>IF(OR(B969="",P969=""),"",U969/S969)</f>
        <v/>
      </c>
      <c r="W969">
        <f>IF(OR(B969="",P969=""),"",NETWORKDAYS(C969,P969)-1)</f>
        <v/>
      </c>
      <c r="X969">
        <f>IF(B969="","",IF(P969="","Aberto","Fechado"))</f>
        <v/>
      </c>
    </row>
    <row r="970">
      <c r="C970" s="6" t="n"/>
      <c r="E970" s="7" t="n"/>
      <c r="F970" s="8" t="n"/>
      <c r="G970" s="8" t="n"/>
      <c r="H970" s="8" t="n"/>
      <c r="J970" s="7" t="n"/>
      <c r="K970" s="8" t="n"/>
      <c r="L970" s="7" t="n"/>
      <c r="M970" s="8" t="n"/>
      <c r="N970" s="7" t="n"/>
      <c r="O970" s="8" t="n"/>
      <c r="P970" s="6" t="n"/>
      <c r="Q970" s="8" t="n"/>
      <c r="S970" s="8">
        <f>IF(B970="","",E970*F970)</f>
        <v/>
      </c>
      <c r="T970" s="8">
        <f>IF(OR(B970="",N(G970)=0),"",ABS(F970-G970)*E970)</f>
        <v/>
      </c>
      <c r="U970" s="8">
        <f>IF(OR(B970="",P970=""),"",IF(D970="Venda",-1,1)*((N(J970)*N(K970)+N(L970)*N(M970)+N(N970)*N(O970))-(N(J970)+N(L970)+N(N970))*F970)-N(Q970))</f>
        <v/>
      </c>
      <c r="V970" s="9">
        <f>IF(OR(B970="",P970=""),"",U970/S970)</f>
        <v/>
      </c>
      <c r="W970">
        <f>IF(OR(B970="",P970=""),"",NETWORKDAYS(C970,P970)-1)</f>
        <v/>
      </c>
      <c r="X970">
        <f>IF(B970="","",IF(P970="","Aberto","Fechado"))</f>
        <v/>
      </c>
    </row>
    <row r="971">
      <c r="C971" s="6" t="n"/>
      <c r="E971" s="7" t="n"/>
      <c r="F971" s="8" t="n"/>
      <c r="G971" s="8" t="n"/>
      <c r="H971" s="8" t="n"/>
      <c r="J971" s="7" t="n"/>
      <c r="K971" s="8" t="n"/>
      <c r="L971" s="7" t="n"/>
      <c r="M971" s="8" t="n"/>
      <c r="N971" s="7" t="n"/>
      <c r="O971" s="8" t="n"/>
      <c r="P971" s="6" t="n"/>
      <c r="Q971" s="8" t="n"/>
      <c r="S971" s="8">
        <f>IF(B971="","",E971*F971)</f>
        <v/>
      </c>
      <c r="T971" s="8">
        <f>IF(OR(B971="",N(G971)=0),"",ABS(F971-G971)*E971)</f>
        <v/>
      </c>
      <c r="U971" s="8">
        <f>IF(OR(B971="",P971=""),"",IF(D971="Venda",-1,1)*((N(J971)*N(K971)+N(L971)*N(M971)+N(N971)*N(O971))-(N(J971)+N(L971)+N(N971))*F971)-N(Q971))</f>
        <v/>
      </c>
      <c r="V971" s="9">
        <f>IF(OR(B971="",P971=""),"",U971/S971)</f>
        <v/>
      </c>
      <c r="W971">
        <f>IF(OR(B971="",P971=""),"",NETWORKDAYS(C971,P971)-1)</f>
        <v/>
      </c>
      <c r="X971">
        <f>IF(B971="","",IF(P971="","Aberto","Fechado"))</f>
        <v/>
      </c>
    </row>
    <row r="972">
      <c r="C972" s="6" t="n"/>
      <c r="E972" s="7" t="n"/>
      <c r="F972" s="8" t="n"/>
      <c r="G972" s="8" t="n"/>
      <c r="H972" s="8" t="n"/>
      <c r="J972" s="7" t="n"/>
      <c r="K972" s="8" t="n"/>
      <c r="L972" s="7" t="n"/>
      <c r="M972" s="8" t="n"/>
      <c r="N972" s="7" t="n"/>
      <c r="O972" s="8" t="n"/>
      <c r="P972" s="6" t="n"/>
      <c r="Q972" s="8" t="n"/>
      <c r="S972" s="8">
        <f>IF(B972="","",E972*F972)</f>
        <v/>
      </c>
      <c r="T972" s="8">
        <f>IF(OR(B972="",N(G972)=0),"",ABS(F972-G972)*E972)</f>
        <v/>
      </c>
      <c r="U972" s="8">
        <f>IF(OR(B972="",P972=""),"",IF(D972="Venda",-1,1)*((N(J972)*N(K972)+N(L972)*N(M972)+N(N972)*N(O972))-(N(J972)+N(L972)+N(N972))*F972)-N(Q972))</f>
        <v/>
      </c>
      <c r="V972" s="9">
        <f>IF(OR(B972="",P972=""),"",U972/S972)</f>
        <v/>
      </c>
      <c r="W972">
        <f>IF(OR(B972="",P972=""),"",NETWORKDAYS(C972,P972)-1)</f>
        <v/>
      </c>
      <c r="X972">
        <f>IF(B972="","",IF(P972="","Aberto","Fechado"))</f>
        <v/>
      </c>
    </row>
    <row r="973">
      <c r="C973" s="6" t="n"/>
      <c r="E973" s="7" t="n"/>
      <c r="F973" s="8" t="n"/>
      <c r="G973" s="8" t="n"/>
      <c r="H973" s="8" t="n"/>
      <c r="J973" s="7" t="n"/>
      <c r="K973" s="8" t="n"/>
      <c r="L973" s="7" t="n"/>
      <c r="M973" s="8" t="n"/>
      <c r="N973" s="7" t="n"/>
      <c r="O973" s="8" t="n"/>
      <c r="P973" s="6" t="n"/>
      <c r="Q973" s="8" t="n"/>
      <c r="S973" s="8">
        <f>IF(B973="","",E973*F973)</f>
        <v/>
      </c>
      <c r="T973" s="8">
        <f>IF(OR(B973="",N(G973)=0),"",ABS(F973-G973)*E973)</f>
        <v/>
      </c>
      <c r="U973" s="8">
        <f>IF(OR(B973="",P973=""),"",IF(D973="Venda",-1,1)*((N(J973)*N(K973)+N(L973)*N(M973)+N(N973)*N(O973))-(N(J973)+N(L973)+N(N973))*F973)-N(Q973))</f>
        <v/>
      </c>
      <c r="V973" s="9">
        <f>IF(OR(B973="",P973=""),"",U973/S973)</f>
        <v/>
      </c>
      <c r="W973">
        <f>IF(OR(B973="",P973=""),"",NETWORKDAYS(C973,P973)-1)</f>
        <v/>
      </c>
      <c r="X973">
        <f>IF(B973="","",IF(P973="","Aberto","Fechado"))</f>
        <v/>
      </c>
    </row>
    <row r="974">
      <c r="C974" s="6" t="n"/>
      <c r="E974" s="7" t="n"/>
      <c r="F974" s="8" t="n"/>
      <c r="G974" s="8" t="n"/>
      <c r="H974" s="8" t="n"/>
      <c r="J974" s="7" t="n"/>
      <c r="K974" s="8" t="n"/>
      <c r="L974" s="7" t="n"/>
      <c r="M974" s="8" t="n"/>
      <c r="N974" s="7" t="n"/>
      <c r="O974" s="8" t="n"/>
      <c r="P974" s="6" t="n"/>
      <c r="Q974" s="8" t="n"/>
      <c r="S974" s="8">
        <f>IF(B974="","",E974*F974)</f>
        <v/>
      </c>
      <c r="T974" s="8">
        <f>IF(OR(B974="",N(G974)=0),"",ABS(F974-G974)*E974)</f>
        <v/>
      </c>
      <c r="U974" s="8">
        <f>IF(OR(B974="",P974=""),"",IF(D974="Venda",-1,1)*((N(J974)*N(K974)+N(L974)*N(M974)+N(N974)*N(O974))-(N(J974)+N(L974)+N(N974))*F974)-N(Q974))</f>
        <v/>
      </c>
      <c r="V974" s="9">
        <f>IF(OR(B974="",P974=""),"",U974/S974)</f>
        <v/>
      </c>
      <c r="W974">
        <f>IF(OR(B974="",P974=""),"",NETWORKDAYS(C974,P974)-1)</f>
        <v/>
      </c>
      <c r="X974">
        <f>IF(B974="","",IF(P974="","Aberto","Fechado"))</f>
        <v/>
      </c>
    </row>
    <row r="975">
      <c r="C975" s="6" t="n"/>
      <c r="E975" s="7" t="n"/>
      <c r="F975" s="8" t="n"/>
      <c r="G975" s="8" t="n"/>
      <c r="H975" s="8" t="n"/>
      <c r="J975" s="7" t="n"/>
      <c r="K975" s="8" t="n"/>
      <c r="L975" s="7" t="n"/>
      <c r="M975" s="8" t="n"/>
      <c r="N975" s="7" t="n"/>
      <c r="O975" s="8" t="n"/>
      <c r="P975" s="6" t="n"/>
      <c r="Q975" s="8" t="n"/>
      <c r="S975" s="8">
        <f>IF(B975="","",E975*F975)</f>
        <v/>
      </c>
      <c r="T975" s="8">
        <f>IF(OR(B975="",N(G975)=0),"",ABS(F975-G975)*E975)</f>
        <v/>
      </c>
      <c r="U975" s="8">
        <f>IF(OR(B975="",P975=""),"",IF(D975="Venda",-1,1)*((N(J975)*N(K975)+N(L975)*N(M975)+N(N975)*N(O975))-(N(J975)+N(L975)+N(N975))*F975)-N(Q975))</f>
        <v/>
      </c>
      <c r="V975" s="9">
        <f>IF(OR(B975="",P975=""),"",U975/S975)</f>
        <v/>
      </c>
      <c r="W975">
        <f>IF(OR(B975="",P975=""),"",NETWORKDAYS(C975,P975)-1)</f>
        <v/>
      </c>
      <c r="X975">
        <f>IF(B975="","",IF(P975="","Aberto","Fechado"))</f>
        <v/>
      </c>
    </row>
    <row r="976">
      <c r="C976" s="6" t="n"/>
      <c r="E976" s="7" t="n"/>
      <c r="F976" s="8" t="n"/>
      <c r="G976" s="8" t="n"/>
      <c r="H976" s="8" t="n"/>
      <c r="J976" s="7" t="n"/>
      <c r="K976" s="8" t="n"/>
      <c r="L976" s="7" t="n"/>
      <c r="M976" s="8" t="n"/>
      <c r="N976" s="7" t="n"/>
      <c r="O976" s="8" t="n"/>
      <c r="P976" s="6" t="n"/>
      <c r="Q976" s="8" t="n"/>
      <c r="S976" s="8">
        <f>IF(B976="","",E976*F976)</f>
        <v/>
      </c>
      <c r="T976" s="8">
        <f>IF(OR(B976="",N(G976)=0),"",ABS(F976-G976)*E976)</f>
        <v/>
      </c>
      <c r="U976" s="8">
        <f>IF(OR(B976="",P976=""),"",IF(D976="Venda",-1,1)*((N(J976)*N(K976)+N(L976)*N(M976)+N(N976)*N(O976))-(N(J976)+N(L976)+N(N976))*F976)-N(Q976))</f>
        <v/>
      </c>
      <c r="V976" s="9">
        <f>IF(OR(B976="",P976=""),"",U976/S976)</f>
        <v/>
      </c>
      <c r="W976">
        <f>IF(OR(B976="",P976=""),"",NETWORKDAYS(C976,P976)-1)</f>
        <v/>
      </c>
      <c r="X976">
        <f>IF(B976="","",IF(P976="","Aberto","Fechado"))</f>
        <v/>
      </c>
    </row>
    <row r="977">
      <c r="C977" s="6" t="n"/>
      <c r="E977" s="7" t="n"/>
      <c r="F977" s="8" t="n"/>
      <c r="G977" s="8" t="n"/>
      <c r="H977" s="8" t="n"/>
      <c r="J977" s="7" t="n"/>
      <c r="K977" s="8" t="n"/>
      <c r="L977" s="7" t="n"/>
      <c r="M977" s="8" t="n"/>
      <c r="N977" s="7" t="n"/>
      <c r="O977" s="8" t="n"/>
      <c r="P977" s="6" t="n"/>
      <c r="Q977" s="8" t="n"/>
      <c r="S977" s="8">
        <f>IF(B977="","",E977*F977)</f>
        <v/>
      </c>
      <c r="T977" s="8">
        <f>IF(OR(B977="",N(G977)=0),"",ABS(F977-G977)*E977)</f>
        <v/>
      </c>
      <c r="U977" s="8">
        <f>IF(OR(B977="",P977=""),"",IF(D977="Venda",-1,1)*((N(J977)*N(K977)+N(L977)*N(M977)+N(N977)*N(O977))-(N(J977)+N(L977)+N(N977))*F977)-N(Q977))</f>
        <v/>
      </c>
      <c r="V977" s="9">
        <f>IF(OR(B977="",P977=""),"",U977/S977)</f>
        <v/>
      </c>
      <c r="W977">
        <f>IF(OR(B977="",P977=""),"",NETWORKDAYS(C977,P977)-1)</f>
        <v/>
      </c>
      <c r="X977">
        <f>IF(B977="","",IF(P977="","Aberto","Fechado"))</f>
        <v/>
      </c>
    </row>
    <row r="978">
      <c r="C978" s="6" t="n"/>
      <c r="E978" s="7" t="n"/>
      <c r="F978" s="8" t="n"/>
      <c r="G978" s="8" t="n"/>
      <c r="H978" s="8" t="n"/>
      <c r="J978" s="7" t="n"/>
      <c r="K978" s="8" t="n"/>
      <c r="L978" s="7" t="n"/>
      <c r="M978" s="8" t="n"/>
      <c r="N978" s="7" t="n"/>
      <c r="O978" s="8" t="n"/>
      <c r="P978" s="6" t="n"/>
      <c r="Q978" s="8" t="n"/>
      <c r="S978" s="8">
        <f>IF(B978="","",E978*F978)</f>
        <v/>
      </c>
      <c r="T978" s="8">
        <f>IF(OR(B978="",N(G978)=0),"",ABS(F978-G978)*E978)</f>
        <v/>
      </c>
      <c r="U978" s="8">
        <f>IF(OR(B978="",P978=""),"",IF(D978="Venda",-1,1)*((N(J978)*N(K978)+N(L978)*N(M978)+N(N978)*N(O978))-(N(J978)+N(L978)+N(N978))*F978)-N(Q978))</f>
        <v/>
      </c>
      <c r="V978" s="9">
        <f>IF(OR(B978="",P978=""),"",U978/S978)</f>
        <v/>
      </c>
      <c r="W978">
        <f>IF(OR(B978="",P978=""),"",NETWORKDAYS(C978,P978)-1)</f>
        <v/>
      </c>
      <c r="X978">
        <f>IF(B978="","",IF(P978="","Aberto","Fechado"))</f>
        <v/>
      </c>
    </row>
    <row r="979">
      <c r="C979" s="6" t="n"/>
      <c r="E979" s="7" t="n"/>
      <c r="F979" s="8" t="n"/>
      <c r="G979" s="8" t="n"/>
      <c r="H979" s="8" t="n"/>
      <c r="J979" s="7" t="n"/>
      <c r="K979" s="8" t="n"/>
      <c r="L979" s="7" t="n"/>
      <c r="M979" s="8" t="n"/>
      <c r="N979" s="7" t="n"/>
      <c r="O979" s="8" t="n"/>
      <c r="P979" s="6" t="n"/>
      <c r="Q979" s="8" t="n"/>
      <c r="S979" s="8">
        <f>IF(B979="","",E979*F979)</f>
        <v/>
      </c>
      <c r="T979" s="8">
        <f>IF(OR(B979="",N(G979)=0),"",ABS(F979-G979)*E979)</f>
        <v/>
      </c>
      <c r="U979" s="8">
        <f>IF(OR(B979="",P979=""),"",IF(D979="Venda",-1,1)*((N(J979)*N(K979)+N(L979)*N(M979)+N(N979)*N(O979))-(N(J979)+N(L979)+N(N979))*F979)-N(Q979))</f>
        <v/>
      </c>
      <c r="V979" s="9">
        <f>IF(OR(B979="",P979=""),"",U979/S979)</f>
        <v/>
      </c>
      <c r="W979">
        <f>IF(OR(B979="",P979=""),"",NETWORKDAYS(C979,P979)-1)</f>
        <v/>
      </c>
      <c r="X979">
        <f>IF(B979="","",IF(P979="","Aberto","Fechado"))</f>
        <v/>
      </c>
    </row>
    <row r="980">
      <c r="C980" s="6" t="n"/>
      <c r="E980" s="7" t="n"/>
      <c r="F980" s="8" t="n"/>
      <c r="G980" s="8" t="n"/>
      <c r="H980" s="8" t="n"/>
      <c r="J980" s="7" t="n"/>
      <c r="K980" s="8" t="n"/>
      <c r="L980" s="7" t="n"/>
      <c r="M980" s="8" t="n"/>
      <c r="N980" s="7" t="n"/>
      <c r="O980" s="8" t="n"/>
      <c r="P980" s="6" t="n"/>
      <c r="Q980" s="8" t="n"/>
      <c r="S980" s="8">
        <f>IF(B980="","",E980*F980)</f>
        <v/>
      </c>
      <c r="T980" s="8">
        <f>IF(OR(B980="",N(G980)=0),"",ABS(F980-G980)*E980)</f>
        <v/>
      </c>
      <c r="U980" s="8">
        <f>IF(OR(B980="",P980=""),"",IF(D980="Venda",-1,1)*((N(J980)*N(K980)+N(L980)*N(M980)+N(N980)*N(O980))-(N(J980)+N(L980)+N(N980))*F980)-N(Q980))</f>
        <v/>
      </c>
      <c r="V980" s="9">
        <f>IF(OR(B980="",P980=""),"",U980/S980)</f>
        <v/>
      </c>
      <c r="W980">
        <f>IF(OR(B980="",P980=""),"",NETWORKDAYS(C980,P980)-1)</f>
        <v/>
      </c>
      <c r="X980">
        <f>IF(B980="","",IF(P980="","Aberto","Fechado"))</f>
        <v/>
      </c>
    </row>
    <row r="981">
      <c r="C981" s="6" t="n"/>
      <c r="E981" s="7" t="n"/>
      <c r="F981" s="8" t="n"/>
      <c r="G981" s="8" t="n"/>
      <c r="H981" s="8" t="n"/>
      <c r="J981" s="7" t="n"/>
      <c r="K981" s="8" t="n"/>
      <c r="L981" s="7" t="n"/>
      <c r="M981" s="8" t="n"/>
      <c r="N981" s="7" t="n"/>
      <c r="O981" s="8" t="n"/>
      <c r="P981" s="6" t="n"/>
      <c r="Q981" s="8" t="n"/>
      <c r="S981" s="8">
        <f>IF(B981="","",E981*F981)</f>
        <v/>
      </c>
      <c r="T981" s="8">
        <f>IF(OR(B981="",N(G981)=0),"",ABS(F981-G981)*E981)</f>
        <v/>
      </c>
      <c r="U981" s="8">
        <f>IF(OR(B981="",P981=""),"",IF(D981="Venda",-1,1)*((N(J981)*N(K981)+N(L981)*N(M981)+N(N981)*N(O981))-(N(J981)+N(L981)+N(N981))*F981)-N(Q981))</f>
        <v/>
      </c>
      <c r="V981" s="9">
        <f>IF(OR(B981="",P981=""),"",U981/S981)</f>
        <v/>
      </c>
      <c r="W981">
        <f>IF(OR(B981="",P981=""),"",NETWORKDAYS(C981,P981)-1)</f>
        <v/>
      </c>
      <c r="X981">
        <f>IF(B981="","",IF(P981="","Aberto","Fechado"))</f>
        <v/>
      </c>
    </row>
    <row r="982">
      <c r="C982" s="6" t="n"/>
      <c r="E982" s="7" t="n"/>
      <c r="F982" s="8" t="n"/>
      <c r="G982" s="8" t="n"/>
      <c r="H982" s="8" t="n"/>
      <c r="J982" s="7" t="n"/>
      <c r="K982" s="8" t="n"/>
      <c r="L982" s="7" t="n"/>
      <c r="M982" s="8" t="n"/>
      <c r="N982" s="7" t="n"/>
      <c r="O982" s="8" t="n"/>
      <c r="P982" s="6" t="n"/>
      <c r="Q982" s="8" t="n"/>
      <c r="S982" s="8">
        <f>IF(B982="","",E982*F982)</f>
        <v/>
      </c>
      <c r="T982" s="8">
        <f>IF(OR(B982="",N(G982)=0),"",ABS(F982-G982)*E982)</f>
        <v/>
      </c>
      <c r="U982" s="8">
        <f>IF(OR(B982="",P982=""),"",IF(D982="Venda",-1,1)*((N(J982)*N(K982)+N(L982)*N(M982)+N(N982)*N(O982))-(N(J982)+N(L982)+N(N982))*F982)-N(Q982))</f>
        <v/>
      </c>
      <c r="V982" s="9">
        <f>IF(OR(B982="",P982=""),"",U982/S982)</f>
        <v/>
      </c>
      <c r="W982">
        <f>IF(OR(B982="",P982=""),"",NETWORKDAYS(C982,P982)-1)</f>
        <v/>
      </c>
      <c r="X982">
        <f>IF(B982="","",IF(P982="","Aberto","Fechado"))</f>
        <v/>
      </c>
    </row>
    <row r="983">
      <c r="C983" s="6" t="n"/>
      <c r="E983" s="7" t="n"/>
      <c r="F983" s="8" t="n"/>
      <c r="G983" s="8" t="n"/>
      <c r="H983" s="8" t="n"/>
      <c r="J983" s="7" t="n"/>
      <c r="K983" s="8" t="n"/>
      <c r="L983" s="7" t="n"/>
      <c r="M983" s="8" t="n"/>
      <c r="N983" s="7" t="n"/>
      <c r="O983" s="8" t="n"/>
      <c r="P983" s="6" t="n"/>
      <c r="Q983" s="8" t="n"/>
      <c r="S983" s="8">
        <f>IF(B983="","",E983*F983)</f>
        <v/>
      </c>
      <c r="T983" s="8">
        <f>IF(OR(B983="",N(G983)=0),"",ABS(F983-G983)*E983)</f>
        <v/>
      </c>
      <c r="U983" s="8">
        <f>IF(OR(B983="",P983=""),"",IF(D983="Venda",-1,1)*((N(J983)*N(K983)+N(L983)*N(M983)+N(N983)*N(O983))-(N(J983)+N(L983)+N(N983))*F983)-N(Q983))</f>
        <v/>
      </c>
      <c r="V983" s="9">
        <f>IF(OR(B983="",P983=""),"",U983/S983)</f>
        <v/>
      </c>
      <c r="W983">
        <f>IF(OR(B983="",P983=""),"",NETWORKDAYS(C983,P983)-1)</f>
        <v/>
      </c>
      <c r="X983">
        <f>IF(B983="","",IF(P983="","Aberto","Fechado"))</f>
        <v/>
      </c>
    </row>
    <row r="984">
      <c r="C984" s="6" t="n"/>
      <c r="E984" s="7" t="n"/>
      <c r="F984" s="8" t="n"/>
      <c r="G984" s="8" t="n"/>
      <c r="H984" s="8" t="n"/>
      <c r="J984" s="7" t="n"/>
      <c r="K984" s="8" t="n"/>
      <c r="L984" s="7" t="n"/>
      <c r="M984" s="8" t="n"/>
      <c r="N984" s="7" t="n"/>
      <c r="O984" s="8" t="n"/>
      <c r="P984" s="6" t="n"/>
      <c r="Q984" s="8" t="n"/>
      <c r="S984" s="8">
        <f>IF(B984="","",E984*F984)</f>
        <v/>
      </c>
      <c r="T984" s="8">
        <f>IF(OR(B984="",N(G984)=0),"",ABS(F984-G984)*E984)</f>
        <v/>
      </c>
      <c r="U984" s="8">
        <f>IF(OR(B984="",P984=""),"",IF(D984="Venda",-1,1)*((N(J984)*N(K984)+N(L984)*N(M984)+N(N984)*N(O984))-(N(J984)+N(L984)+N(N984))*F984)-N(Q984))</f>
        <v/>
      </c>
      <c r="V984" s="9">
        <f>IF(OR(B984="",P984=""),"",U984/S984)</f>
        <v/>
      </c>
      <c r="W984">
        <f>IF(OR(B984="",P984=""),"",NETWORKDAYS(C984,P984)-1)</f>
        <v/>
      </c>
      <c r="X984">
        <f>IF(B984="","",IF(P984="","Aberto","Fechado"))</f>
        <v/>
      </c>
    </row>
    <row r="985">
      <c r="C985" s="6" t="n"/>
      <c r="E985" s="7" t="n"/>
      <c r="F985" s="8" t="n"/>
      <c r="G985" s="8" t="n"/>
      <c r="H985" s="8" t="n"/>
      <c r="J985" s="7" t="n"/>
      <c r="K985" s="8" t="n"/>
      <c r="L985" s="7" t="n"/>
      <c r="M985" s="8" t="n"/>
      <c r="N985" s="7" t="n"/>
      <c r="O985" s="8" t="n"/>
      <c r="P985" s="6" t="n"/>
      <c r="Q985" s="8" t="n"/>
      <c r="S985" s="8">
        <f>IF(B985="","",E985*F985)</f>
        <v/>
      </c>
      <c r="T985" s="8">
        <f>IF(OR(B985="",N(G985)=0),"",ABS(F985-G985)*E985)</f>
        <v/>
      </c>
      <c r="U985" s="8">
        <f>IF(OR(B985="",P985=""),"",IF(D985="Venda",-1,1)*((N(J985)*N(K985)+N(L985)*N(M985)+N(N985)*N(O985))-(N(J985)+N(L985)+N(N985))*F985)-N(Q985))</f>
        <v/>
      </c>
      <c r="V985" s="9">
        <f>IF(OR(B985="",P985=""),"",U985/S985)</f>
        <v/>
      </c>
      <c r="W985">
        <f>IF(OR(B985="",P985=""),"",NETWORKDAYS(C985,P985)-1)</f>
        <v/>
      </c>
      <c r="X985">
        <f>IF(B985="","",IF(P985="","Aberto","Fechado"))</f>
        <v/>
      </c>
    </row>
    <row r="986">
      <c r="C986" s="6" t="n"/>
      <c r="E986" s="7" t="n"/>
      <c r="F986" s="8" t="n"/>
      <c r="G986" s="8" t="n"/>
      <c r="H986" s="8" t="n"/>
      <c r="J986" s="7" t="n"/>
      <c r="K986" s="8" t="n"/>
      <c r="L986" s="7" t="n"/>
      <c r="M986" s="8" t="n"/>
      <c r="N986" s="7" t="n"/>
      <c r="O986" s="8" t="n"/>
      <c r="P986" s="6" t="n"/>
      <c r="Q986" s="8" t="n"/>
      <c r="S986" s="8">
        <f>IF(B986="","",E986*F986)</f>
        <v/>
      </c>
      <c r="T986" s="8">
        <f>IF(OR(B986="",N(G986)=0),"",ABS(F986-G986)*E986)</f>
        <v/>
      </c>
      <c r="U986" s="8">
        <f>IF(OR(B986="",P986=""),"",IF(D986="Venda",-1,1)*((N(J986)*N(K986)+N(L986)*N(M986)+N(N986)*N(O986))-(N(J986)+N(L986)+N(N986))*F986)-N(Q986))</f>
        <v/>
      </c>
      <c r="V986" s="9">
        <f>IF(OR(B986="",P986=""),"",U986/S986)</f>
        <v/>
      </c>
      <c r="W986">
        <f>IF(OR(B986="",P986=""),"",NETWORKDAYS(C986,P986)-1)</f>
        <v/>
      </c>
      <c r="X986">
        <f>IF(B986="","",IF(P986="","Aberto","Fechado"))</f>
        <v/>
      </c>
    </row>
    <row r="987">
      <c r="C987" s="6" t="n"/>
      <c r="E987" s="7" t="n"/>
      <c r="F987" s="8" t="n"/>
      <c r="G987" s="8" t="n"/>
      <c r="H987" s="8" t="n"/>
      <c r="J987" s="7" t="n"/>
      <c r="K987" s="8" t="n"/>
      <c r="L987" s="7" t="n"/>
      <c r="M987" s="8" t="n"/>
      <c r="N987" s="7" t="n"/>
      <c r="O987" s="8" t="n"/>
      <c r="P987" s="6" t="n"/>
      <c r="Q987" s="8" t="n"/>
      <c r="S987" s="8">
        <f>IF(B987="","",E987*F987)</f>
        <v/>
      </c>
      <c r="T987" s="8">
        <f>IF(OR(B987="",N(G987)=0),"",ABS(F987-G987)*E987)</f>
        <v/>
      </c>
      <c r="U987" s="8">
        <f>IF(OR(B987="",P987=""),"",IF(D987="Venda",-1,1)*((N(J987)*N(K987)+N(L987)*N(M987)+N(N987)*N(O987))-(N(J987)+N(L987)+N(N987))*F987)-N(Q987))</f>
        <v/>
      </c>
      <c r="V987" s="9">
        <f>IF(OR(B987="",P987=""),"",U987/S987)</f>
        <v/>
      </c>
      <c r="W987">
        <f>IF(OR(B987="",P987=""),"",NETWORKDAYS(C987,P987)-1)</f>
        <v/>
      </c>
      <c r="X987">
        <f>IF(B987="","",IF(P987="","Aberto","Fechado"))</f>
        <v/>
      </c>
    </row>
    <row r="988">
      <c r="C988" s="6" t="n"/>
      <c r="E988" s="7" t="n"/>
      <c r="F988" s="8" t="n"/>
      <c r="G988" s="8" t="n"/>
      <c r="H988" s="8" t="n"/>
      <c r="J988" s="7" t="n"/>
      <c r="K988" s="8" t="n"/>
      <c r="L988" s="7" t="n"/>
      <c r="M988" s="8" t="n"/>
      <c r="N988" s="7" t="n"/>
      <c r="O988" s="8" t="n"/>
      <c r="P988" s="6" t="n"/>
      <c r="Q988" s="8" t="n"/>
      <c r="S988" s="8">
        <f>IF(B988="","",E988*F988)</f>
        <v/>
      </c>
      <c r="T988" s="8">
        <f>IF(OR(B988="",N(G988)=0),"",ABS(F988-G988)*E988)</f>
        <v/>
      </c>
      <c r="U988" s="8">
        <f>IF(OR(B988="",P988=""),"",IF(D988="Venda",-1,1)*((N(J988)*N(K988)+N(L988)*N(M988)+N(N988)*N(O988))-(N(J988)+N(L988)+N(N988))*F988)-N(Q988))</f>
        <v/>
      </c>
      <c r="V988" s="9">
        <f>IF(OR(B988="",P988=""),"",U988/S988)</f>
        <v/>
      </c>
      <c r="W988">
        <f>IF(OR(B988="",P988=""),"",NETWORKDAYS(C988,P988)-1)</f>
        <v/>
      </c>
      <c r="X988">
        <f>IF(B988="","",IF(P988="","Aberto","Fechado"))</f>
        <v/>
      </c>
    </row>
    <row r="989">
      <c r="C989" s="6" t="n"/>
      <c r="E989" s="7" t="n"/>
      <c r="F989" s="8" t="n"/>
      <c r="G989" s="8" t="n"/>
      <c r="H989" s="8" t="n"/>
      <c r="J989" s="7" t="n"/>
      <c r="K989" s="8" t="n"/>
      <c r="L989" s="7" t="n"/>
      <c r="M989" s="8" t="n"/>
      <c r="N989" s="7" t="n"/>
      <c r="O989" s="8" t="n"/>
      <c r="P989" s="6" t="n"/>
      <c r="Q989" s="8" t="n"/>
      <c r="S989" s="8">
        <f>IF(B989="","",E989*F989)</f>
        <v/>
      </c>
      <c r="T989" s="8">
        <f>IF(OR(B989="",N(G989)=0),"",ABS(F989-G989)*E989)</f>
        <v/>
      </c>
      <c r="U989" s="8">
        <f>IF(OR(B989="",P989=""),"",IF(D989="Venda",-1,1)*((N(J989)*N(K989)+N(L989)*N(M989)+N(N989)*N(O989))-(N(J989)+N(L989)+N(N989))*F989)-N(Q989))</f>
        <v/>
      </c>
      <c r="V989" s="9">
        <f>IF(OR(B989="",P989=""),"",U989/S989)</f>
        <v/>
      </c>
      <c r="W989">
        <f>IF(OR(B989="",P989=""),"",NETWORKDAYS(C989,P989)-1)</f>
        <v/>
      </c>
      <c r="X989">
        <f>IF(B989="","",IF(P989="","Aberto","Fechado"))</f>
        <v/>
      </c>
    </row>
    <row r="990">
      <c r="C990" s="6" t="n"/>
      <c r="E990" s="7" t="n"/>
      <c r="F990" s="8" t="n"/>
      <c r="G990" s="8" t="n"/>
      <c r="H990" s="8" t="n"/>
      <c r="J990" s="7" t="n"/>
      <c r="K990" s="8" t="n"/>
      <c r="L990" s="7" t="n"/>
      <c r="M990" s="8" t="n"/>
      <c r="N990" s="7" t="n"/>
      <c r="O990" s="8" t="n"/>
      <c r="P990" s="6" t="n"/>
      <c r="Q990" s="8" t="n"/>
      <c r="S990" s="8">
        <f>IF(B990="","",E990*F990)</f>
        <v/>
      </c>
      <c r="T990" s="8">
        <f>IF(OR(B990="",N(G990)=0),"",ABS(F990-G990)*E990)</f>
        <v/>
      </c>
      <c r="U990" s="8">
        <f>IF(OR(B990="",P990=""),"",IF(D990="Venda",-1,1)*((N(J990)*N(K990)+N(L990)*N(M990)+N(N990)*N(O990))-(N(J990)+N(L990)+N(N990))*F990)-N(Q990))</f>
        <v/>
      </c>
      <c r="V990" s="9">
        <f>IF(OR(B990="",P990=""),"",U990/S990)</f>
        <v/>
      </c>
      <c r="W990">
        <f>IF(OR(B990="",P990=""),"",NETWORKDAYS(C990,P990)-1)</f>
        <v/>
      </c>
      <c r="X990">
        <f>IF(B990="","",IF(P990="","Aberto","Fechado"))</f>
        <v/>
      </c>
    </row>
    <row r="991">
      <c r="C991" s="6" t="n"/>
      <c r="E991" s="7" t="n"/>
      <c r="F991" s="8" t="n"/>
      <c r="G991" s="8" t="n"/>
      <c r="H991" s="8" t="n"/>
      <c r="J991" s="7" t="n"/>
      <c r="K991" s="8" t="n"/>
      <c r="L991" s="7" t="n"/>
      <c r="M991" s="8" t="n"/>
      <c r="N991" s="7" t="n"/>
      <c r="O991" s="8" t="n"/>
      <c r="P991" s="6" t="n"/>
      <c r="Q991" s="8" t="n"/>
      <c r="S991" s="8">
        <f>IF(B991="","",E991*F991)</f>
        <v/>
      </c>
      <c r="T991" s="8">
        <f>IF(OR(B991="",N(G991)=0),"",ABS(F991-G991)*E991)</f>
        <v/>
      </c>
      <c r="U991" s="8">
        <f>IF(OR(B991="",P991=""),"",IF(D991="Venda",-1,1)*((N(J991)*N(K991)+N(L991)*N(M991)+N(N991)*N(O991))-(N(J991)+N(L991)+N(N991))*F991)-N(Q991))</f>
        <v/>
      </c>
      <c r="V991" s="9">
        <f>IF(OR(B991="",P991=""),"",U991/S991)</f>
        <v/>
      </c>
      <c r="W991">
        <f>IF(OR(B991="",P991=""),"",NETWORKDAYS(C991,P991)-1)</f>
        <v/>
      </c>
      <c r="X991">
        <f>IF(B991="","",IF(P991="","Aberto","Fechado"))</f>
        <v/>
      </c>
    </row>
    <row r="992">
      <c r="C992" s="6" t="n"/>
      <c r="E992" s="7" t="n"/>
      <c r="F992" s="8" t="n"/>
      <c r="G992" s="8" t="n"/>
      <c r="H992" s="8" t="n"/>
      <c r="J992" s="7" t="n"/>
      <c r="K992" s="8" t="n"/>
      <c r="L992" s="7" t="n"/>
      <c r="M992" s="8" t="n"/>
      <c r="N992" s="7" t="n"/>
      <c r="O992" s="8" t="n"/>
      <c r="P992" s="6" t="n"/>
      <c r="Q992" s="8" t="n"/>
      <c r="S992" s="8">
        <f>IF(B992="","",E992*F992)</f>
        <v/>
      </c>
      <c r="T992" s="8">
        <f>IF(OR(B992="",N(G992)=0),"",ABS(F992-G992)*E992)</f>
        <v/>
      </c>
      <c r="U992" s="8">
        <f>IF(OR(B992="",P992=""),"",IF(D992="Venda",-1,1)*((N(J992)*N(K992)+N(L992)*N(M992)+N(N992)*N(O992))-(N(J992)+N(L992)+N(N992))*F992)-N(Q992))</f>
        <v/>
      </c>
      <c r="V992" s="9">
        <f>IF(OR(B992="",P992=""),"",U992/S992)</f>
        <v/>
      </c>
      <c r="W992">
        <f>IF(OR(B992="",P992=""),"",NETWORKDAYS(C992,P992)-1)</f>
        <v/>
      </c>
      <c r="X992">
        <f>IF(B992="","",IF(P992="","Aberto","Fechado"))</f>
        <v/>
      </c>
    </row>
    <row r="993">
      <c r="C993" s="6" t="n"/>
      <c r="E993" s="7" t="n"/>
      <c r="F993" s="8" t="n"/>
      <c r="G993" s="8" t="n"/>
      <c r="H993" s="8" t="n"/>
      <c r="J993" s="7" t="n"/>
      <c r="K993" s="8" t="n"/>
      <c r="L993" s="7" t="n"/>
      <c r="M993" s="8" t="n"/>
      <c r="N993" s="7" t="n"/>
      <c r="O993" s="8" t="n"/>
      <c r="P993" s="6" t="n"/>
      <c r="Q993" s="8" t="n"/>
      <c r="S993" s="8">
        <f>IF(B993="","",E993*F993)</f>
        <v/>
      </c>
      <c r="T993" s="8">
        <f>IF(OR(B993="",N(G993)=0),"",ABS(F993-G993)*E993)</f>
        <v/>
      </c>
      <c r="U993" s="8">
        <f>IF(OR(B993="",P993=""),"",IF(D993="Venda",-1,1)*((N(J993)*N(K993)+N(L993)*N(M993)+N(N993)*N(O993))-(N(J993)+N(L993)+N(N993))*F993)-N(Q993))</f>
        <v/>
      </c>
      <c r="V993" s="9">
        <f>IF(OR(B993="",P993=""),"",U993/S993)</f>
        <v/>
      </c>
      <c r="W993">
        <f>IF(OR(B993="",P993=""),"",NETWORKDAYS(C993,P993)-1)</f>
        <v/>
      </c>
      <c r="X993">
        <f>IF(B993="","",IF(P993="","Aberto","Fechado"))</f>
        <v/>
      </c>
    </row>
    <row r="994">
      <c r="C994" s="6" t="n"/>
      <c r="E994" s="7" t="n"/>
      <c r="F994" s="8" t="n"/>
      <c r="G994" s="8" t="n"/>
      <c r="H994" s="8" t="n"/>
      <c r="J994" s="7" t="n"/>
      <c r="K994" s="8" t="n"/>
      <c r="L994" s="7" t="n"/>
      <c r="M994" s="8" t="n"/>
      <c r="N994" s="7" t="n"/>
      <c r="O994" s="8" t="n"/>
      <c r="P994" s="6" t="n"/>
      <c r="Q994" s="8" t="n"/>
      <c r="S994" s="8">
        <f>IF(B994="","",E994*F994)</f>
        <v/>
      </c>
      <c r="T994" s="8">
        <f>IF(OR(B994="",N(G994)=0),"",ABS(F994-G994)*E994)</f>
        <v/>
      </c>
      <c r="U994" s="8">
        <f>IF(OR(B994="",P994=""),"",IF(D994="Venda",-1,1)*((N(J994)*N(K994)+N(L994)*N(M994)+N(N994)*N(O994))-(N(J994)+N(L994)+N(N994))*F994)-N(Q994))</f>
        <v/>
      </c>
      <c r="V994" s="9">
        <f>IF(OR(B994="",P994=""),"",U994/S994)</f>
        <v/>
      </c>
      <c r="W994">
        <f>IF(OR(B994="",P994=""),"",NETWORKDAYS(C994,P994)-1)</f>
        <v/>
      </c>
      <c r="X994">
        <f>IF(B994="","",IF(P994="","Aberto","Fechado"))</f>
        <v/>
      </c>
    </row>
    <row r="995">
      <c r="C995" s="6" t="n"/>
      <c r="E995" s="7" t="n"/>
      <c r="F995" s="8" t="n"/>
      <c r="G995" s="8" t="n"/>
      <c r="H995" s="8" t="n"/>
      <c r="J995" s="7" t="n"/>
      <c r="K995" s="8" t="n"/>
      <c r="L995" s="7" t="n"/>
      <c r="M995" s="8" t="n"/>
      <c r="N995" s="7" t="n"/>
      <c r="O995" s="8" t="n"/>
      <c r="P995" s="6" t="n"/>
      <c r="Q995" s="8" t="n"/>
      <c r="S995" s="8">
        <f>IF(B995="","",E995*F995)</f>
        <v/>
      </c>
      <c r="T995" s="8">
        <f>IF(OR(B995="",N(G995)=0),"",ABS(F995-G995)*E995)</f>
        <v/>
      </c>
      <c r="U995" s="8">
        <f>IF(OR(B995="",P995=""),"",IF(D995="Venda",-1,1)*((N(J995)*N(K995)+N(L995)*N(M995)+N(N995)*N(O995))-(N(J995)+N(L995)+N(N995))*F995)-N(Q995))</f>
        <v/>
      </c>
      <c r="V995" s="9">
        <f>IF(OR(B995="",P995=""),"",U995/S995)</f>
        <v/>
      </c>
      <c r="W995">
        <f>IF(OR(B995="",P995=""),"",NETWORKDAYS(C995,P995)-1)</f>
        <v/>
      </c>
      <c r="X995">
        <f>IF(B995="","",IF(P995="","Aberto","Fechado"))</f>
        <v/>
      </c>
    </row>
    <row r="996">
      <c r="C996" s="6" t="n"/>
      <c r="E996" s="7" t="n"/>
      <c r="F996" s="8" t="n"/>
      <c r="G996" s="8" t="n"/>
      <c r="H996" s="8" t="n"/>
      <c r="J996" s="7" t="n"/>
      <c r="K996" s="8" t="n"/>
      <c r="L996" s="7" t="n"/>
      <c r="M996" s="8" t="n"/>
      <c r="N996" s="7" t="n"/>
      <c r="O996" s="8" t="n"/>
      <c r="P996" s="6" t="n"/>
      <c r="Q996" s="8" t="n"/>
      <c r="S996" s="8">
        <f>IF(B996="","",E996*F996)</f>
        <v/>
      </c>
      <c r="T996" s="8">
        <f>IF(OR(B996="",N(G996)=0),"",ABS(F996-G996)*E996)</f>
        <v/>
      </c>
      <c r="U996" s="8">
        <f>IF(OR(B996="",P996=""),"",IF(D996="Venda",-1,1)*((N(J996)*N(K996)+N(L996)*N(M996)+N(N996)*N(O996))-(N(J996)+N(L996)+N(N996))*F996)-N(Q996))</f>
        <v/>
      </c>
      <c r="V996" s="9">
        <f>IF(OR(B996="",P996=""),"",U996/S996)</f>
        <v/>
      </c>
      <c r="W996">
        <f>IF(OR(B996="",P996=""),"",NETWORKDAYS(C996,P996)-1)</f>
        <v/>
      </c>
      <c r="X996">
        <f>IF(B996="","",IF(P996="","Aberto","Fechado"))</f>
        <v/>
      </c>
    </row>
    <row r="997">
      <c r="C997" s="6" t="n"/>
      <c r="E997" s="7" t="n"/>
      <c r="F997" s="8" t="n"/>
      <c r="G997" s="8" t="n"/>
      <c r="H997" s="8" t="n"/>
      <c r="J997" s="7" t="n"/>
      <c r="K997" s="8" t="n"/>
      <c r="L997" s="7" t="n"/>
      <c r="M997" s="8" t="n"/>
      <c r="N997" s="7" t="n"/>
      <c r="O997" s="8" t="n"/>
      <c r="P997" s="6" t="n"/>
      <c r="Q997" s="8" t="n"/>
      <c r="S997" s="8">
        <f>IF(B997="","",E997*F997)</f>
        <v/>
      </c>
      <c r="T997" s="8">
        <f>IF(OR(B997="",N(G997)=0),"",ABS(F997-G997)*E997)</f>
        <v/>
      </c>
      <c r="U997" s="8">
        <f>IF(OR(B997="",P997=""),"",IF(D997="Venda",-1,1)*((N(J997)*N(K997)+N(L997)*N(M997)+N(N997)*N(O997))-(N(J997)+N(L997)+N(N997))*F997)-N(Q997))</f>
        <v/>
      </c>
      <c r="V997" s="9">
        <f>IF(OR(B997="",P997=""),"",U997/S997)</f>
        <v/>
      </c>
      <c r="W997">
        <f>IF(OR(B997="",P997=""),"",NETWORKDAYS(C997,P997)-1)</f>
        <v/>
      </c>
      <c r="X997">
        <f>IF(B997="","",IF(P997="","Aberto","Fechado"))</f>
        <v/>
      </c>
    </row>
    <row r="998">
      <c r="C998" s="6" t="n"/>
      <c r="E998" s="7" t="n"/>
      <c r="F998" s="8" t="n"/>
      <c r="G998" s="8" t="n"/>
      <c r="H998" s="8" t="n"/>
      <c r="J998" s="7" t="n"/>
      <c r="K998" s="8" t="n"/>
      <c r="L998" s="7" t="n"/>
      <c r="M998" s="8" t="n"/>
      <c r="N998" s="7" t="n"/>
      <c r="O998" s="8" t="n"/>
      <c r="P998" s="6" t="n"/>
      <c r="Q998" s="8" t="n"/>
      <c r="S998" s="8">
        <f>IF(B998="","",E998*F998)</f>
        <v/>
      </c>
      <c r="T998" s="8">
        <f>IF(OR(B998="",N(G998)=0),"",ABS(F998-G998)*E998)</f>
        <v/>
      </c>
      <c r="U998" s="8">
        <f>IF(OR(B998="",P998=""),"",IF(D998="Venda",-1,1)*((N(J998)*N(K998)+N(L998)*N(M998)+N(N998)*N(O998))-(N(J998)+N(L998)+N(N998))*F998)-N(Q998))</f>
        <v/>
      </c>
      <c r="V998" s="9">
        <f>IF(OR(B998="",P998=""),"",U998/S998)</f>
        <v/>
      </c>
      <c r="W998">
        <f>IF(OR(B998="",P998=""),"",NETWORKDAYS(C998,P998)-1)</f>
        <v/>
      </c>
      <c r="X998">
        <f>IF(B998="","",IF(P998="","Aberto","Fechado"))</f>
        <v/>
      </c>
    </row>
    <row r="999">
      <c r="C999" s="6" t="n"/>
      <c r="E999" s="7" t="n"/>
      <c r="F999" s="8" t="n"/>
      <c r="G999" s="8" t="n"/>
      <c r="H999" s="8" t="n"/>
      <c r="J999" s="7" t="n"/>
      <c r="K999" s="8" t="n"/>
      <c r="L999" s="7" t="n"/>
      <c r="M999" s="8" t="n"/>
      <c r="N999" s="7" t="n"/>
      <c r="O999" s="8" t="n"/>
      <c r="P999" s="6" t="n"/>
      <c r="Q999" s="8" t="n"/>
      <c r="S999" s="8">
        <f>IF(B999="","",E999*F999)</f>
        <v/>
      </c>
      <c r="T999" s="8">
        <f>IF(OR(B999="",N(G999)=0),"",ABS(F999-G999)*E999)</f>
        <v/>
      </c>
      <c r="U999" s="8">
        <f>IF(OR(B999="",P999=""),"",IF(D999="Venda",-1,1)*((N(J999)*N(K999)+N(L999)*N(M999)+N(N999)*N(O999))-(N(J999)+N(L999)+N(N999))*F999)-N(Q999))</f>
        <v/>
      </c>
      <c r="V999" s="9">
        <f>IF(OR(B999="",P999=""),"",U999/S999)</f>
        <v/>
      </c>
      <c r="W999">
        <f>IF(OR(B999="",P999=""),"",NETWORKDAYS(C999,P999)-1)</f>
        <v/>
      </c>
      <c r="X999">
        <f>IF(B999="","",IF(P999="","Aberto","Fechado"))</f>
        <v/>
      </c>
    </row>
    <row r="1000">
      <c r="C1000" s="6" t="n"/>
      <c r="E1000" s="7" t="n"/>
      <c r="F1000" s="8" t="n"/>
      <c r="G1000" s="8" t="n"/>
      <c r="H1000" s="8" t="n"/>
      <c r="J1000" s="7" t="n"/>
      <c r="K1000" s="8" t="n"/>
      <c r="L1000" s="7" t="n"/>
      <c r="M1000" s="8" t="n"/>
      <c r="N1000" s="7" t="n"/>
      <c r="O1000" s="8" t="n"/>
      <c r="P1000" s="6" t="n"/>
      <c r="Q1000" s="8" t="n"/>
      <c r="S1000" s="8">
        <f>IF(B1000="","",E1000*F1000)</f>
        <v/>
      </c>
      <c r="T1000" s="8">
        <f>IF(OR(B1000="",N(G1000)=0),"",ABS(F1000-G1000)*E1000)</f>
        <v/>
      </c>
      <c r="U1000" s="8">
        <f>IF(OR(B1000="",P1000=""),"",IF(D1000="Venda",-1,1)*((N(J1000)*N(K1000)+N(L1000)*N(M1000)+N(N1000)*N(O1000))-(N(J1000)+N(L1000)+N(N1000))*F1000)-N(Q1000))</f>
        <v/>
      </c>
      <c r="V1000" s="9">
        <f>IF(OR(B1000="",P1000=""),"",U1000/S1000)</f>
        <v/>
      </c>
      <c r="W1000">
        <f>IF(OR(B1000="",P1000=""),"",NETWORKDAYS(C1000,P1000)-1)</f>
        <v/>
      </c>
      <c r="X1000">
        <f>IF(B1000="","",IF(P1000="","Aberto","Fechado"))</f>
        <v/>
      </c>
    </row>
    <row r="1001">
      <c r="C1001" s="6" t="n"/>
      <c r="E1001" s="7" t="n"/>
      <c r="F1001" s="8" t="n"/>
      <c r="G1001" s="8" t="n"/>
      <c r="H1001" s="8" t="n"/>
      <c r="J1001" s="7" t="n"/>
      <c r="K1001" s="8" t="n"/>
      <c r="L1001" s="7" t="n"/>
      <c r="M1001" s="8" t="n"/>
      <c r="N1001" s="7" t="n"/>
      <c r="O1001" s="8" t="n"/>
      <c r="P1001" s="6" t="n"/>
      <c r="Q1001" s="8" t="n"/>
      <c r="S1001" s="8">
        <f>IF(B1001="","",E1001*F1001)</f>
        <v/>
      </c>
      <c r="T1001" s="8">
        <f>IF(OR(B1001="",N(G1001)=0),"",ABS(F1001-G1001)*E1001)</f>
        <v/>
      </c>
      <c r="U1001" s="8">
        <f>IF(OR(B1001="",P1001=""),"",IF(D1001="Venda",-1,1)*((N(J1001)*N(K1001)+N(L1001)*N(M1001)+N(N1001)*N(O1001))-(N(J1001)+N(L1001)+N(N1001))*F1001)-N(Q1001))</f>
        <v/>
      </c>
      <c r="V1001" s="9">
        <f>IF(OR(B1001="",P1001=""),"",U1001/S1001)</f>
        <v/>
      </c>
      <c r="W1001">
        <f>IF(OR(B1001="",P1001=""),"",NETWORKDAYS(C1001,P1001)-1)</f>
        <v/>
      </c>
      <c r="X1001">
        <f>IF(B1001="","",IF(P1001="","Aberto","Fechado"))</f>
        <v/>
      </c>
    </row>
  </sheetData>
  <autoFilter ref="A1:X1001"/>
  <dataValidations count="2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=Setups!$A$2:$A$100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9" customWidth="1" min="4" max="4"/>
    <col width="11" customWidth="1" min="5" max="5"/>
    <col width="13" customWidth="1" min="6" max="6"/>
    <col width="10" customWidth="1" min="7" max="7"/>
    <col width="10" customWidth="1" min="8" max="8"/>
    <col width="20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3" customWidth="1" min="16" max="16"/>
    <col width="10" customWidth="1" min="17" max="17"/>
    <col width="36" customWidth="1" min="18" max="18"/>
    <col width="14" customWidth="1" min="19" max="19"/>
    <col width="12" customWidth="1" min="20" max="20"/>
    <col width="14" customWidth="1" min="21" max="21"/>
    <col width="12" customWidth="1" min="22" max="22"/>
    <col width="7" customWidth="1" min="23" max="23"/>
    <col width="10" customWidth="1" min="24" max="24"/>
  </cols>
  <sheetData>
    <row r="1" ht="32" customHeight="1">
      <c r="A1" s="4" t="inlineStr">
        <is>
          <t>Nº</t>
        </is>
      </c>
      <c r="B1" s="4" t="inlineStr">
        <is>
          <t>Ativo</t>
        </is>
      </c>
      <c r="C1" s="4" t="inlineStr">
        <is>
          <t>Data Entrada</t>
        </is>
      </c>
      <c r="D1" s="4" t="inlineStr">
        <is>
          <t>Lado</t>
        </is>
      </c>
      <c r="E1" s="4" t="inlineStr">
        <is>
          <t>Qtd Entrada</t>
        </is>
      </c>
      <c r="F1" s="4" t="inlineStr">
        <is>
          <t>Preço Entrada</t>
        </is>
      </c>
      <c r="G1" s="4" t="inlineStr">
        <is>
          <t>Stop</t>
        </is>
      </c>
      <c r="H1" s="4" t="inlineStr">
        <is>
          <t>Alvo</t>
        </is>
      </c>
      <c r="I1" s="4" t="inlineStr">
        <is>
          <t>Estratégia</t>
        </is>
      </c>
      <c r="J1" s="4" t="inlineStr">
        <is>
          <t>Qtd Saída 1</t>
        </is>
      </c>
      <c r="K1" s="4" t="inlineStr">
        <is>
          <t>Preço Saída 1</t>
        </is>
      </c>
      <c r="L1" s="4" t="inlineStr">
        <is>
          <t>Qtd Saída 2</t>
        </is>
      </c>
      <c r="M1" s="4" t="inlineStr">
        <is>
          <t>Preço Saída 2</t>
        </is>
      </c>
      <c r="N1" s="4" t="inlineStr">
        <is>
          <t>Qtd Saída 3</t>
        </is>
      </c>
      <c r="O1" s="4" t="inlineStr">
        <is>
          <t>Preço Saída 3</t>
        </is>
      </c>
      <c r="P1" s="4" t="inlineStr">
        <is>
          <t>Data Saída</t>
        </is>
      </c>
      <c r="Q1" s="4" t="inlineStr">
        <is>
          <t>Custos</t>
        </is>
      </c>
      <c r="R1" s="4" t="inlineStr">
        <is>
          <t>Observações</t>
        </is>
      </c>
      <c r="S1" s="5" t="inlineStr">
        <is>
          <t>Financeiro</t>
        </is>
      </c>
      <c r="T1" s="5" t="inlineStr">
        <is>
          <t>Risco</t>
        </is>
      </c>
      <c r="U1" s="5" t="inlineStr">
        <is>
          <t>Resultado</t>
        </is>
      </c>
      <c r="V1" s="5" t="inlineStr">
        <is>
          <t>Resultado %</t>
        </is>
      </c>
      <c r="W1" s="5" t="inlineStr">
        <is>
          <t>Dias</t>
        </is>
      </c>
      <c r="X1" s="5" t="inlineStr">
        <is>
          <t>Status</t>
        </is>
      </c>
    </row>
    <row r="2">
      <c r="C2" s="6" t="n"/>
      <c r="E2" s="7" t="n"/>
      <c r="F2" s="8" t="n"/>
      <c r="G2" s="8" t="n"/>
      <c r="H2" s="8" t="n"/>
      <c r="J2" s="7" t="n"/>
      <c r="K2" s="8" t="n"/>
      <c r="L2" s="7" t="n"/>
      <c r="M2" s="8" t="n"/>
      <c r="N2" s="7" t="n"/>
      <c r="O2" s="8" t="n"/>
      <c r="P2" s="6" t="n"/>
      <c r="Q2" s="8" t="n"/>
      <c r="S2" s="8">
        <f>IF(B2="","",E2*F2)</f>
        <v/>
      </c>
      <c r="T2" s="8">
        <f>IF(OR(B2="",N(G2)=0),"",ABS(F2-G2)*E2)</f>
        <v/>
      </c>
      <c r="U2" s="8">
        <f>IF(OR(B2="",P2=""),"",IF(D2="Venda",-1,1)*((N(J2)*N(K2)+N(L2)*N(M2)+N(N2)*N(O2))-(N(J2)+N(L2)+N(N2))*F2)-N(Q2))</f>
        <v/>
      </c>
      <c r="V2" s="9">
        <f>IF(OR(B2="",P2=""),"",U2/S2)</f>
        <v/>
      </c>
      <c r="W2">
        <f>IF(OR(B2="",P2=""),"",NETWORKDAYS(C2,P2)-1)</f>
        <v/>
      </c>
      <c r="X2">
        <f>IF(B2="","",IF(P2="","Aberto","Fechado"))</f>
        <v/>
      </c>
    </row>
    <row r="3">
      <c r="C3" s="6" t="n"/>
      <c r="E3" s="7" t="n"/>
      <c r="F3" s="8" t="n"/>
      <c r="G3" s="8" t="n"/>
      <c r="H3" s="8" t="n"/>
      <c r="J3" s="7" t="n"/>
      <c r="K3" s="8" t="n"/>
      <c r="L3" s="7" t="n"/>
      <c r="M3" s="8" t="n"/>
      <c r="N3" s="7" t="n"/>
      <c r="O3" s="8" t="n"/>
      <c r="P3" s="6" t="n"/>
      <c r="Q3" s="8" t="n"/>
      <c r="S3" s="8">
        <f>IF(B3="","",E3*F3)</f>
        <v/>
      </c>
      <c r="T3" s="8">
        <f>IF(OR(B3="",N(G3)=0),"",ABS(F3-G3)*E3)</f>
        <v/>
      </c>
      <c r="U3" s="8">
        <f>IF(OR(B3="",P3=""),"",IF(D3="Venda",-1,1)*((N(J3)*N(K3)+N(L3)*N(M3)+N(N3)*N(O3))-(N(J3)+N(L3)+N(N3))*F3)-N(Q3))</f>
        <v/>
      </c>
      <c r="V3" s="9">
        <f>IF(OR(B3="",P3=""),"",U3/S3)</f>
        <v/>
      </c>
      <c r="W3">
        <f>IF(OR(B3="",P3=""),"",NETWORKDAYS(C3,P3)-1)</f>
        <v/>
      </c>
      <c r="X3">
        <f>IF(B3="","",IF(P3="","Aberto","Fechado"))</f>
        <v/>
      </c>
    </row>
    <row r="4">
      <c r="C4" s="6" t="n"/>
      <c r="E4" s="7" t="n"/>
      <c r="F4" s="8" t="n"/>
      <c r="G4" s="8" t="n"/>
      <c r="H4" s="8" t="n"/>
      <c r="J4" s="7" t="n"/>
      <c r="K4" s="8" t="n"/>
      <c r="L4" s="7" t="n"/>
      <c r="M4" s="8" t="n"/>
      <c r="N4" s="7" t="n"/>
      <c r="O4" s="8" t="n"/>
      <c r="P4" s="6" t="n"/>
      <c r="Q4" s="8" t="n"/>
      <c r="S4" s="8">
        <f>IF(B4="","",E4*F4)</f>
        <v/>
      </c>
      <c r="T4" s="8">
        <f>IF(OR(B4="",N(G4)=0),"",ABS(F4-G4)*E4)</f>
        <v/>
      </c>
      <c r="U4" s="8">
        <f>IF(OR(B4="",P4=""),"",IF(D4="Venda",-1,1)*((N(J4)*N(K4)+N(L4)*N(M4)+N(N4)*N(O4))-(N(J4)+N(L4)+N(N4))*F4)-N(Q4))</f>
        <v/>
      </c>
      <c r="V4" s="9">
        <f>IF(OR(B4="",P4=""),"",U4/S4)</f>
        <v/>
      </c>
      <c r="W4">
        <f>IF(OR(B4="",P4=""),"",NETWORKDAYS(C4,P4)-1)</f>
        <v/>
      </c>
      <c r="X4">
        <f>IF(B4="","",IF(P4="","Aberto","Fechado"))</f>
        <v/>
      </c>
    </row>
    <row r="5">
      <c r="C5" s="6" t="n"/>
      <c r="E5" s="7" t="n"/>
      <c r="F5" s="8" t="n"/>
      <c r="G5" s="8" t="n"/>
      <c r="H5" s="8" t="n"/>
      <c r="J5" s="7" t="n"/>
      <c r="K5" s="8" t="n"/>
      <c r="L5" s="7" t="n"/>
      <c r="M5" s="8" t="n"/>
      <c r="N5" s="7" t="n"/>
      <c r="O5" s="8" t="n"/>
      <c r="P5" s="6" t="n"/>
      <c r="Q5" s="8" t="n"/>
      <c r="S5" s="8">
        <f>IF(B5="","",E5*F5)</f>
        <v/>
      </c>
      <c r="T5" s="8">
        <f>IF(OR(B5="",N(G5)=0),"",ABS(F5-G5)*E5)</f>
        <v/>
      </c>
      <c r="U5" s="8">
        <f>IF(OR(B5="",P5=""),"",IF(D5="Venda",-1,1)*((N(J5)*N(K5)+N(L5)*N(M5)+N(N5)*N(O5))-(N(J5)+N(L5)+N(N5))*F5)-N(Q5))</f>
        <v/>
      </c>
      <c r="V5" s="9">
        <f>IF(OR(B5="",P5=""),"",U5/S5)</f>
        <v/>
      </c>
      <c r="W5">
        <f>IF(OR(B5="",P5=""),"",NETWORKDAYS(C5,P5)-1)</f>
        <v/>
      </c>
      <c r="X5">
        <f>IF(B5="","",IF(P5="","Aberto","Fechado"))</f>
        <v/>
      </c>
    </row>
    <row r="6">
      <c r="C6" s="6" t="n"/>
      <c r="E6" s="7" t="n"/>
      <c r="F6" s="8" t="n"/>
      <c r="G6" s="8" t="n"/>
      <c r="H6" s="8" t="n"/>
      <c r="J6" s="7" t="n"/>
      <c r="K6" s="8" t="n"/>
      <c r="L6" s="7" t="n"/>
      <c r="M6" s="8" t="n"/>
      <c r="N6" s="7" t="n"/>
      <c r="O6" s="8" t="n"/>
      <c r="P6" s="6" t="n"/>
      <c r="Q6" s="8" t="n"/>
      <c r="S6" s="8">
        <f>IF(B6="","",E6*F6)</f>
        <v/>
      </c>
      <c r="T6" s="8">
        <f>IF(OR(B6="",N(G6)=0),"",ABS(F6-G6)*E6)</f>
        <v/>
      </c>
      <c r="U6" s="8">
        <f>IF(OR(B6="",P6=""),"",IF(D6="Venda",-1,1)*((N(J6)*N(K6)+N(L6)*N(M6)+N(N6)*N(O6))-(N(J6)+N(L6)+N(N6))*F6)-N(Q6))</f>
        <v/>
      </c>
      <c r="V6" s="9">
        <f>IF(OR(B6="",P6=""),"",U6/S6)</f>
        <v/>
      </c>
      <c r="W6">
        <f>IF(OR(B6="",P6=""),"",NETWORKDAYS(C6,P6)-1)</f>
        <v/>
      </c>
      <c r="X6">
        <f>IF(B6="","",IF(P6="","Aberto","Fechado"))</f>
        <v/>
      </c>
    </row>
    <row r="7">
      <c r="C7" s="6" t="n"/>
      <c r="E7" s="7" t="n"/>
      <c r="F7" s="8" t="n"/>
      <c r="G7" s="8" t="n"/>
      <c r="H7" s="8" t="n"/>
      <c r="J7" s="7" t="n"/>
      <c r="K7" s="8" t="n"/>
      <c r="L7" s="7" t="n"/>
      <c r="M7" s="8" t="n"/>
      <c r="N7" s="7" t="n"/>
      <c r="O7" s="8" t="n"/>
      <c r="P7" s="6" t="n"/>
      <c r="Q7" s="8" t="n"/>
      <c r="S7" s="8">
        <f>IF(B7="","",E7*F7)</f>
        <v/>
      </c>
      <c r="T7" s="8">
        <f>IF(OR(B7="",N(G7)=0),"",ABS(F7-G7)*E7)</f>
        <v/>
      </c>
      <c r="U7" s="8">
        <f>IF(OR(B7="",P7=""),"",IF(D7="Venda",-1,1)*((N(J7)*N(K7)+N(L7)*N(M7)+N(N7)*N(O7))-(N(J7)+N(L7)+N(N7))*F7)-N(Q7))</f>
        <v/>
      </c>
      <c r="V7" s="9">
        <f>IF(OR(B7="",P7=""),"",U7/S7)</f>
        <v/>
      </c>
      <c r="W7">
        <f>IF(OR(B7="",P7=""),"",NETWORKDAYS(C7,P7)-1)</f>
        <v/>
      </c>
      <c r="X7">
        <f>IF(B7="","",IF(P7="","Aberto","Fechado"))</f>
        <v/>
      </c>
    </row>
    <row r="8">
      <c r="C8" s="6" t="n"/>
      <c r="E8" s="7" t="n"/>
      <c r="F8" s="8" t="n"/>
      <c r="G8" s="8" t="n"/>
      <c r="H8" s="8" t="n"/>
      <c r="J8" s="7" t="n"/>
      <c r="K8" s="8" t="n"/>
      <c r="L8" s="7" t="n"/>
      <c r="M8" s="8" t="n"/>
      <c r="N8" s="7" t="n"/>
      <c r="O8" s="8" t="n"/>
      <c r="P8" s="6" t="n"/>
      <c r="Q8" s="8" t="n"/>
      <c r="S8" s="8">
        <f>IF(B8="","",E8*F8)</f>
        <v/>
      </c>
      <c r="T8" s="8">
        <f>IF(OR(B8="",N(G8)=0),"",ABS(F8-G8)*E8)</f>
        <v/>
      </c>
      <c r="U8" s="8">
        <f>IF(OR(B8="",P8=""),"",IF(D8="Venda",-1,1)*((N(J8)*N(K8)+N(L8)*N(M8)+N(N8)*N(O8))-(N(J8)+N(L8)+N(N8))*F8)-N(Q8))</f>
        <v/>
      </c>
      <c r="V8" s="9">
        <f>IF(OR(B8="",P8=""),"",U8/S8)</f>
        <v/>
      </c>
      <c r="W8">
        <f>IF(OR(B8="",P8=""),"",NETWORKDAYS(C8,P8)-1)</f>
        <v/>
      </c>
      <c r="X8">
        <f>IF(B8="","",IF(P8="","Aberto","Fechado"))</f>
        <v/>
      </c>
    </row>
    <row r="9">
      <c r="C9" s="6" t="n"/>
      <c r="E9" s="7" t="n"/>
      <c r="F9" s="8" t="n"/>
      <c r="G9" s="8" t="n"/>
      <c r="H9" s="8" t="n"/>
      <c r="J9" s="7" t="n"/>
      <c r="K9" s="8" t="n"/>
      <c r="L9" s="7" t="n"/>
      <c r="M9" s="8" t="n"/>
      <c r="N9" s="7" t="n"/>
      <c r="O9" s="8" t="n"/>
      <c r="P9" s="6" t="n"/>
      <c r="Q9" s="8" t="n"/>
      <c r="S9" s="8">
        <f>IF(B9="","",E9*F9)</f>
        <v/>
      </c>
      <c r="T9" s="8">
        <f>IF(OR(B9="",N(G9)=0),"",ABS(F9-G9)*E9)</f>
        <v/>
      </c>
      <c r="U9" s="8">
        <f>IF(OR(B9="",P9=""),"",IF(D9="Venda",-1,1)*((N(J9)*N(K9)+N(L9)*N(M9)+N(N9)*N(O9))-(N(J9)+N(L9)+N(N9))*F9)-N(Q9))</f>
        <v/>
      </c>
      <c r="V9" s="9">
        <f>IF(OR(B9="",P9=""),"",U9/S9)</f>
        <v/>
      </c>
      <c r="W9">
        <f>IF(OR(B9="",P9=""),"",NETWORKDAYS(C9,P9)-1)</f>
        <v/>
      </c>
      <c r="X9">
        <f>IF(B9="","",IF(P9="","Aberto","Fechado"))</f>
        <v/>
      </c>
    </row>
    <row r="10">
      <c r="C10" s="6" t="n"/>
      <c r="E10" s="7" t="n"/>
      <c r="F10" s="8" t="n"/>
      <c r="G10" s="8" t="n"/>
      <c r="H10" s="8" t="n"/>
      <c r="J10" s="7" t="n"/>
      <c r="K10" s="8" t="n"/>
      <c r="L10" s="7" t="n"/>
      <c r="M10" s="8" t="n"/>
      <c r="N10" s="7" t="n"/>
      <c r="O10" s="8" t="n"/>
      <c r="P10" s="6" t="n"/>
      <c r="Q10" s="8" t="n"/>
      <c r="S10" s="8">
        <f>IF(B10="","",E10*F10)</f>
        <v/>
      </c>
      <c r="T10" s="8">
        <f>IF(OR(B10="",N(G10)=0),"",ABS(F10-G10)*E10)</f>
        <v/>
      </c>
      <c r="U10" s="8">
        <f>IF(OR(B10="",P10=""),"",IF(D10="Venda",-1,1)*((N(J10)*N(K10)+N(L10)*N(M10)+N(N10)*N(O10))-(N(J10)+N(L10)+N(N10))*F10)-N(Q10))</f>
        <v/>
      </c>
      <c r="V10" s="9">
        <f>IF(OR(B10="",P10=""),"",U10/S10)</f>
        <v/>
      </c>
      <c r="W10">
        <f>IF(OR(B10="",P10=""),"",NETWORKDAYS(C10,P10)-1)</f>
        <v/>
      </c>
      <c r="X10">
        <f>IF(B10="","",IF(P10="","Aberto","Fechado"))</f>
        <v/>
      </c>
    </row>
    <row r="11">
      <c r="C11" s="6" t="n"/>
      <c r="E11" s="7" t="n"/>
      <c r="F11" s="8" t="n"/>
      <c r="G11" s="8" t="n"/>
      <c r="H11" s="8" t="n"/>
      <c r="J11" s="7" t="n"/>
      <c r="K11" s="8" t="n"/>
      <c r="L11" s="7" t="n"/>
      <c r="M11" s="8" t="n"/>
      <c r="N11" s="7" t="n"/>
      <c r="O11" s="8" t="n"/>
      <c r="P11" s="6" t="n"/>
      <c r="Q11" s="8" t="n"/>
      <c r="S11" s="8">
        <f>IF(B11="","",E11*F11)</f>
        <v/>
      </c>
      <c r="T11" s="8">
        <f>IF(OR(B11="",N(G11)=0),"",ABS(F11-G11)*E11)</f>
        <v/>
      </c>
      <c r="U11" s="8">
        <f>IF(OR(B11="",P11=""),"",IF(D11="Venda",-1,1)*((N(J11)*N(K11)+N(L11)*N(M11)+N(N11)*N(O11))-(N(J11)+N(L11)+N(N11))*F11)-N(Q11))</f>
        <v/>
      </c>
      <c r="V11" s="9">
        <f>IF(OR(B11="",P11=""),"",U11/S11)</f>
        <v/>
      </c>
      <c r="W11">
        <f>IF(OR(B11="",P11=""),"",NETWORKDAYS(C11,P11)-1)</f>
        <v/>
      </c>
      <c r="X11">
        <f>IF(B11="","",IF(P11="","Aberto","Fechado"))</f>
        <v/>
      </c>
    </row>
    <row r="12">
      <c r="C12" s="6" t="n"/>
      <c r="E12" s="7" t="n"/>
      <c r="F12" s="8" t="n"/>
      <c r="G12" s="8" t="n"/>
      <c r="H12" s="8" t="n"/>
      <c r="J12" s="7" t="n"/>
      <c r="K12" s="8" t="n"/>
      <c r="L12" s="7" t="n"/>
      <c r="M12" s="8" t="n"/>
      <c r="N12" s="7" t="n"/>
      <c r="O12" s="8" t="n"/>
      <c r="P12" s="6" t="n"/>
      <c r="Q12" s="8" t="n"/>
      <c r="S12" s="8">
        <f>IF(B12="","",E12*F12)</f>
        <v/>
      </c>
      <c r="T12" s="8">
        <f>IF(OR(B12="",N(G12)=0),"",ABS(F12-G12)*E12)</f>
        <v/>
      </c>
      <c r="U12" s="8">
        <f>IF(OR(B12="",P12=""),"",IF(D12="Venda",-1,1)*((N(J12)*N(K12)+N(L12)*N(M12)+N(N12)*N(O12))-(N(J12)+N(L12)+N(N12))*F12)-N(Q12))</f>
        <v/>
      </c>
      <c r="V12" s="9">
        <f>IF(OR(B12="",P12=""),"",U12/S12)</f>
        <v/>
      </c>
      <c r="W12">
        <f>IF(OR(B12="",P12=""),"",NETWORKDAYS(C12,P12)-1)</f>
        <v/>
      </c>
      <c r="X12">
        <f>IF(B12="","",IF(P12="","Aberto","Fechado"))</f>
        <v/>
      </c>
    </row>
    <row r="13">
      <c r="C13" s="6" t="n"/>
      <c r="E13" s="7" t="n"/>
      <c r="F13" s="8" t="n"/>
      <c r="G13" s="8" t="n"/>
      <c r="H13" s="8" t="n"/>
      <c r="J13" s="7" t="n"/>
      <c r="K13" s="8" t="n"/>
      <c r="L13" s="7" t="n"/>
      <c r="M13" s="8" t="n"/>
      <c r="N13" s="7" t="n"/>
      <c r="O13" s="8" t="n"/>
      <c r="P13" s="6" t="n"/>
      <c r="Q13" s="8" t="n"/>
      <c r="S13" s="8">
        <f>IF(B13="","",E13*F13)</f>
        <v/>
      </c>
      <c r="T13" s="8">
        <f>IF(OR(B13="",N(G13)=0),"",ABS(F13-G13)*E13)</f>
        <v/>
      </c>
      <c r="U13" s="8">
        <f>IF(OR(B13="",P13=""),"",IF(D13="Venda",-1,1)*((N(J13)*N(K13)+N(L13)*N(M13)+N(N13)*N(O13))-(N(J13)+N(L13)+N(N13))*F13)-N(Q13))</f>
        <v/>
      </c>
      <c r="V13" s="9">
        <f>IF(OR(B13="",P13=""),"",U13/S13)</f>
        <v/>
      </c>
      <c r="W13">
        <f>IF(OR(B13="",P13=""),"",NETWORKDAYS(C13,P13)-1)</f>
        <v/>
      </c>
      <c r="X13">
        <f>IF(B13="","",IF(P13="","Aberto","Fechado"))</f>
        <v/>
      </c>
    </row>
    <row r="14">
      <c r="C14" s="6" t="n"/>
      <c r="E14" s="7" t="n"/>
      <c r="F14" s="8" t="n"/>
      <c r="G14" s="8" t="n"/>
      <c r="H14" s="8" t="n"/>
      <c r="J14" s="7" t="n"/>
      <c r="K14" s="8" t="n"/>
      <c r="L14" s="7" t="n"/>
      <c r="M14" s="8" t="n"/>
      <c r="N14" s="7" t="n"/>
      <c r="O14" s="8" t="n"/>
      <c r="P14" s="6" t="n"/>
      <c r="Q14" s="8" t="n"/>
      <c r="S14" s="8">
        <f>IF(B14="","",E14*F14)</f>
        <v/>
      </c>
      <c r="T14" s="8">
        <f>IF(OR(B14="",N(G14)=0),"",ABS(F14-G14)*E14)</f>
        <v/>
      </c>
      <c r="U14" s="8">
        <f>IF(OR(B14="",P14=""),"",IF(D14="Venda",-1,1)*((N(J14)*N(K14)+N(L14)*N(M14)+N(N14)*N(O14))-(N(J14)+N(L14)+N(N14))*F14)-N(Q14))</f>
        <v/>
      </c>
      <c r="V14" s="9">
        <f>IF(OR(B14="",P14=""),"",U14/S14)</f>
        <v/>
      </c>
      <c r="W14">
        <f>IF(OR(B14="",P14=""),"",NETWORKDAYS(C14,P14)-1)</f>
        <v/>
      </c>
      <c r="X14">
        <f>IF(B14="","",IF(P14="","Aberto","Fechado"))</f>
        <v/>
      </c>
    </row>
    <row r="15">
      <c r="C15" s="6" t="n"/>
      <c r="E15" s="7" t="n"/>
      <c r="F15" s="8" t="n"/>
      <c r="G15" s="8" t="n"/>
      <c r="H15" s="8" t="n"/>
      <c r="J15" s="7" t="n"/>
      <c r="K15" s="8" t="n"/>
      <c r="L15" s="7" t="n"/>
      <c r="M15" s="8" t="n"/>
      <c r="N15" s="7" t="n"/>
      <c r="O15" s="8" t="n"/>
      <c r="P15" s="6" t="n"/>
      <c r="Q15" s="8" t="n"/>
      <c r="S15" s="8">
        <f>IF(B15="","",E15*F15)</f>
        <v/>
      </c>
      <c r="T15" s="8">
        <f>IF(OR(B15="",N(G15)=0),"",ABS(F15-G15)*E15)</f>
        <v/>
      </c>
      <c r="U15" s="8">
        <f>IF(OR(B15="",P15=""),"",IF(D15="Venda",-1,1)*((N(J15)*N(K15)+N(L15)*N(M15)+N(N15)*N(O15))-(N(J15)+N(L15)+N(N15))*F15)-N(Q15))</f>
        <v/>
      </c>
      <c r="V15" s="9">
        <f>IF(OR(B15="",P15=""),"",U15/S15)</f>
        <v/>
      </c>
      <c r="W15">
        <f>IF(OR(B15="",P15=""),"",NETWORKDAYS(C15,P15)-1)</f>
        <v/>
      </c>
      <c r="X15">
        <f>IF(B15="","",IF(P15="","Aberto","Fechado"))</f>
        <v/>
      </c>
    </row>
    <row r="16">
      <c r="C16" s="6" t="n"/>
      <c r="E16" s="7" t="n"/>
      <c r="F16" s="8" t="n"/>
      <c r="G16" s="8" t="n"/>
      <c r="H16" s="8" t="n"/>
      <c r="J16" s="7" t="n"/>
      <c r="K16" s="8" t="n"/>
      <c r="L16" s="7" t="n"/>
      <c r="M16" s="8" t="n"/>
      <c r="N16" s="7" t="n"/>
      <c r="O16" s="8" t="n"/>
      <c r="P16" s="6" t="n"/>
      <c r="Q16" s="8" t="n"/>
      <c r="S16" s="8">
        <f>IF(B16="","",E16*F16)</f>
        <v/>
      </c>
      <c r="T16" s="8">
        <f>IF(OR(B16="",N(G16)=0),"",ABS(F16-G16)*E16)</f>
        <v/>
      </c>
      <c r="U16" s="8">
        <f>IF(OR(B16="",P16=""),"",IF(D16="Venda",-1,1)*((N(J16)*N(K16)+N(L16)*N(M16)+N(N16)*N(O16))-(N(J16)+N(L16)+N(N16))*F16)-N(Q16))</f>
        <v/>
      </c>
      <c r="V16" s="9">
        <f>IF(OR(B16="",P16=""),"",U16/S16)</f>
        <v/>
      </c>
      <c r="W16">
        <f>IF(OR(B16="",P16=""),"",NETWORKDAYS(C16,P16)-1)</f>
        <v/>
      </c>
      <c r="X16">
        <f>IF(B16="","",IF(P16="","Aberto","Fechado"))</f>
        <v/>
      </c>
    </row>
    <row r="17">
      <c r="C17" s="6" t="n"/>
      <c r="E17" s="7" t="n"/>
      <c r="F17" s="8" t="n"/>
      <c r="G17" s="8" t="n"/>
      <c r="H17" s="8" t="n"/>
      <c r="J17" s="7" t="n"/>
      <c r="K17" s="8" t="n"/>
      <c r="L17" s="7" t="n"/>
      <c r="M17" s="8" t="n"/>
      <c r="N17" s="7" t="n"/>
      <c r="O17" s="8" t="n"/>
      <c r="P17" s="6" t="n"/>
      <c r="Q17" s="8" t="n"/>
      <c r="S17" s="8">
        <f>IF(B17="","",E17*F17)</f>
        <v/>
      </c>
      <c r="T17" s="8">
        <f>IF(OR(B17="",N(G17)=0),"",ABS(F17-G17)*E17)</f>
        <v/>
      </c>
      <c r="U17" s="8">
        <f>IF(OR(B17="",P17=""),"",IF(D17="Venda",-1,1)*((N(J17)*N(K17)+N(L17)*N(M17)+N(N17)*N(O17))-(N(J17)+N(L17)+N(N17))*F17)-N(Q17))</f>
        <v/>
      </c>
      <c r="V17" s="9">
        <f>IF(OR(B17="",P17=""),"",U17/S17)</f>
        <v/>
      </c>
      <c r="W17">
        <f>IF(OR(B17="",P17=""),"",NETWORKDAYS(C17,P17)-1)</f>
        <v/>
      </c>
      <c r="X17">
        <f>IF(B17="","",IF(P17="","Aberto","Fechado"))</f>
        <v/>
      </c>
    </row>
    <row r="18">
      <c r="C18" s="6" t="n"/>
      <c r="E18" s="7" t="n"/>
      <c r="F18" s="8" t="n"/>
      <c r="G18" s="8" t="n"/>
      <c r="H18" s="8" t="n"/>
      <c r="J18" s="7" t="n"/>
      <c r="K18" s="8" t="n"/>
      <c r="L18" s="7" t="n"/>
      <c r="M18" s="8" t="n"/>
      <c r="N18" s="7" t="n"/>
      <c r="O18" s="8" t="n"/>
      <c r="P18" s="6" t="n"/>
      <c r="Q18" s="8" t="n"/>
      <c r="S18" s="8">
        <f>IF(B18="","",E18*F18)</f>
        <v/>
      </c>
      <c r="T18" s="8">
        <f>IF(OR(B18="",N(G18)=0),"",ABS(F18-G18)*E18)</f>
        <v/>
      </c>
      <c r="U18" s="8">
        <f>IF(OR(B18="",P18=""),"",IF(D18="Venda",-1,1)*((N(J18)*N(K18)+N(L18)*N(M18)+N(N18)*N(O18))-(N(J18)+N(L18)+N(N18))*F18)-N(Q18))</f>
        <v/>
      </c>
      <c r="V18" s="9">
        <f>IF(OR(B18="",P18=""),"",U18/S18)</f>
        <v/>
      </c>
      <c r="W18">
        <f>IF(OR(B18="",P18=""),"",NETWORKDAYS(C18,P18)-1)</f>
        <v/>
      </c>
      <c r="X18">
        <f>IF(B18="","",IF(P18="","Aberto","Fechado"))</f>
        <v/>
      </c>
    </row>
    <row r="19">
      <c r="C19" s="6" t="n"/>
      <c r="E19" s="7" t="n"/>
      <c r="F19" s="8" t="n"/>
      <c r="G19" s="8" t="n"/>
      <c r="H19" s="8" t="n"/>
      <c r="J19" s="7" t="n"/>
      <c r="K19" s="8" t="n"/>
      <c r="L19" s="7" t="n"/>
      <c r="M19" s="8" t="n"/>
      <c r="N19" s="7" t="n"/>
      <c r="O19" s="8" t="n"/>
      <c r="P19" s="6" t="n"/>
      <c r="Q19" s="8" t="n"/>
      <c r="S19" s="8">
        <f>IF(B19="","",E19*F19)</f>
        <v/>
      </c>
      <c r="T19" s="8">
        <f>IF(OR(B19="",N(G19)=0),"",ABS(F19-G19)*E19)</f>
        <v/>
      </c>
      <c r="U19" s="8">
        <f>IF(OR(B19="",P19=""),"",IF(D19="Venda",-1,1)*((N(J19)*N(K19)+N(L19)*N(M19)+N(N19)*N(O19))-(N(J19)+N(L19)+N(N19))*F19)-N(Q19))</f>
        <v/>
      </c>
      <c r="V19" s="9">
        <f>IF(OR(B19="",P19=""),"",U19/S19)</f>
        <v/>
      </c>
      <c r="W19">
        <f>IF(OR(B19="",P19=""),"",NETWORKDAYS(C19,P19)-1)</f>
        <v/>
      </c>
      <c r="X19">
        <f>IF(B19="","",IF(P19="","Aberto","Fechado"))</f>
        <v/>
      </c>
    </row>
    <row r="20">
      <c r="C20" s="6" t="n"/>
      <c r="E20" s="7" t="n"/>
      <c r="F20" s="8" t="n"/>
      <c r="G20" s="8" t="n"/>
      <c r="H20" s="8" t="n"/>
      <c r="J20" s="7" t="n"/>
      <c r="K20" s="8" t="n"/>
      <c r="L20" s="7" t="n"/>
      <c r="M20" s="8" t="n"/>
      <c r="N20" s="7" t="n"/>
      <c r="O20" s="8" t="n"/>
      <c r="P20" s="6" t="n"/>
      <c r="Q20" s="8" t="n"/>
      <c r="S20" s="8">
        <f>IF(B20="","",E20*F20)</f>
        <v/>
      </c>
      <c r="T20" s="8">
        <f>IF(OR(B20="",N(G20)=0),"",ABS(F20-G20)*E20)</f>
        <v/>
      </c>
      <c r="U20" s="8">
        <f>IF(OR(B20="",P20=""),"",IF(D20="Venda",-1,1)*((N(J20)*N(K20)+N(L20)*N(M20)+N(N20)*N(O20))-(N(J20)+N(L20)+N(N20))*F20)-N(Q20))</f>
        <v/>
      </c>
      <c r="V20" s="9">
        <f>IF(OR(B20="",P20=""),"",U20/S20)</f>
        <v/>
      </c>
      <c r="W20">
        <f>IF(OR(B20="",P20=""),"",NETWORKDAYS(C20,P20)-1)</f>
        <v/>
      </c>
      <c r="X20">
        <f>IF(B20="","",IF(P20="","Aberto","Fechado"))</f>
        <v/>
      </c>
    </row>
    <row r="21">
      <c r="C21" s="6" t="n"/>
      <c r="E21" s="7" t="n"/>
      <c r="F21" s="8" t="n"/>
      <c r="G21" s="8" t="n"/>
      <c r="H21" s="8" t="n"/>
      <c r="J21" s="7" t="n"/>
      <c r="K21" s="8" t="n"/>
      <c r="L21" s="7" t="n"/>
      <c r="M21" s="8" t="n"/>
      <c r="N21" s="7" t="n"/>
      <c r="O21" s="8" t="n"/>
      <c r="P21" s="6" t="n"/>
      <c r="Q21" s="8" t="n"/>
      <c r="S21" s="8">
        <f>IF(B21="","",E21*F21)</f>
        <v/>
      </c>
      <c r="T21" s="8">
        <f>IF(OR(B21="",N(G21)=0),"",ABS(F21-G21)*E21)</f>
        <v/>
      </c>
      <c r="U21" s="8">
        <f>IF(OR(B21="",P21=""),"",IF(D21="Venda",-1,1)*((N(J21)*N(K21)+N(L21)*N(M21)+N(N21)*N(O21))-(N(J21)+N(L21)+N(N21))*F21)-N(Q21))</f>
        <v/>
      </c>
      <c r="V21" s="9">
        <f>IF(OR(B21="",P21=""),"",U21/S21)</f>
        <v/>
      </c>
      <c r="W21">
        <f>IF(OR(B21="",P21=""),"",NETWORKDAYS(C21,P21)-1)</f>
        <v/>
      </c>
      <c r="X21">
        <f>IF(B21="","",IF(P21="","Aberto","Fechado"))</f>
        <v/>
      </c>
    </row>
    <row r="22">
      <c r="C22" s="6" t="n"/>
      <c r="E22" s="7" t="n"/>
      <c r="F22" s="8" t="n"/>
      <c r="G22" s="8" t="n"/>
      <c r="H22" s="8" t="n"/>
      <c r="J22" s="7" t="n"/>
      <c r="K22" s="8" t="n"/>
      <c r="L22" s="7" t="n"/>
      <c r="M22" s="8" t="n"/>
      <c r="N22" s="7" t="n"/>
      <c r="O22" s="8" t="n"/>
      <c r="P22" s="6" t="n"/>
      <c r="Q22" s="8" t="n"/>
      <c r="S22" s="8">
        <f>IF(B22="","",E22*F22)</f>
        <v/>
      </c>
      <c r="T22" s="8">
        <f>IF(OR(B22="",N(G22)=0),"",ABS(F22-G22)*E22)</f>
        <v/>
      </c>
      <c r="U22" s="8">
        <f>IF(OR(B22="",P22=""),"",IF(D22="Venda",-1,1)*((N(J22)*N(K22)+N(L22)*N(M22)+N(N22)*N(O22))-(N(J22)+N(L22)+N(N22))*F22)-N(Q22))</f>
        <v/>
      </c>
      <c r="V22" s="9">
        <f>IF(OR(B22="",P22=""),"",U22/S22)</f>
        <v/>
      </c>
      <c r="W22">
        <f>IF(OR(B22="",P22=""),"",NETWORKDAYS(C22,P22)-1)</f>
        <v/>
      </c>
      <c r="X22">
        <f>IF(B22="","",IF(P22="","Aberto","Fechado"))</f>
        <v/>
      </c>
    </row>
    <row r="23">
      <c r="C23" s="6" t="n"/>
      <c r="E23" s="7" t="n"/>
      <c r="F23" s="8" t="n"/>
      <c r="G23" s="8" t="n"/>
      <c r="H23" s="8" t="n"/>
      <c r="J23" s="7" t="n"/>
      <c r="K23" s="8" t="n"/>
      <c r="L23" s="7" t="n"/>
      <c r="M23" s="8" t="n"/>
      <c r="N23" s="7" t="n"/>
      <c r="O23" s="8" t="n"/>
      <c r="P23" s="6" t="n"/>
      <c r="Q23" s="8" t="n"/>
      <c r="S23" s="8">
        <f>IF(B23="","",E23*F23)</f>
        <v/>
      </c>
      <c r="T23" s="8">
        <f>IF(OR(B23="",N(G23)=0),"",ABS(F23-G23)*E23)</f>
        <v/>
      </c>
      <c r="U23" s="8">
        <f>IF(OR(B23="",P23=""),"",IF(D23="Venda",-1,1)*((N(J23)*N(K23)+N(L23)*N(M23)+N(N23)*N(O23))-(N(J23)+N(L23)+N(N23))*F23)-N(Q23))</f>
        <v/>
      </c>
      <c r="V23" s="9">
        <f>IF(OR(B23="",P23=""),"",U23/S23)</f>
        <v/>
      </c>
      <c r="W23">
        <f>IF(OR(B23="",P23=""),"",NETWORKDAYS(C23,P23)-1)</f>
        <v/>
      </c>
      <c r="X23">
        <f>IF(B23="","",IF(P23="","Aberto","Fechado"))</f>
        <v/>
      </c>
    </row>
    <row r="24">
      <c r="C24" s="6" t="n"/>
      <c r="E24" s="7" t="n"/>
      <c r="F24" s="8" t="n"/>
      <c r="G24" s="8" t="n"/>
      <c r="H24" s="8" t="n"/>
      <c r="J24" s="7" t="n"/>
      <c r="K24" s="8" t="n"/>
      <c r="L24" s="7" t="n"/>
      <c r="M24" s="8" t="n"/>
      <c r="N24" s="7" t="n"/>
      <c r="O24" s="8" t="n"/>
      <c r="P24" s="6" t="n"/>
      <c r="Q24" s="8" t="n"/>
      <c r="S24" s="8">
        <f>IF(B24="","",E24*F24)</f>
        <v/>
      </c>
      <c r="T24" s="8">
        <f>IF(OR(B24="",N(G24)=0),"",ABS(F24-G24)*E24)</f>
        <v/>
      </c>
      <c r="U24" s="8">
        <f>IF(OR(B24="",P24=""),"",IF(D24="Venda",-1,1)*((N(J24)*N(K24)+N(L24)*N(M24)+N(N24)*N(O24))-(N(J24)+N(L24)+N(N24))*F24)-N(Q24))</f>
        <v/>
      </c>
      <c r="V24" s="9">
        <f>IF(OR(B24="",P24=""),"",U24/S24)</f>
        <v/>
      </c>
      <c r="W24">
        <f>IF(OR(B24="",P24=""),"",NETWORKDAYS(C24,P24)-1)</f>
        <v/>
      </c>
      <c r="X24">
        <f>IF(B24="","",IF(P24="","Aberto","Fechado"))</f>
        <v/>
      </c>
    </row>
    <row r="25">
      <c r="C25" s="6" t="n"/>
      <c r="E25" s="7" t="n"/>
      <c r="F25" s="8" t="n"/>
      <c r="G25" s="8" t="n"/>
      <c r="H25" s="8" t="n"/>
      <c r="J25" s="7" t="n"/>
      <c r="K25" s="8" t="n"/>
      <c r="L25" s="7" t="n"/>
      <c r="M25" s="8" t="n"/>
      <c r="N25" s="7" t="n"/>
      <c r="O25" s="8" t="n"/>
      <c r="P25" s="6" t="n"/>
      <c r="Q25" s="8" t="n"/>
      <c r="S25" s="8">
        <f>IF(B25="","",E25*F25)</f>
        <v/>
      </c>
      <c r="T25" s="8">
        <f>IF(OR(B25="",N(G25)=0),"",ABS(F25-G25)*E25)</f>
        <v/>
      </c>
      <c r="U25" s="8">
        <f>IF(OR(B25="",P25=""),"",IF(D25="Venda",-1,1)*((N(J25)*N(K25)+N(L25)*N(M25)+N(N25)*N(O25))-(N(J25)+N(L25)+N(N25))*F25)-N(Q25))</f>
        <v/>
      </c>
      <c r="V25" s="9">
        <f>IF(OR(B25="",P25=""),"",U25/S25)</f>
        <v/>
      </c>
      <c r="W25">
        <f>IF(OR(B25="",P25=""),"",NETWORKDAYS(C25,P25)-1)</f>
        <v/>
      </c>
      <c r="X25">
        <f>IF(B25="","",IF(P25="","Aberto","Fechado"))</f>
        <v/>
      </c>
    </row>
    <row r="26">
      <c r="C26" s="6" t="n"/>
      <c r="E26" s="7" t="n"/>
      <c r="F26" s="8" t="n"/>
      <c r="G26" s="8" t="n"/>
      <c r="H26" s="8" t="n"/>
      <c r="J26" s="7" t="n"/>
      <c r="K26" s="8" t="n"/>
      <c r="L26" s="7" t="n"/>
      <c r="M26" s="8" t="n"/>
      <c r="N26" s="7" t="n"/>
      <c r="O26" s="8" t="n"/>
      <c r="P26" s="6" t="n"/>
      <c r="Q26" s="8" t="n"/>
      <c r="S26" s="8">
        <f>IF(B26="","",E26*F26)</f>
        <v/>
      </c>
      <c r="T26" s="8">
        <f>IF(OR(B26="",N(G26)=0),"",ABS(F26-G26)*E26)</f>
        <v/>
      </c>
      <c r="U26" s="8">
        <f>IF(OR(B26="",P26=""),"",IF(D26="Venda",-1,1)*((N(J26)*N(K26)+N(L26)*N(M26)+N(N26)*N(O26))-(N(J26)+N(L26)+N(N26))*F26)-N(Q26))</f>
        <v/>
      </c>
      <c r="V26" s="9">
        <f>IF(OR(B26="",P26=""),"",U26/S26)</f>
        <v/>
      </c>
      <c r="W26">
        <f>IF(OR(B26="",P26=""),"",NETWORKDAYS(C26,P26)-1)</f>
        <v/>
      </c>
      <c r="X26">
        <f>IF(B26="","",IF(P26="","Aberto","Fechado"))</f>
        <v/>
      </c>
    </row>
    <row r="27">
      <c r="C27" s="6" t="n"/>
      <c r="E27" s="7" t="n"/>
      <c r="F27" s="8" t="n"/>
      <c r="G27" s="8" t="n"/>
      <c r="H27" s="8" t="n"/>
      <c r="J27" s="7" t="n"/>
      <c r="K27" s="8" t="n"/>
      <c r="L27" s="7" t="n"/>
      <c r="M27" s="8" t="n"/>
      <c r="N27" s="7" t="n"/>
      <c r="O27" s="8" t="n"/>
      <c r="P27" s="6" t="n"/>
      <c r="Q27" s="8" t="n"/>
      <c r="S27" s="8">
        <f>IF(B27="","",E27*F27)</f>
        <v/>
      </c>
      <c r="T27" s="8">
        <f>IF(OR(B27="",N(G27)=0),"",ABS(F27-G27)*E27)</f>
        <v/>
      </c>
      <c r="U27" s="8">
        <f>IF(OR(B27="",P27=""),"",IF(D27="Venda",-1,1)*((N(J27)*N(K27)+N(L27)*N(M27)+N(N27)*N(O27))-(N(J27)+N(L27)+N(N27))*F27)-N(Q27))</f>
        <v/>
      </c>
      <c r="V27" s="9">
        <f>IF(OR(B27="",P27=""),"",U27/S27)</f>
        <v/>
      </c>
      <c r="W27">
        <f>IF(OR(B27="",P27=""),"",NETWORKDAYS(C27,P27)-1)</f>
        <v/>
      </c>
      <c r="X27">
        <f>IF(B27="","",IF(P27="","Aberto","Fechado"))</f>
        <v/>
      </c>
    </row>
    <row r="28">
      <c r="C28" s="6" t="n"/>
      <c r="E28" s="7" t="n"/>
      <c r="F28" s="8" t="n"/>
      <c r="G28" s="8" t="n"/>
      <c r="H28" s="8" t="n"/>
      <c r="J28" s="7" t="n"/>
      <c r="K28" s="8" t="n"/>
      <c r="L28" s="7" t="n"/>
      <c r="M28" s="8" t="n"/>
      <c r="N28" s="7" t="n"/>
      <c r="O28" s="8" t="n"/>
      <c r="P28" s="6" t="n"/>
      <c r="Q28" s="8" t="n"/>
      <c r="S28" s="8">
        <f>IF(B28="","",E28*F28)</f>
        <v/>
      </c>
      <c r="T28" s="8">
        <f>IF(OR(B28="",N(G28)=0),"",ABS(F28-G28)*E28)</f>
        <v/>
      </c>
      <c r="U28" s="8">
        <f>IF(OR(B28="",P28=""),"",IF(D28="Venda",-1,1)*((N(J28)*N(K28)+N(L28)*N(M28)+N(N28)*N(O28))-(N(J28)+N(L28)+N(N28))*F28)-N(Q28))</f>
        <v/>
      </c>
      <c r="V28" s="9">
        <f>IF(OR(B28="",P28=""),"",U28/S28)</f>
        <v/>
      </c>
      <c r="W28">
        <f>IF(OR(B28="",P28=""),"",NETWORKDAYS(C28,P28)-1)</f>
        <v/>
      </c>
      <c r="X28">
        <f>IF(B28="","",IF(P28="","Aberto","Fechado"))</f>
        <v/>
      </c>
    </row>
    <row r="29">
      <c r="C29" s="6" t="n"/>
      <c r="E29" s="7" t="n"/>
      <c r="F29" s="8" t="n"/>
      <c r="G29" s="8" t="n"/>
      <c r="H29" s="8" t="n"/>
      <c r="J29" s="7" t="n"/>
      <c r="K29" s="8" t="n"/>
      <c r="L29" s="7" t="n"/>
      <c r="M29" s="8" t="n"/>
      <c r="N29" s="7" t="n"/>
      <c r="O29" s="8" t="n"/>
      <c r="P29" s="6" t="n"/>
      <c r="Q29" s="8" t="n"/>
      <c r="S29" s="8">
        <f>IF(B29="","",E29*F29)</f>
        <v/>
      </c>
      <c r="T29" s="8">
        <f>IF(OR(B29="",N(G29)=0),"",ABS(F29-G29)*E29)</f>
        <v/>
      </c>
      <c r="U29" s="8">
        <f>IF(OR(B29="",P29=""),"",IF(D29="Venda",-1,1)*((N(J29)*N(K29)+N(L29)*N(M29)+N(N29)*N(O29))-(N(J29)+N(L29)+N(N29))*F29)-N(Q29))</f>
        <v/>
      </c>
      <c r="V29" s="9">
        <f>IF(OR(B29="",P29=""),"",U29/S29)</f>
        <v/>
      </c>
      <c r="W29">
        <f>IF(OR(B29="",P29=""),"",NETWORKDAYS(C29,P29)-1)</f>
        <v/>
      </c>
      <c r="X29">
        <f>IF(B29="","",IF(P29="","Aberto","Fechado"))</f>
        <v/>
      </c>
    </row>
    <row r="30">
      <c r="C30" s="6" t="n"/>
      <c r="E30" s="7" t="n"/>
      <c r="F30" s="8" t="n"/>
      <c r="G30" s="8" t="n"/>
      <c r="H30" s="8" t="n"/>
      <c r="J30" s="7" t="n"/>
      <c r="K30" s="8" t="n"/>
      <c r="L30" s="7" t="n"/>
      <c r="M30" s="8" t="n"/>
      <c r="N30" s="7" t="n"/>
      <c r="O30" s="8" t="n"/>
      <c r="P30" s="6" t="n"/>
      <c r="Q30" s="8" t="n"/>
      <c r="S30" s="8">
        <f>IF(B30="","",E30*F30)</f>
        <v/>
      </c>
      <c r="T30" s="8">
        <f>IF(OR(B30="",N(G30)=0),"",ABS(F30-G30)*E30)</f>
        <v/>
      </c>
      <c r="U30" s="8">
        <f>IF(OR(B30="",P30=""),"",IF(D30="Venda",-1,1)*((N(J30)*N(K30)+N(L30)*N(M30)+N(N30)*N(O30))-(N(J30)+N(L30)+N(N30))*F30)-N(Q30))</f>
        <v/>
      </c>
      <c r="V30" s="9">
        <f>IF(OR(B30="",P30=""),"",U30/S30)</f>
        <v/>
      </c>
      <c r="W30">
        <f>IF(OR(B30="",P30=""),"",NETWORKDAYS(C30,P30)-1)</f>
        <v/>
      </c>
      <c r="X30">
        <f>IF(B30="","",IF(P30="","Aberto","Fechado"))</f>
        <v/>
      </c>
    </row>
    <row r="31">
      <c r="C31" s="6" t="n"/>
      <c r="E31" s="7" t="n"/>
      <c r="F31" s="8" t="n"/>
      <c r="G31" s="8" t="n"/>
      <c r="H31" s="8" t="n"/>
      <c r="J31" s="7" t="n"/>
      <c r="K31" s="8" t="n"/>
      <c r="L31" s="7" t="n"/>
      <c r="M31" s="8" t="n"/>
      <c r="N31" s="7" t="n"/>
      <c r="O31" s="8" t="n"/>
      <c r="P31" s="6" t="n"/>
      <c r="Q31" s="8" t="n"/>
      <c r="S31" s="8">
        <f>IF(B31="","",E31*F31)</f>
        <v/>
      </c>
      <c r="T31" s="8">
        <f>IF(OR(B31="",N(G31)=0),"",ABS(F31-G31)*E31)</f>
        <v/>
      </c>
      <c r="U31" s="8">
        <f>IF(OR(B31="",P31=""),"",IF(D31="Venda",-1,1)*((N(J31)*N(K31)+N(L31)*N(M31)+N(N31)*N(O31))-(N(J31)+N(L31)+N(N31))*F31)-N(Q31))</f>
        <v/>
      </c>
      <c r="V31" s="9">
        <f>IF(OR(B31="",P31=""),"",U31/S31)</f>
        <v/>
      </c>
      <c r="W31">
        <f>IF(OR(B31="",P31=""),"",NETWORKDAYS(C31,P31)-1)</f>
        <v/>
      </c>
      <c r="X31">
        <f>IF(B31="","",IF(P31="","Aberto","Fechado"))</f>
        <v/>
      </c>
    </row>
    <row r="32">
      <c r="C32" s="6" t="n"/>
      <c r="E32" s="7" t="n"/>
      <c r="F32" s="8" t="n"/>
      <c r="G32" s="8" t="n"/>
      <c r="H32" s="8" t="n"/>
      <c r="J32" s="7" t="n"/>
      <c r="K32" s="8" t="n"/>
      <c r="L32" s="7" t="n"/>
      <c r="M32" s="8" t="n"/>
      <c r="N32" s="7" t="n"/>
      <c r="O32" s="8" t="n"/>
      <c r="P32" s="6" t="n"/>
      <c r="Q32" s="8" t="n"/>
      <c r="S32" s="8">
        <f>IF(B32="","",E32*F32)</f>
        <v/>
      </c>
      <c r="T32" s="8">
        <f>IF(OR(B32="",N(G32)=0),"",ABS(F32-G32)*E32)</f>
        <v/>
      </c>
      <c r="U32" s="8">
        <f>IF(OR(B32="",P32=""),"",IF(D32="Venda",-1,1)*((N(J32)*N(K32)+N(L32)*N(M32)+N(N32)*N(O32))-(N(J32)+N(L32)+N(N32))*F32)-N(Q32))</f>
        <v/>
      </c>
      <c r="V32" s="9">
        <f>IF(OR(B32="",P32=""),"",U32/S32)</f>
        <v/>
      </c>
      <c r="W32">
        <f>IF(OR(B32="",P32=""),"",NETWORKDAYS(C32,P32)-1)</f>
        <v/>
      </c>
      <c r="X32">
        <f>IF(B32="","",IF(P32="","Aberto","Fechado"))</f>
        <v/>
      </c>
    </row>
    <row r="33">
      <c r="C33" s="6" t="n"/>
      <c r="E33" s="7" t="n"/>
      <c r="F33" s="8" t="n"/>
      <c r="G33" s="8" t="n"/>
      <c r="H33" s="8" t="n"/>
      <c r="J33" s="7" t="n"/>
      <c r="K33" s="8" t="n"/>
      <c r="L33" s="7" t="n"/>
      <c r="M33" s="8" t="n"/>
      <c r="N33" s="7" t="n"/>
      <c r="O33" s="8" t="n"/>
      <c r="P33" s="6" t="n"/>
      <c r="Q33" s="8" t="n"/>
      <c r="S33" s="8">
        <f>IF(B33="","",E33*F33)</f>
        <v/>
      </c>
      <c r="T33" s="8">
        <f>IF(OR(B33="",N(G33)=0),"",ABS(F33-G33)*E33)</f>
        <v/>
      </c>
      <c r="U33" s="8">
        <f>IF(OR(B33="",P33=""),"",IF(D33="Venda",-1,1)*((N(J33)*N(K33)+N(L33)*N(M33)+N(N33)*N(O33))-(N(J33)+N(L33)+N(N33))*F33)-N(Q33))</f>
        <v/>
      </c>
      <c r="V33" s="9">
        <f>IF(OR(B33="",P33=""),"",U33/S33)</f>
        <v/>
      </c>
      <c r="W33">
        <f>IF(OR(B33="",P33=""),"",NETWORKDAYS(C33,P33)-1)</f>
        <v/>
      </c>
      <c r="X33">
        <f>IF(B33="","",IF(P33="","Aberto","Fechado"))</f>
        <v/>
      </c>
    </row>
    <row r="34">
      <c r="C34" s="6" t="n"/>
      <c r="E34" s="7" t="n"/>
      <c r="F34" s="8" t="n"/>
      <c r="G34" s="8" t="n"/>
      <c r="H34" s="8" t="n"/>
      <c r="J34" s="7" t="n"/>
      <c r="K34" s="8" t="n"/>
      <c r="L34" s="7" t="n"/>
      <c r="M34" s="8" t="n"/>
      <c r="N34" s="7" t="n"/>
      <c r="O34" s="8" t="n"/>
      <c r="P34" s="6" t="n"/>
      <c r="Q34" s="8" t="n"/>
      <c r="S34" s="8">
        <f>IF(B34="","",E34*F34)</f>
        <v/>
      </c>
      <c r="T34" s="8">
        <f>IF(OR(B34="",N(G34)=0),"",ABS(F34-G34)*E34)</f>
        <v/>
      </c>
      <c r="U34" s="8">
        <f>IF(OR(B34="",P34=""),"",IF(D34="Venda",-1,1)*((N(J34)*N(K34)+N(L34)*N(M34)+N(N34)*N(O34))-(N(J34)+N(L34)+N(N34))*F34)-N(Q34))</f>
        <v/>
      </c>
      <c r="V34" s="9">
        <f>IF(OR(B34="",P34=""),"",U34/S34)</f>
        <v/>
      </c>
      <c r="W34">
        <f>IF(OR(B34="",P34=""),"",NETWORKDAYS(C34,P34)-1)</f>
        <v/>
      </c>
      <c r="X34">
        <f>IF(B34="","",IF(P34="","Aberto","Fechado"))</f>
        <v/>
      </c>
    </row>
    <row r="35">
      <c r="C35" s="6" t="n"/>
      <c r="E35" s="7" t="n"/>
      <c r="F35" s="8" t="n"/>
      <c r="G35" s="8" t="n"/>
      <c r="H35" s="8" t="n"/>
      <c r="J35" s="7" t="n"/>
      <c r="K35" s="8" t="n"/>
      <c r="L35" s="7" t="n"/>
      <c r="M35" s="8" t="n"/>
      <c r="N35" s="7" t="n"/>
      <c r="O35" s="8" t="n"/>
      <c r="P35" s="6" t="n"/>
      <c r="Q35" s="8" t="n"/>
      <c r="S35" s="8">
        <f>IF(B35="","",E35*F35)</f>
        <v/>
      </c>
      <c r="T35" s="8">
        <f>IF(OR(B35="",N(G35)=0),"",ABS(F35-G35)*E35)</f>
        <v/>
      </c>
      <c r="U35" s="8">
        <f>IF(OR(B35="",P35=""),"",IF(D35="Venda",-1,1)*((N(J35)*N(K35)+N(L35)*N(M35)+N(N35)*N(O35))-(N(J35)+N(L35)+N(N35))*F35)-N(Q35))</f>
        <v/>
      </c>
      <c r="V35" s="9">
        <f>IF(OR(B35="",P35=""),"",U35/S35)</f>
        <v/>
      </c>
      <c r="W35">
        <f>IF(OR(B35="",P35=""),"",NETWORKDAYS(C35,P35)-1)</f>
        <v/>
      </c>
      <c r="X35">
        <f>IF(B35="","",IF(P35="","Aberto","Fechado"))</f>
        <v/>
      </c>
    </row>
    <row r="36">
      <c r="C36" s="6" t="n"/>
      <c r="E36" s="7" t="n"/>
      <c r="F36" s="8" t="n"/>
      <c r="G36" s="8" t="n"/>
      <c r="H36" s="8" t="n"/>
      <c r="J36" s="7" t="n"/>
      <c r="K36" s="8" t="n"/>
      <c r="L36" s="7" t="n"/>
      <c r="M36" s="8" t="n"/>
      <c r="N36" s="7" t="n"/>
      <c r="O36" s="8" t="n"/>
      <c r="P36" s="6" t="n"/>
      <c r="Q36" s="8" t="n"/>
      <c r="S36" s="8">
        <f>IF(B36="","",E36*F36)</f>
        <v/>
      </c>
      <c r="T36" s="8">
        <f>IF(OR(B36="",N(G36)=0),"",ABS(F36-G36)*E36)</f>
        <v/>
      </c>
      <c r="U36" s="8">
        <f>IF(OR(B36="",P36=""),"",IF(D36="Venda",-1,1)*((N(J36)*N(K36)+N(L36)*N(M36)+N(N36)*N(O36))-(N(J36)+N(L36)+N(N36))*F36)-N(Q36))</f>
        <v/>
      </c>
      <c r="V36" s="9">
        <f>IF(OR(B36="",P36=""),"",U36/S36)</f>
        <v/>
      </c>
      <c r="W36">
        <f>IF(OR(B36="",P36=""),"",NETWORKDAYS(C36,P36)-1)</f>
        <v/>
      </c>
      <c r="X36">
        <f>IF(B36="","",IF(P36="","Aberto","Fechado"))</f>
        <v/>
      </c>
    </row>
    <row r="37">
      <c r="C37" s="6" t="n"/>
      <c r="E37" s="7" t="n"/>
      <c r="F37" s="8" t="n"/>
      <c r="G37" s="8" t="n"/>
      <c r="H37" s="8" t="n"/>
      <c r="J37" s="7" t="n"/>
      <c r="K37" s="8" t="n"/>
      <c r="L37" s="7" t="n"/>
      <c r="M37" s="8" t="n"/>
      <c r="N37" s="7" t="n"/>
      <c r="O37" s="8" t="n"/>
      <c r="P37" s="6" t="n"/>
      <c r="Q37" s="8" t="n"/>
      <c r="S37" s="8">
        <f>IF(B37="","",E37*F37)</f>
        <v/>
      </c>
      <c r="T37" s="8">
        <f>IF(OR(B37="",N(G37)=0),"",ABS(F37-G37)*E37)</f>
        <v/>
      </c>
      <c r="U37" s="8">
        <f>IF(OR(B37="",P37=""),"",IF(D37="Venda",-1,1)*((N(J37)*N(K37)+N(L37)*N(M37)+N(N37)*N(O37))-(N(J37)+N(L37)+N(N37))*F37)-N(Q37))</f>
        <v/>
      </c>
      <c r="V37" s="9">
        <f>IF(OR(B37="",P37=""),"",U37/S37)</f>
        <v/>
      </c>
      <c r="W37">
        <f>IF(OR(B37="",P37=""),"",NETWORKDAYS(C37,P37)-1)</f>
        <v/>
      </c>
      <c r="X37">
        <f>IF(B37="","",IF(P37="","Aberto","Fechado"))</f>
        <v/>
      </c>
    </row>
    <row r="38">
      <c r="C38" s="6" t="n"/>
      <c r="E38" s="7" t="n"/>
      <c r="F38" s="8" t="n"/>
      <c r="G38" s="8" t="n"/>
      <c r="H38" s="8" t="n"/>
      <c r="J38" s="7" t="n"/>
      <c r="K38" s="8" t="n"/>
      <c r="L38" s="7" t="n"/>
      <c r="M38" s="8" t="n"/>
      <c r="N38" s="7" t="n"/>
      <c r="O38" s="8" t="n"/>
      <c r="P38" s="6" t="n"/>
      <c r="Q38" s="8" t="n"/>
      <c r="S38" s="8">
        <f>IF(B38="","",E38*F38)</f>
        <v/>
      </c>
      <c r="T38" s="8">
        <f>IF(OR(B38="",N(G38)=0),"",ABS(F38-G38)*E38)</f>
        <v/>
      </c>
      <c r="U38" s="8">
        <f>IF(OR(B38="",P38=""),"",IF(D38="Venda",-1,1)*((N(J38)*N(K38)+N(L38)*N(M38)+N(N38)*N(O38))-(N(J38)+N(L38)+N(N38))*F38)-N(Q38))</f>
        <v/>
      </c>
      <c r="V38" s="9">
        <f>IF(OR(B38="",P38=""),"",U38/S38)</f>
        <v/>
      </c>
      <c r="W38">
        <f>IF(OR(B38="",P38=""),"",NETWORKDAYS(C38,P38)-1)</f>
        <v/>
      </c>
      <c r="X38">
        <f>IF(B38="","",IF(P38="","Aberto","Fechado"))</f>
        <v/>
      </c>
    </row>
    <row r="39">
      <c r="C39" s="6" t="n"/>
      <c r="E39" s="7" t="n"/>
      <c r="F39" s="8" t="n"/>
      <c r="G39" s="8" t="n"/>
      <c r="H39" s="8" t="n"/>
      <c r="J39" s="7" t="n"/>
      <c r="K39" s="8" t="n"/>
      <c r="L39" s="7" t="n"/>
      <c r="M39" s="8" t="n"/>
      <c r="N39" s="7" t="n"/>
      <c r="O39" s="8" t="n"/>
      <c r="P39" s="6" t="n"/>
      <c r="Q39" s="8" t="n"/>
      <c r="S39" s="8">
        <f>IF(B39="","",E39*F39)</f>
        <v/>
      </c>
      <c r="T39" s="8">
        <f>IF(OR(B39="",N(G39)=0),"",ABS(F39-G39)*E39)</f>
        <v/>
      </c>
      <c r="U39" s="8">
        <f>IF(OR(B39="",P39=""),"",IF(D39="Venda",-1,1)*((N(J39)*N(K39)+N(L39)*N(M39)+N(N39)*N(O39))-(N(J39)+N(L39)+N(N39))*F39)-N(Q39))</f>
        <v/>
      </c>
      <c r="V39" s="9">
        <f>IF(OR(B39="",P39=""),"",U39/S39)</f>
        <v/>
      </c>
      <c r="W39">
        <f>IF(OR(B39="",P39=""),"",NETWORKDAYS(C39,P39)-1)</f>
        <v/>
      </c>
      <c r="X39">
        <f>IF(B39="","",IF(P39="","Aberto","Fechado"))</f>
        <v/>
      </c>
    </row>
    <row r="40">
      <c r="C40" s="6" t="n"/>
      <c r="E40" s="7" t="n"/>
      <c r="F40" s="8" t="n"/>
      <c r="G40" s="8" t="n"/>
      <c r="H40" s="8" t="n"/>
      <c r="J40" s="7" t="n"/>
      <c r="K40" s="8" t="n"/>
      <c r="L40" s="7" t="n"/>
      <c r="M40" s="8" t="n"/>
      <c r="N40" s="7" t="n"/>
      <c r="O40" s="8" t="n"/>
      <c r="P40" s="6" t="n"/>
      <c r="Q40" s="8" t="n"/>
      <c r="S40" s="8">
        <f>IF(B40="","",E40*F40)</f>
        <v/>
      </c>
      <c r="T40" s="8">
        <f>IF(OR(B40="",N(G40)=0),"",ABS(F40-G40)*E40)</f>
        <v/>
      </c>
      <c r="U40" s="8">
        <f>IF(OR(B40="",P40=""),"",IF(D40="Venda",-1,1)*((N(J40)*N(K40)+N(L40)*N(M40)+N(N40)*N(O40))-(N(J40)+N(L40)+N(N40))*F40)-N(Q40))</f>
        <v/>
      </c>
      <c r="V40" s="9">
        <f>IF(OR(B40="",P40=""),"",U40/S40)</f>
        <v/>
      </c>
      <c r="W40">
        <f>IF(OR(B40="",P40=""),"",NETWORKDAYS(C40,P40)-1)</f>
        <v/>
      </c>
      <c r="X40">
        <f>IF(B40="","",IF(P40="","Aberto","Fechado"))</f>
        <v/>
      </c>
    </row>
    <row r="41">
      <c r="C41" s="6" t="n"/>
      <c r="E41" s="7" t="n"/>
      <c r="F41" s="8" t="n"/>
      <c r="G41" s="8" t="n"/>
      <c r="H41" s="8" t="n"/>
      <c r="J41" s="7" t="n"/>
      <c r="K41" s="8" t="n"/>
      <c r="L41" s="7" t="n"/>
      <c r="M41" s="8" t="n"/>
      <c r="N41" s="7" t="n"/>
      <c r="O41" s="8" t="n"/>
      <c r="P41" s="6" t="n"/>
      <c r="Q41" s="8" t="n"/>
      <c r="S41" s="8">
        <f>IF(B41="","",E41*F41)</f>
        <v/>
      </c>
      <c r="T41" s="8">
        <f>IF(OR(B41="",N(G41)=0),"",ABS(F41-G41)*E41)</f>
        <v/>
      </c>
      <c r="U41" s="8">
        <f>IF(OR(B41="",P41=""),"",IF(D41="Venda",-1,1)*((N(J41)*N(K41)+N(L41)*N(M41)+N(N41)*N(O41))-(N(J41)+N(L41)+N(N41))*F41)-N(Q41))</f>
        <v/>
      </c>
      <c r="V41" s="9">
        <f>IF(OR(B41="",P41=""),"",U41/S41)</f>
        <v/>
      </c>
      <c r="W41">
        <f>IF(OR(B41="",P41=""),"",NETWORKDAYS(C41,P41)-1)</f>
        <v/>
      </c>
      <c r="X41">
        <f>IF(B41="","",IF(P41="","Aberto","Fechado"))</f>
        <v/>
      </c>
    </row>
    <row r="42">
      <c r="C42" s="6" t="n"/>
      <c r="E42" s="7" t="n"/>
      <c r="F42" s="8" t="n"/>
      <c r="G42" s="8" t="n"/>
      <c r="H42" s="8" t="n"/>
      <c r="J42" s="7" t="n"/>
      <c r="K42" s="8" t="n"/>
      <c r="L42" s="7" t="n"/>
      <c r="M42" s="8" t="n"/>
      <c r="N42" s="7" t="n"/>
      <c r="O42" s="8" t="n"/>
      <c r="P42" s="6" t="n"/>
      <c r="Q42" s="8" t="n"/>
      <c r="S42" s="8">
        <f>IF(B42="","",E42*F42)</f>
        <v/>
      </c>
      <c r="T42" s="8">
        <f>IF(OR(B42="",N(G42)=0),"",ABS(F42-G42)*E42)</f>
        <v/>
      </c>
      <c r="U42" s="8">
        <f>IF(OR(B42="",P42=""),"",IF(D42="Venda",-1,1)*((N(J42)*N(K42)+N(L42)*N(M42)+N(N42)*N(O42))-(N(J42)+N(L42)+N(N42))*F42)-N(Q42))</f>
        <v/>
      </c>
      <c r="V42" s="9">
        <f>IF(OR(B42="",P42=""),"",U42/S42)</f>
        <v/>
      </c>
      <c r="W42">
        <f>IF(OR(B42="",P42=""),"",NETWORKDAYS(C42,P42)-1)</f>
        <v/>
      </c>
      <c r="X42">
        <f>IF(B42="","",IF(P42="","Aberto","Fechado"))</f>
        <v/>
      </c>
    </row>
    <row r="43">
      <c r="C43" s="6" t="n"/>
      <c r="E43" s="7" t="n"/>
      <c r="F43" s="8" t="n"/>
      <c r="G43" s="8" t="n"/>
      <c r="H43" s="8" t="n"/>
      <c r="J43" s="7" t="n"/>
      <c r="K43" s="8" t="n"/>
      <c r="L43" s="7" t="n"/>
      <c r="M43" s="8" t="n"/>
      <c r="N43" s="7" t="n"/>
      <c r="O43" s="8" t="n"/>
      <c r="P43" s="6" t="n"/>
      <c r="Q43" s="8" t="n"/>
      <c r="S43" s="8">
        <f>IF(B43="","",E43*F43)</f>
        <v/>
      </c>
      <c r="T43" s="8">
        <f>IF(OR(B43="",N(G43)=0),"",ABS(F43-G43)*E43)</f>
        <v/>
      </c>
      <c r="U43" s="8">
        <f>IF(OR(B43="",P43=""),"",IF(D43="Venda",-1,1)*((N(J43)*N(K43)+N(L43)*N(M43)+N(N43)*N(O43))-(N(J43)+N(L43)+N(N43))*F43)-N(Q43))</f>
        <v/>
      </c>
      <c r="V43" s="9">
        <f>IF(OR(B43="",P43=""),"",U43/S43)</f>
        <v/>
      </c>
      <c r="W43">
        <f>IF(OR(B43="",P43=""),"",NETWORKDAYS(C43,P43)-1)</f>
        <v/>
      </c>
      <c r="X43">
        <f>IF(B43="","",IF(P43="","Aberto","Fechado"))</f>
        <v/>
      </c>
    </row>
    <row r="44">
      <c r="C44" s="6" t="n"/>
      <c r="E44" s="7" t="n"/>
      <c r="F44" s="8" t="n"/>
      <c r="G44" s="8" t="n"/>
      <c r="H44" s="8" t="n"/>
      <c r="J44" s="7" t="n"/>
      <c r="K44" s="8" t="n"/>
      <c r="L44" s="7" t="n"/>
      <c r="M44" s="8" t="n"/>
      <c r="N44" s="7" t="n"/>
      <c r="O44" s="8" t="n"/>
      <c r="P44" s="6" t="n"/>
      <c r="Q44" s="8" t="n"/>
      <c r="S44" s="8">
        <f>IF(B44="","",E44*F44)</f>
        <v/>
      </c>
      <c r="T44" s="8">
        <f>IF(OR(B44="",N(G44)=0),"",ABS(F44-G44)*E44)</f>
        <v/>
      </c>
      <c r="U44" s="8">
        <f>IF(OR(B44="",P44=""),"",IF(D44="Venda",-1,1)*((N(J44)*N(K44)+N(L44)*N(M44)+N(N44)*N(O44))-(N(J44)+N(L44)+N(N44))*F44)-N(Q44))</f>
        <v/>
      </c>
      <c r="V44" s="9">
        <f>IF(OR(B44="",P44=""),"",U44/S44)</f>
        <v/>
      </c>
      <c r="W44">
        <f>IF(OR(B44="",P44=""),"",NETWORKDAYS(C44,P44)-1)</f>
        <v/>
      </c>
      <c r="X44">
        <f>IF(B44="","",IF(P44="","Aberto","Fechado"))</f>
        <v/>
      </c>
    </row>
    <row r="45">
      <c r="C45" s="6" t="n"/>
      <c r="E45" s="7" t="n"/>
      <c r="F45" s="8" t="n"/>
      <c r="G45" s="8" t="n"/>
      <c r="H45" s="8" t="n"/>
      <c r="J45" s="7" t="n"/>
      <c r="K45" s="8" t="n"/>
      <c r="L45" s="7" t="n"/>
      <c r="M45" s="8" t="n"/>
      <c r="N45" s="7" t="n"/>
      <c r="O45" s="8" t="n"/>
      <c r="P45" s="6" t="n"/>
      <c r="Q45" s="8" t="n"/>
      <c r="S45" s="8">
        <f>IF(B45="","",E45*F45)</f>
        <v/>
      </c>
      <c r="T45" s="8">
        <f>IF(OR(B45="",N(G45)=0),"",ABS(F45-G45)*E45)</f>
        <v/>
      </c>
      <c r="U45" s="8">
        <f>IF(OR(B45="",P45=""),"",IF(D45="Venda",-1,1)*((N(J45)*N(K45)+N(L45)*N(M45)+N(N45)*N(O45))-(N(J45)+N(L45)+N(N45))*F45)-N(Q45))</f>
        <v/>
      </c>
      <c r="V45" s="9">
        <f>IF(OR(B45="",P45=""),"",U45/S45)</f>
        <v/>
      </c>
      <c r="W45">
        <f>IF(OR(B45="",P45=""),"",NETWORKDAYS(C45,P45)-1)</f>
        <v/>
      </c>
      <c r="X45">
        <f>IF(B45="","",IF(P45="","Aberto","Fechado"))</f>
        <v/>
      </c>
    </row>
    <row r="46">
      <c r="C46" s="6" t="n"/>
      <c r="E46" s="7" t="n"/>
      <c r="F46" s="8" t="n"/>
      <c r="G46" s="8" t="n"/>
      <c r="H46" s="8" t="n"/>
      <c r="J46" s="7" t="n"/>
      <c r="K46" s="8" t="n"/>
      <c r="L46" s="7" t="n"/>
      <c r="M46" s="8" t="n"/>
      <c r="N46" s="7" t="n"/>
      <c r="O46" s="8" t="n"/>
      <c r="P46" s="6" t="n"/>
      <c r="Q46" s="8" t="n"/>
      <c r="S46" s="8">
        <f>IF(B46="","",E46*F46)</f>
        <v/>
      </c>
      <c r="T46" s="8">
        <f>IF(OR(B46="",N(G46)=0),"",ABS(F46-G46)*E46)</f>
        <v/>
      </c>
      <c r="U46" s="8">
        <f>IF(OR(B46="",P46=""),"",IF(D46="Venda",-1,1)*((N(J46)*N(K46)+N(L46)*N(M46)+N(N46)*N(O46))-(N(J46)+N(L46)+N(N46))*F46)-N(Q46))</f>
        <v/>
      </c>
      <c r="V46" s="9">
        <f>IF(OR(B46="",P46=""),"",U46/S46)</f>
        <v/>
      </c>
      <c r="W46">
        <f>IF(OR(B46="",P46=""),"",NETWORKDAYS(C46,P46)-1)</f>
        <v/>
      </c>
      <c r="X46">
        <f>IF(B46="","",IF(P46="","Aberto","Fechado"))</f>
        <v/>
      </c>
    </row>
    <row r="47">
      <c r="C47" s="6" t="n"/>
      <c r="E47" s="7" t="n"/>
      <c r="F47" s="8" t="n"/>
      <c r="G47" s="8" t="n"/>
      <c r="H47" s="8" t="n"/>
      <c r="J47" s="7" t="n"/>
      <c r="K47" s="8" t="n"/>
      <c r="L47" s="7" t="n"/>
      <c r="M47" s="8" t="n"/>
      <c r="N47" s="7" t="n"/>
      <c r="O47" s="8" t="n"/>
      <c r="P47" s="6" t="n"/>
      <c r="Q47" s="8" t="n"/>
      <c r="S47" s="8">
        <f>IF(B47="","",E47*F47)</f>
        <v/>
      </c>
      <c r="T47" s="8">
        <f>IF(OR(B47="",N(G47)=0),"",ABS(F47-G47)*E47)</f>
        <v/>
      </c>
      <c r="U47" s="8">
        <f>IF(OR(B47="",P47=""),"",IF(D47="Venda",-1,1)*((N(J47)*N(K47)+N(L47)*N(M47)+N(N47)*N(O47))-(N(J47)+N(L47)+N(N47))*F47)-N(Q47))</f>
        <v/>
      </c>
      <c r="V47" s="9">
        <f>IF(OR(B47="",P47=""),"",U47/S47)</f>
        <v/>
      </c>
      <c r="W47">
        <f>IF(OR(B47="",P47=""),"",NETWORKDAYS(C47,P47)-1)</f>
        <v/>
      </c>
      <c r="X47">
        <f>IF(B47="","",IF(P47="","Aberto","Fechado"))</f>
        <v/>
      </c>
    </row>
    <row r="48">
      <c r="C48" s="6" t="n"/>
      <c r="E48" s="7" t="n"/>
      <c r="F48" s="8" t="n"/>
      <c r="G48" s="8" t="n"/>
      <c r="H48" s="8" t="n"/>
      <c r="J48" s="7" t="n"/>
      <c r="K48" s="8" t="n"/>
      <c r="L48" s="7" t="n"/>
      <c r="M48" s="8" t="n"/>
      <c r="N48" s="7" t="n"/>
      <c r="O48" s="8" t="n"/>
      <c r="P48" s="6" t="n"/>
      <c r="Q48" s="8" t="n"/>
      <c r="S48" s="8">
        <f>IF(B48="","",E48*F48)</f>
        <v/>
      </c>
      <c r="T48" s="8">
        <f>IF(OR(B48="",N(G48)=0),"",ABS(F48-G48)*E48)</f>
        <v/>
      </c>
      <c r="U48" s="8">
        <f>IF(OR(B48="",P48=""),"",IF(D48="Venda",-1,1)*((N(J48)*N(K48)+N(L48)*N(M48)+N(N48)*N(O48))-(N(J48)+N(L48)+N(N48))*F48)-N(Q48))</f>
        <v/>
      </c>
      <c r="V48" s="9">
        <f>IF(OR(B48="",P48=""),"",U48/S48)</f>
        <v/>
      </c>
      <c r="W48">
        <f>IF(OR(B48="",P48=""),"",NETWORKDAYS(C48,P48)-1)</f>
        <v/>
      </c>
      <c r="X48">
        <f>IF(B48="","",IF(P48="","Aberto","Fechado"))</f>
        <v/>
      </c>
    </row>
    <row r="49">
      <c r="C49" s="6" t="n"/>
      <c r="E49" s="7" t="n"/>
      <c r="F49" s="8" t="n"/>
      <c r="G49" s="8" t="n"/>
      <c r="H49" s="8" t="n"/>
      <c r="J49" s="7" t="n"/>
      <c r="K49" s="8" t="n"/>
      <c r="L49" s="7" t="n"/>
      <c r="M49" s="8" t="n"/>
      <c r="N49" s="7" t="n"/>
      <c r="O49" s="8" t="n"/>
      <c r="P49" s="6" t="n"/>
      <c r="Q49" s="8" t="n"/>
      <c r="S49" s="8">
        <f>IF(B49="","",E49*F49)</f>
        <v/>
      </c>
      <c r="T49" s="8">
        <f>IF(OR(B49="",N(G49)=0),"",ABS(F49-G49)*E49)</f>
        <v/>
      </c>
      <c r="U49" s="8">
        <f>IF(OR(B49="",P49=""),"",IF(D49="Venda",-1,1)*((N(J49)*N(K49)+N(L49)*N(M49)+N(N49)*N(O49))-(N(J49)+N(L49)+N(N49))*F49)-N(Q49))</f>
        <v/>
      </c>
      <c r="V49" s="9">
        <f>IF(OR(B49="",P49=""),"",U49/S49)</f>
        <v/>
      </c>
      <c r="W49">
        <f>IF(OR(B49="",P49=""),"",NETWORKDAYS(C49,P49)-1)</f>
        <v/>
      </c>
      <c r="X49">
        <f>IF(B49="","",IF(P49="","Aberto","Fechado"))</f>
        <v/>
      </c>
    </row>
    <row r="50">
      <c r="C50" s="6" t="n"/>
      <c r="E50" s="7" t="n"/>
      <c r="F50" s="8" t="n"/>
      <c r="G50" s="8" t="n"/>
      <c r="H50" s="8" t="n"/>
      <c r="J50" s="7" t="n"/>
      <c r="K50" s="8" t="n"/>
      <c r="L50" s="7" t="n"/>
      <c r="M50" s="8" t="n"/>
      <c r="N50" s="7" t="n"/>
      <c r="O50" s="8" t="n"/>
      <c r="P50" s="6" t="n"/>
      <c r="Q50" s="8" t="n"/>
      <c r="S50" s="8">
        <f>IF(B50="","",E50*F50)</f>
        <v/>
      </c>
      <c r="T50" s="8">
        <f>IF(OR(B50="",N(G50)=0),"",ABS(F50-G50)*E50)</f>
        <v/>
      </c>
      <c r="U50" s="8">
        <f>IF(OR(B50="",P50=""),"",IF(D50="Venda",-1,1)*((N(J50)*N(K50)+N(L50)*N(M50)+N(N50)*N(O50))-(N(J50)+N(L50)+N(N50))*F50)-N(Q50))</f>
        <v/>
      </c>
      <c r="V50" s="9">
        <f>IF(OR(B50="",P50=""),"",U50/S50)</f>
        <v/>
      </c>
      <c r="W50">
        <f>IF(OR(B50="",P50=""),"",NETWORKDAYS(C50,P50)-1)</f>
        <v/>
      </c>
      <c r="X50">
        <f>IF(B50="","",IF(P50="","Aberto","Fechado"))</f>
        <v/>
      </c>
    </row>
    <row r="51">
      <c r="C51" s="6" t="n"/>
      <c r="E51" s="7" t="n"/>
      <c r="F51" s="8" t="n"/>
      <c r="G51" s="8" t="n"/>
      <c r="H51" s="8" t="n"/>
      <c r="J51" s="7" t="n"/>
      <c r="K51" s="8" t="n"/>
      <c r="L51" s="7" t="n"/>
      <c r="M51" s="8" t="n"/>
      <c r="N51" s="7" t="n"/>
      <c r="O51" s="8" t="n"/>
      <c r="P51" s="6" t="n"/>
      <c r="Q51" s="8" t="n"/>
      <c r="S51" s="8">
        <f>IF(B51="","",E51*F51)</f>
        <v/>
      </c>
      <c r="T51" s="8">
        <f>IF(OR(B51="",N(G51)=0),"",ABS(F51-G51)*E51)</f>
        <v/>
      </c>
      <c r="U51" s="8">
        <f>IF(OR(B51="",P51=""),"",IF(D51="Venda",-1,1)*((N(J51)*N(K51)+N(L51)*N(M51)+N(N51)*N(O51))-(N(J51)+N(L51)+N(N51))*F51)-N(Q51))</f>
        <v/>
      </c>
      <c r="V51" s="9">
        <f>IF(OR(B51="",P51=""),"",U51/S51)</f>
        <v/>
      </c>
      <c r="W51">
        <f>IF(OR(B51="",P51=""),"",NETWORKDAYS(C51,P51)-1)</f>
        <v/>
      </c>
      <c r="X51">
        <f>IF(B51="","",IF(P51="","Aberto","Fechado"))</f>
        <v/>
      </c>
    </row>
    <row r="52">
      <c r="C52" s="6" t="n"/>
      <c r="E52" s="7" t="n"/>
      <c r="F52" s="8" t="n"/>
      <c r="G52" s="8" t="n"/>
      <c r="H52" s="8" t="n"/>
      <c r="J52" s="7" t="n"/>
      <c r="K52" s="8" t="n"/>
      <c r="L52" s="7" t="n"/>
      <c r="M52" s="8" t="n"/>
      <c r="N52" s="7" t="n"/>
      <c r="O52" s="8" t="n"/>
      <c r="P52" s="6" t="n"/>
      <c r="Q52" s="8" t="n"/>
      <c r="S52" s="8">
        <f>IF(B52="","",E52*F52)</f>
        <v/>
      </c>
      <c r="T52" s="8">
        <f>IF(OR(B52="",N(G52)=0),"",ABS(F52-G52)*E52)</f>
        <v/>
      </c>
      <c r="U52" s="8">
        <f>IF(OR(B52="",P52=""),"",IF(D52="Venda",-1,1)*((N(J52)*N(K52)+N(L52)*N(M52)+N(N52)*N(O52))-(N(J52)+N(L52)+N(N52))*F52)-N(Q52))</f>
        <v/>
      </c>
      <c r="V52" s="9">
        <f>IF(OR(B52="",P52=""),"",U52/S52)</f>
        <v/>
      </c>
      <c r="W52">
        <f>IF(OR(B52="",P52=""),"",NETWORKDAYS(C52,P52)-1)</f>
        <v/>
      </c>
      <c r="X52">
        <f>IF(B52="","",IF(P52="","Aberto","Fechado"))</f>
        <v/>
      </c>
    </row>
    <row r="53">
      <c r="C53" s="6" t="n"/>
      <c r="E53" s="7" t="n"/>
      <c r="F53" s="8" t="n"/>
      <c r="G53" s="8" t="n"/>
      <c r="H53" s="8" t="n"/>
      <c r="J53" s="7" t="n"/>
      <c r="K53" s="8" t="n"/>
      <c r="L53" s="7" t="n"/>
      <c r="M53" s="8" t="n"/>
      <c r="N53" s="7" t="n"/>
      <c r="O53" s="8" t="n"/>
      <c r="P53" s="6" t="n"/>
      <c r="Q53" s="8" t="n"/>
      <c r="S53" s="8">
        <f>IF(B53="","",E53*F53)</f>
        <v/>
      </c>
      <c r="T53" s="8">
        <f>IF(OR(B53="",N(G53)=0),"",ABS(F53-G53)*E53)</f>
        <v/>
      </c>
      <c r="U53" s="8">
        <f>IF(OR(B53="",P53=""),"",IF(D53="Venda",-1,1)*((N(J53)*N(K53)+N(L53)*N(M53)+N(N53)*N(O53))-(N(J53)+N(L53)+N(N53))*F53)-N(Q53))</f>
        <v/>
      </c>
      <c r="V53" s="9">
        <f>IF(OR(B53="",P53=""),"",U53/S53)</f>
        <v/>
      </c>
      <c r="W53">
        <f>IF(OR(B53="",P53=""),"",NETWORKDAYS(C53,P53)-1)</f>
        <v/>
      </c>
      <c r="X53">
        <f>IF(B53="","",IF(P53="","Aberto","Fechado"))</f>
        <v/>
      </c>
    </row>
    <row r="54">
      <c r="C54" s="6" t="n"/>
      <c r="E54" s="7" t="n"/>
      <c r="F54" s="8" t="n"/>
      <c r="G54" s="8" t="n"/>
      <c r="H54" s="8" t="n"/>
      <c r="J54" s="7" t="n"/>
      <c r="K54" s="8" t="n"/>
      <c r="L54" s="7" t="n"/>
      <c r="M54" s="8" t="n"/>
      <c r="N54" s="7" t="n"/>
      <c r="O54" s="8" t="n"/>
      <c r="P54" s="6" t="n"/>
      <c r="Q54" s="8" t="n"/>
      <c r="S54" s="8">
        <f>IF(B54="","",E54*F54)</f>
        <v/>
      </c>
      <c r="T54" s="8">
        <f>IF(OR(B54="",N(G54)=0),"",ABS(F54-G54)*E54)</f>
        <v/>
      </c>
      <c r="U54" s="8">
        <f>IF(OR(B54="",P54=""),"",IF(D54="Venda",-1,1)*((N(J54)*N(K54)+N(L54)*N(M54)+N(N54)*N(O54))-(N(J54)+N(L54)+N(N54))*F54)-N(Q54))</f>
        <v/>
      </c>
      <c r="V54" s="9">
        <f>IF(OR(B54="",P54=""),"",U54/S54)</f>
        <v/>
      </c>
      <c r="W54">
        <f>IF(OR(B54="",P54=""),"",NETWORKDAYS(C54,P54)-1)</f>
        <v/>
      </c>
      <c r="X54">
        <f>IF(B54="","",IF(P54="","Aberto","Fechado"))</f>
        <v/>
      </c>
    </row>
    <row r="55">
      <c r="C55" s="6" t="n"/>
      <c r="E55" s="7" t="n"/>
      <c r="F55" s="8" t="n"/>
      <c r="G55" s="8" t="n"/>
      <c r="H55" s="8" t="n"/>
      <c r="J55" s="7" t="n"/>
      <c r="K55" s="8" t="n"/>
      <c r="L55" s="7" t="n"/>
      <c r="M55" s="8" t="n"/>
      <c r="N55" s="7" t="n"/>
      <c r="O55" s="8" t="n"/>
      <c r="P55" s="6" t="n"/>
      <c r="Q55" s="8" t="n"/>
      <c r="S55" s="8">
        <f>IF(B55="","",E55*F55)</f>
        <v/>
      </c>
      <c r="T55" s="8">
        <f>IF(OR(B55="",N(G55)=0),"",ABS(F55-G55)*E55)</f>
        <v/>
      </c>
      <c r="U55" s="8">
        <f>IF(OR(B55="",P55=""),"",IF(D55="Venda",-1,1)*((N(J55)*N(K55)+N(L55)*N(M55)+N(N55)*N(O55))-(N(J55)+N(L55)+N(N55))*F55)-N(Q55))</f>
        <v/>
      </c>
      <c r="V55" s="9">
        <f>IF(OR(B55="",P55=""),"",U55/S55)</f>
        <v/>
      </c>
      <c r="W55">
        <f>IF(OR(B55="",P55=""),"",NETWORKDAYS(C55,P55)-1)</f>
        <v/>
      </c>
      <c r="X55">
        <f>IF(B55="","",IF(P55="","Aberto","Fechado"))</f>
        <v/>
      </c>
    </row>
    <row r="56">
      <c r="C56" s="6" t="n"/>
      <c r="E56" s="7" t="n"/>
      <c r="F56" s="8" t="n"/>
      <c r="G56" s="8" t="n"/>
      <c r="H56" s="8" t="n"/>
      <c r="J56" s="7" t="n"/>
      <c r="K56" s="8" t="n"/>
      <c r="L56" s="7" t="n"/>
      <c r="M56" s="8" t="n"/>
      <c r="N56" s="7" t="n"/>
      <c r="O56" s="8" t="n"/>
      <c r="P56" s="6" t="n"/>
      <c r="Q56" s="8" t="n"/>
      <c r="S56" s="8">
        <f>IF(B56="","",E56*F56)</f>
        <v/>
      </c>
      <c r="T56" s="8">
        <f>IF(OR(B56="",N(G56)=0),"",ABS(F56-G56)*E56)</f>
        <v/>
      </c>
      <c r="U56" s="8">
        <f>IF(OR(B56="",P56=""),"",IF(D56="Venda",-1,1)*((N(J56)*N(K56)+N(L56)*N(M56)+N(N56)*N(O56))-(N(J56)+N(L56)+N(N56))*F56)-N(Q56))</f>
        <v/>
      </c>
      <c r="V56" s="9">
        <f>IF(OR(B56="",P56=""),"",U56/S56)</f>
        <v/>
      </c>
      <c r="W56">
        <f>IF(OR(B56="",P56=""),"",NETWORKDAYS(C56,P56)-1)</f>
        <v/>
      </c>
      <c r="X56">
        <f>IF(B56="","",IF(P56="","Aberto","Fechado"))</f>
        <v/>
      </c>
    </row>
    <row r="57">
      <c r="C57" s="6" t="n"/>
      <c r="E57" s="7" t="n"/>
      <c r="F57" s="8" t="n"/>
      <c r="G57" s="8" t="n"/>
      <c r="H57" s="8" t="n"/>
      <c r="J57" s="7" t="n"/>
      <c r="K57" s="8" t="n"/>
      <c r="L57" s="7" t="n"/>
      <c r="M57" s="8" t="n"/>
      <c r="N57" s="7" t="n"/>
      <c r="O57" s="8" t="n"/>
      <c r="P57" s="6" t="n"/>
      <c r="Q57" s="8" t="n"/>
      <c r="S57" s="8">
        <f>IF(B57="","",E57*F57)</f>
        <v/>
      </c>
      <c r="T57" s="8">
        <f>IF(OR(B57="",N(G57)=0),"",ABS(F57-G57)*E57)</f>
        <v/>
      </c>
      <c r="U57" s="8">
        <f>IF(OR(B57="",P57=""),"",IF(D57="Venda",-1,1)*((N(J57)*N(K57)+N(L57)*N(M57)+N(N57)*N(O57))-(N(J57)+N(L57)+N(N57))*F57)-N(Q57))</f>
        <v/>
      </c>
      <c r="V57" s="9">
        <f>IF(OR(B57="",P57=""),"",U57/S57)</f>
        <v/>
      </c>
      <c r="W57">
        <f>IF(OR(B57="",P57=""),"",NETWORKDAYS(C57,P57)-1)</f>
        <v/>
      </c>
      <c r="X57">
        <f>IF(B57="","",IF(P57="","Aberto","Fechado"))</f>
        <v/>
      </c>
    </row>
    <row r="58">
      <c r="C58" s="6" t="n"/>
      <c r="E58" s="7" t="n"/>
      <c r="F58" s="8" t="n"/>
      <c r="G58" s="8" t="n"/>
      <c r="H58" s="8" t="n"/>
      <c r="J58" s="7" t="n"/>
      <c r="K58" s="8" t="n"/>
      <c r="L58" s="7" t="n"/>
      <c r="M58" s="8" t="n"/>
      <c r="N58" s="7" t="n"/>
      <c r="O58" s="8" t="n"/>
      <c r="P58" s="6" t="n"/>
      <c r="Q58" s="8" t="n"/>
      <c r="S58" s="8">
        <f>IF(B58="","",E58*F58)</f>
        <v/>
      </c>
      <c r="T58" s="8">
        <f>IF(OR(B58="",N(G58)=0),"",ABS(F58-G58)*E58)</f>
        <v/>
      </c>
      <c r="U58" s="8">
        <f>IF(OR(B58="",P58=""),"",IF(D58="Venda",-1,1)*((N(J58)*N(K58)+N(L58)*N(M58)+N(N58)*N(O58))-(N(J58)+N(L58)+N(N58))*F58)-N(Q58))</f>
        <v/>
      </c>
      <c r="V58" s="9">
        <f>IF(OR(B58="",P58=""),"",U58/S58)</f>
        <v/>
      </c>
      <c r="W58">
        <f>IF(OR(B58="",P58=""),"",NETWORKDAYS(C58,P58)-1)</f>
        <v/>
      </c>
      <c r="X58">
        <f>IF(B58="","",IF(P58="","Aberto","Fechado"))</f>
        <v/>
      </c>
    </row>
    <row r="59">
      <c r="C59" s="6" t="n"/>
      <c r="E59" s="7" t="n"/>
      <c r="F59" s="8" t="n"/>
      <c r="G59" s="8" t="n"/>
      <c r="H59" s="8" t="n"/>
      <c r="J59" s="7" t="n"/>
      <c r="K59" s="8" t="n"/>
      <c r="L59" s="7" t="n"/>
      <c r="M59" s="8" t="n"/>
      <c r="N59" s="7" t="n"/>
      <c r="O59" s="8" t="n"/>
      <c r="P59" s="6" t="n"/>
      <c r="Q59" s="8" t="n"/>
      <c r="S59" s="8">
        <f>IF(B59="","",E59*F59)</f>
        <v/>
      </c>
      <c r="T59" s="8">
        <f>IF(OR(B59="",N(G59)=0),"",ABS(F59-G59)*E59)</f>
        <v/>
      </c>
      <c r="U59" s="8">
        <f>IF(OR(B59="",P59=""),"",IF(D59="Venda",-1,1)*((N(J59)*N(K59)+N(L59)*N(M59)+N(N59)*N(O59))-(N(J59)+N(L59)+N(N59))*F59)-N(Q59))</f>
        <v/>
      </c>
      <c r="V59" s="9">
        <f>IF(OR(B59="",P59=""),"",U59/S59)</f>
        <v/>
      </c>
      <c r="W59">
        <f>IF(OR(B59="",P59=""),"",NETWORKDAYS(C59,P59)-1)</f>
        <v/>
      </c>
      <c r="X59">
        <f>IF(B59="","",IF(P59="","Aberto","Fechado"))</f>
        <v/>
      </c>
    </row>
    <row r="60">
      <c r="C60" s="6" t="n"/>
      <c r="E60" s="7" t="n"/>
      <c r="F60" s="8" t="n"/>
      <c r="G60" s="8" t="n"/>
      <c r="H60" s="8" t="n"/>
      <c r="J60" s="7" t="n"/>
      <c r="K60" s="8" t="n"/>
      <c r="L60" s="7" t="n"/>
      <c r="M60" s="8" t="n"/>
      <c r="N60" s="7" t="n"/>
      <c r="O60" s="8" t="n"/>
      <c r="P60" s="6" t="n"/>
      <c r="Q60" s="8" t="n"/>
      <c r="S60" s="8">
        <f>IF(B60="","",E60*F60)</f>
        <v/>
      </c>
      <c r="T60" s="8">
        <f>IF(OR(B60="",N(G60)=0),"",ABS(F60-G60)*E60)</f>
        <v/>
      </c>
      <c r="U60" s="8">
        <f>IF(OR(B60="",P60=""),"",IF(D60="Venda",-1,1)*((N(J60)*N(K60)+N(L60)*N(M60)+N(N60)*N(O60))-(N(J60)+N(L60)+N(N60))*F60)-N(Q60))</f>
        <v/>
      </c>
      <c r="V60" s="9">
        <f>IF(OR(B60="",P60=""),"",U60/S60)</f>
        <v/>
      </c>
      <c r="W60">
        <f>IF(OR(B60="",P60=""),"",NETWORKDAYS(C60,P60)-1)</f>
        <v/>
      </c>
      <c r="X60">
        <f>IF(B60="","",IF(P60="","Aberto","Fechado"))</f>
        <v/>
      </c>
    </row>
    <row r="61">
      <c r="C61" s="6" t="n"/>
      <c r="E61" s="7" t="n"/>
      <c r="F61" s="8" t="n"/>
      <c r="G61" s="8" t="n"/>
      <c r="H61" s="8" t="n"/>
      <c r="J61" s="7" t="n"/>
      <c r="K61" s="8" t="n"/>
      <c r="L61" s="7" t="n"/>
      <c r="M61" s="8" t="n"/>
      <c r="N61" s="7" t="n"/>
      <c r="O61" s="8" t="n"/>
      <c r="P61" s="6" t="n"/>
      <c r="Q61" s="8" t="n"/>
      <c r="S61" s="8">
        <f>IF(B61="","",E61*F61)</f>
        <v/>
      </c>
      <c r="T61" s="8">
        <f>IF(OR(B61="",N(G61)=0),"",ABS(F61-G61)*E61)</f>
        <v/>
      </c>
      <c r="U61" s="8">
        <f>IF(OR(B61="",P61=""),"",IF(D61="Venda",-1,1)*((N(J61)*N(K61)+N(L61)*N(M61)+N(N61)*N(O61))-(N(J61)+N(L61)+N(N61))*F61)-N(Q61))</f>
        <v/>
      </c>
      <c r="V61" s="9">
        <f>IF(OR(B61="",P61=""),"",U61/S61)</f>
        <v/>
      </c>
      <c r="W61">
        <f>IF(OR(B61="",P61=""),"",NETWORKDAYS(C61,P61)-1)</f>
        <v/>
      </c>
      <c r="X61">
        <f>IF(B61="","",IF(P61="","Aberto","Fechado"))</f>
        <v/>
      </c>
    </row>
    <row r="62">
      <c r="C62" s="6" t="n"/>
      <c r="E62" s="7" t="n"/>
      <c r="F62" s="8" t="n"/>
      <c r="G62" s="8" t="n"/>
      <c r="H62" s="8" t="n"/>
      <c r="J62" s="7" t="n"/>
      <c r="K62" s="8" t="n"/>
      <c r="L62" s="7" t="n"/>
      <c r="M62" s="8" t="n"/>
      <c r="N62" s="7" t="n"/>
      <c r="O62" s="8" t="n"/>
      <c r="P62" s="6" t="n"/>
      <c r="Q62" s="8" t="n"/>
      <c r="S62" s="8">
        <f>IF(B62="","",E62*F62)</f>
        <v/>
      </c>
      <c r="T62" s="8">
        <f>IF(OR(B62="",N(G62)=0),"",ABS(F62-G62)*E62)</f>
        <v/>
      </c>
      <c r="U62" s="8">
        <f>IF(OR(B62="",P62=""),"",IF(D62="Venda",-1,1)*((N(J62)*N(K62)+N(L62)*N(M62)+N(N62)*N(O62))-(N(J62)+N(L62)+N(N62))*F62)-N(Q62))</f>
        <v/>
      </c>
      <c r="V62" s="9">
        <f>IF(OR(B62="",P62=""),"",U62/S62)</f>
        <v/>
      </c>
      <c r="W62">
        <f>IF(OR(B62="",P62=""),"",NETWORKDAYS(C62,P62)-1)</f>
        <v/>
      </c>
      <c r="X62">
        <f>IF(B62="","",IF(P62="","Aberto","Fechado"))</f>
        <v/>
      </c>
    </row>
    <row r="63">
      <c r="C63" s="6" t="n"/>
      <c r="E63" s="7" t="n"/>
      <c r="F63" s="8" t="n"/>
      <c r="G63" s="8" t="n"/>
      <c r="H63" s="8" t="n"/>
      <c r="J63" s="7" t="n"/>
      <c r="K63" s="8" t="n"/>
      <c r="L63" s="7" t="n"/>
      <c r="M63" s="8" t="n"/>
      <c r="N63" s="7" t="n"/>
      <c r="O63" s="8" t="n"/>
      <c r="P63" s="6" t="n"/>
      <c r="Q63" s="8" t="n"/>
      <c r="S63" s="8">
        <f>IF(B63="","",E63*F63)</f>
        <v/>
      </c>
      <c r="T63" s="8">
        <f>IF(OR(B63="",N(G63)=0),"",ABS(F63-G63)*E63)</f>
        <v/>
      </c>
      <c r="U63" s="8">
        <f>IF(OR(B63="",P63=""),"",IF(D63="Venda",-1,1)*((N(J63)*N(K63)+N(L63)*N(M63)+N(N63)*N(O63))-(N(J63)+N(L63)+N(N63))*F63)-N(Q63))</f>
        <v/>
      </c>
      <c r="V63" s="9">
        <f>IF(OR(B63="",P63=""),"",U63/S63)</f>
        <v/>
      </c>
      <c r="W63">
        <f>IF(OR(B63="",P63=""),"",NETWORKDAYS(C63,P63)-1)</f>
        <v/>
      </c>
      <c r="X63">
        <f>IF(B63="","",IF(P63="","Aberto","Fechado"))</f>
        <v/>
      </c>
    </row>
    <row r="64">
      <c r="C64" s="6" t="n"/>
      <c r="E64" s="7" t="n"/>
      <c r="F64" s="8" t="n"/>
      <c r="G64" s="8" t="n"/>
      <c r="H64" s="8" t="n"/>
      <c r="J64" s="7" t="n"/>
      <c r="K64" s="8" t="n"/>
      <c r="L64" s="7" t="n"/>
      <c r="M64" s="8" t="n"/>
      <c r="N64" s="7" t="n"/>
      <c r="O64" s="8" t="n"/>
      <c r="P64" s="6" t="n"/>
      <c r="Q64" s="8" t="n"/>
      <c r="S64" s="8">
        <f>IF(B64="","",E64*F64)</f>
        <v/>
      </c>
      <c r="T64" s="8">
        <f>IF(OR(B64="",N(G64)=0),"",ABS(F64-G64)*E64)</f>
        <v/>
      </c>
      <c r="U64" s="8">
        <f>IF(OR(B64="",P64=""),"",IF(D64="Venda",-1,1)*((N(J64)*N(K64)+N(L64)*N(M64)+N(N64)*N(O64))-(N(J64)+N(L64)+N(N64))*F64)-N(Q64))</f>
        <v/>
      </c>
      <c r="V64" s="9">
        <f>IF(OR(B64="",P64=""),"",U64/S64)</f>
        <v/>
      </c>
      <c r="W64">
        <f>IF(OR(B64="",P64=""),"",NETWORKDAYS(C64,P64)-1)</f>
        <v/>
      </c>
      <c r="X64">
        <f>IF(B64="","",IF(P64="","Aberto","Fechado"))</f>
        <v/>
      </c>
    </row>
    <row r="65">
      <c r="C65" s="6" t="n"/>
      <c r="E65" s="7" t="n"/>
      <c r="F65" s="8" t="n"/>
      <c r="G65" s="8" t="n"/>
      <c r="H65" s="8" t="n"/>
      <c r="J65" s="7" t="n"/>
      <c r="K65" s="8" t="n"/>
      <c r="L65" s="7" t="n"/>
      <c r="M65" s="8" t="n"/>
      <c r="N65" s="7" t="n"/>
      <c r="O65" s="8" t="n"/>
      <c r="P65" s="6" t="n"/>
      <c r="Q65" s="8" t="n"/>
      <c r="S65" s="8">
        <f>IF(B65="","",E65*F65)</f>
        <v/>
      </c>
      <c r="T65" s="8">
        <f>IF(OR(B65="",N(G65)=0),"",ABS(F65-G65)*E65)</f>
        <v/>
      </c>
      <c r="U65" s="8">
        <f>IF(OR(B65="",P65=""),"",IF(D65="Venda",-1,1)*((N(J65)*N(K65)+N(L65)*N(M65)+N(N65)*N(O65))-(N(J65)+N(L65)+N(N65))*F65)-N(Q65))</f>
        <v/>
      </c>
      <c r="V65" s="9">
        <f>IF(OR(B65="",P65=""),"",U65/S65)</f>
        <v/>
      </c>
      <c r="W65">
        <f>IF(OR(B65="",P65=""),"",NETWORKDAYS(C65,P65)-1)</f>
        <v/>
      </c>
      <c r="X65">
        <f>IF(B65="","",IF(P65="","Aberto","Fechado"))</f>
        <v/>
      </c>
    </row>
    <row r="66">
      <c r="C66" s="6" t="n"/>
      <c r="E66" s="7" t="n"/>
      <c r="F66" s="8" t="n"/>
      <c r="G66" s="8" t="n"/>
      <c r="H66" s="8" t="n"/>
      <c r="J66" s="7" t="n"/>
      <c r="K66" s="8" t="n"/>
      <c r="L66" s="7" t="n"/>
      <c r="M66" s="8" t="n"/>
      <c r="N66" s="7" t="n"/>
      <c r="O66" s="8" t="n"/>
      <c r="P66" s="6" t="n"/>
      <c r="Q66" s="8" t="n"/>
      <c r="S66" s="8">
        <f>IF(B66="","",E66*F66)</f>
        <v/>
      </c>
      <c r="T66" s="8">
        <f>IF(OR(B66="",N(G66)=0),"",ABS(F66-G66)*E66)</f>
        <v/>
      </c>
      <c r="U66" s="8">
        <f>IF(OR(B66="",P66=""),"",IF(D66="Venda",-1,1)*((N(J66)*N(K66)+N(L66)*N(M66)+N(N66)*N(O66))-(N(J66)+N(L66)+N(N66))*F66)-N(Q66))</f>
        <v/>
      </c>
      <c r="V66" s="9">
        <f>IF(OR(B66="",P66=""),"",U66/S66)</f>
        <v/>
      </c>
      <c r="W66">
        <f>IF(OR(B66="",P66=""),"",NETWORKDAYS(C66,P66)-1)</f>
        <v/>
      </c>
      <c r="X66">
        <f>IF(B66="","",IF(P66="","Aberto","Fechado"))</f>
        <v/>
      </c>
    </row>
    <row r="67">
      <c r="C67" s="6" t="n"/>
      <c r="E67" s="7" t="n"/>
      <c r="F67" s="8" t="n"/>
      <c r="G67" s="8" t="n"/>
      <c r="H67" s="8" t="n"/>
      <c r="J67" s="7" t="n"/>
      <c r="K67" s="8" t="n"/>
      <c r="L67" s="7" t="n"/>
      <c r="M67" s="8" t="n"/>
      <c r="N67" s="7" t="n"/>
      <c r="O67" s="8" t="n"/>
      <c r="P67" s="6" t="n"/>
      <c r="Q67" s="8" t="n"/>
      <c r="S67" s="8">
        <f>IF(B67="","",E67*F67)</f>
        <v/>
      </c>
      <c r="T67" s="8">
        <f>IF(OR(B67="",N(G67)=0),"",ABS(F67-G67)*E67)</f>
        <v/>
      </c>
      <c r="U67" s="8">
        <f>IF(OR(B67="",P67=""),"",IF(D67="Venda",-1,1)*((N(J67)*N(K67)+N(L67)*N(M67)+N(N67)*N(O67))-(N(J67)+N(L67)+N(N67))*F67)-N(Q67))</f>
        <v/>
      </c>
      <c r="V67" s="9">
        <f>IF(OR(B67="",P67=""),"",U67/S67)</f>
        <v/>
      </c>
      <c r="W67">
        <f>IF(OR(B67="",P67=""),"",NETWORKDAYS(C67,P67)-1)</f>
        <v/>
      </c>
      <c r="X67">
        <f>IF(B67="","",IF(P67="","Aberto","Fechado"))</f>
        <v/>
      </c>
    </row>
    <row r="68">
      <c r="C68" s="6" t="n"/>
      <c r="E68" s="7" t="n"/>
      <c r="F68" s="8" t="n"/>
      <c r="G68" s="8" t="n"/>
      <c r="H68" s="8" t="n"/>
      <c r="J68" s="7" t="n"/>
      <c r="K68" s="8" t="n"/>
      <c r="L68" s="7" t="n"/>
      <c r="M68" s="8" t="n"/>
      <c r="N68" s="7" t="n"/>
      <c r="O68" s="8" t="n"/>
      <c r="P68" s="6" t="n"/>
      <c r="Q68" s="8" t="n"/>
      <c r="S68" s="8">
        <f>IF(B68="","",E68*F68)</f>
        <v/>
      </c>
      <c r="T68" s="8">
        <f>IF(OR(B68="",N(G68)=0),"",ABS(F68-G68)*E68)</f>
        <v/>
      </c>
      <c r="U68" s="8">
        <f>IF(OR(B68="",P68=""),"",IF(D68="Venda",-1,1)*((N(J68)*N(K68)+N(L68)*N(M68)+N(N68)*N(O68))-(N(J68)+N(L68)+N(N68))*F68)-N(Q68))</f>
        <v/>
      </c>
      <c r="V68" s="9">
        <f>IF(OR(B68="",P68=""),"",U68/S68)</f>
        <v/>
      </c>
      <c r="W68">
        <f>IF(OR(B68="",P68=""),"",NETWORKDAYS(C68,P68)-1)</f>
        <v/>
      </c>
      <c r="X68">
        <f>IF(B68="","",IF(P68="","Aberto","Fechado"))</f>
        <v/>
      </c>
    </row>
    <row r="69">
      <c r="C69" s="6" t="n"/>
      <c r="E69" s="7" t="n"/>
      <c r="F69" s="8" t="n"/>
      <c r="G69" s="8" t="n"/>
      <c r="H69" s="8" t="n"/>
      <c r="J69" s="7" t="n"/>
      <c r="K69" s="8" t="n"/>
      <c r="L69" s="7" t="n"/>
      <c r="M69" s="8" t="n"/>
      <c r="N69" s="7" t="n"/>
      <c r="O69" s="8" t="n"/>
      <c r="P69" s="6" t="n"/>
      <c r="Q69" s="8" t="n"/>
      <c r="S69" s="8">
        <f>IF(B69="","",E69*F69)</f>
        <v/>
      </c>
      <c r="T69" s="8">
        <f>IF(OR(B69="",N(G69)=0),"",ABS(F69-G69)*E69)</f>
        <v/>
      </c>
      <c r="U69" s="8">
        <f>IF(OR(B69="",P69=""),"",IF(D69="Venda",-1,1)*((N(J69)*N(K69)+N(L69)*N(M69)+N(N69)*N(O69))-(N(J69)+N(L69)+N(N69))*F69)-N(Q69))</f>
        <v/>
      </c>
      <c r="V69" s="9">
        <f>IF(OR(B69="",P69=""),"",U69/S69)</f>
        <v/>
      </c>
      <c r="W69">
        <f>IF(OR(B69="",P69=""),"",NETWORKDAYS(C69,P69)-1)</f>
        <v/>
      </c>
      <c r="X69">
        <f>IF(B69="","",IF(P69="","Aberto","Fechado"))</f>
        <v/>
      </c>
    </row>
    <row r="70">
      <c r="C70" s="6" t="n"/>
      <c r="E70" s="7" t="n"/>
      <c r="F70" s="8" t="n"/>
      <c r="G70" s="8" t="n"/>
      <c r="H70" s="8" t="n"/>
      <c r="J70" s="7" t="n"/>
      <c r="K70" s="8" t="n"/>
      <c r="L70" s="7" t="n"/>
      <c r="M70" s="8" t="n"/>
      <c r="N70" s="7" t="n"/>
      <c r="O70" s="8" t="n"/>
      <c r="P70" s="6" t="n"/>
      <c r="Q70" s="8" t="n"/>
      <c r="S70" s="8">
        <f>IF(B70="","",E70*F70)</f>
        <v/>
      </c>
      <c r="T70" s="8">
        <f>IF(OR(B70="",N(G70)=0),"",ABS(F70-G70)*E70)</f>
        <v/>
      </c>
      <c r="U70" s="8">
        <f>IF(OR(B70="",P70=""),"",IF(D70="Venda",-1,1)*((N(J70)*N(K70)+N(L70)*N(M70)+N(N70)*N(O70))-(N(J70)+N(L70)+N(N70))*F70)-N(Q70))</f>
        <v/>
      </c>
      <c r="V70" s="9">
        <f>IF(OR(B70="",P70=""),"",U70/S70)</f>
        <v/>
      </c>
      <c r="W70">
        <f>IF(OR(B70="",P70=""),"",NETWORKDAYS(C70,P70)-1)</f>
        <v/>
      </c>
      <c r="X70">
        <f>IF(B70="","",IF(P70="","Aberto","Fechado"))</f>
        <v/>
      </c>
    </row>
    <row r="71">
      <c r="C71" s="6" t="n"/>
      <c r="E71" s="7" t="n"/>
      <c r="F71" s="8" t="n"/>
      <c r="G71" s="8" t="n"/>
      <c r="H71" s="8" t="n"/>
      <c r="J71" s="7" t="n"/>
      <c r="K71" s="8" t="n"/>
      <c r="L71" s="7" t="n"/>
      <c r="M71" s="8" t="n"/>
      <c r="N71" s="7" t="n"/>
      <c r="O71" s="8" t="n"/>
      <c r="P71" s="6" t="n"/>
      <c r="Q71" s="8" t="n"/>
      <c r="S71" s="8">
        <f>IF(B71="","",E71*F71)</f>
        <v/>
      </c>
      <c r="T71" s="8">
        <f>IF(OR(B71="",N(G71)=0),"",ABS(F71-G71)*E71)</f>
        <v/>
      </c>
      <c r="U71" s="8">
        <f>IF(OR(B71="",P71=""),"",IF(D71="Venda",-1,1)*((N(J71)*N(K71)+N(L71)*N(M71)+N(N71)*N(O71))-(N(J71)+N(L71)+N(N71))*F71)-N(Q71))</f>
        <v/>
      </c>
      <c r="V71" s="9">
        <f>IF(OR(B71="",P71=""),"",U71/S71)</f>
        <v/>
      </c>
      <c r="W71">
        <f>IF(OR(B71="",P71=""),"",NETWORKDAYS(C71,P71)-1)</f>
        <v/>
      </c>
      <c r="X71">
        <f>IF(B71="","",IF(P71="","Aberto","Fechado"))</f>
        <v/>
      </c>
    </row>
    <row r="72">
      <c r="C72" s="6" t="n"/>
      <c r="E72" s="7" t="n"/>
      <c r="F72" s="8" t="n"/>
      <c r="G72" s="8" t="n"/>
      <c r="H72" s="8" t="n"/>
      <c r="J72" s="7" t="n"/>
      <c r="K72" s="8" t="n"/>
      <c r="L72" s="7" t="n"/>
      <c r="M72" s="8" t="n"/>
      <c r="N72" s="7" t="n"/>
      <c r="O72" s="8" t="n"/>
      <c r="P72" s="6" t="n"/>
      <c r="Q72" s="8" t="n"/>
      <c r="S72" s="8">
        <f>IF(B72="","",E72*F72)</f>
        <v/>
      </c>
      <c r="T72" s="8">
        <f>IF(OR(B72="",N(G72)=0),"",ABS(F72-G72)*E72)</f>
        <v/>
      </c>
      <c r="U72" s="8">
        <f>IF(OR(B72="",P72=""),"",IF(D72="Venda",-1,1)*((N(J72)*N(K72)+N(L72)*N(M72)+N(N72)*N(O72))-(N(J72)+N(L72)+N(N72))*F72)-N(Q72))</f>
        <v/>
      </c>
      <c r="V72" s="9">
        <f>IF(OR(B72="",P72=""),"",U72/S72)</f>
        <v/>
      </c>
      <c r="W72">
        <f>IF(OR(B72="",P72=""),"",NETWORKDAYS(C72,P72)-1)</f>
        <v/>
      </c>
      <c r="X72">
        <f>IF(B72="","",IF(P72="","Aberto","Fechado"))</f>
        <v/>
      </c>
    </row>
    <row r="73">
      <c r="C73" s="6" t="n"/>
      <c r="E73" s="7" t="n"/>
      <c r="F73" s="8" t="n"/>
      <c r="G73" s="8" t="n"/>
      <c r="H73" s="8" t="n"/>
      <c r="J73" s="7" t="n"/>
      <c r="K73" s="8" t="n"/>
      <c r="L73" s="7" t="n"/>
      <c r="M73" s="8" t="n"/>
      <c r="N73" s="7" t="n"/>
      <c r="O73" s="8" t="n"/>
      <c r="P73" s="6" t="n"/>
      <c r="Q73" s="8" t="n"/>
      <c r="S73" s="8">
        <f>IF(B73="","",E73*F73)</f>
        <v/>
      </c>
      <c r="T73" s="8">
        <f>IF(OR(B73="",N(G73)=0),"",ABS(F73-G73)*E73)</f>
        <v/>
      </c>
      <c r="U73" s="8">
        <f>IF(OR(B73="",P73=""),"",IF(D73="Venda",-1,1)*((N(J73)*N(K73)+N(L73)*N(M73)+N(N73)*N(O73))-(N(J73)+N(L73)+N(N73))*F73)-N(Q73))</f>
        <v/>
      </c>
      <c r="V73" s="9">
        <f>IF(OR(B73="",P73=""),"",U73/S73)</f>
        <v/>
      </c>
      <c r="W73">
        <f>IF(OR(B73="",P73=""),"",NETWORKDAYS(C73,P73)-1)</f>
        <v/>
      </c>
      <c r="X73">
        <f>IF(B73="","",IF(P73="","Aberto","Fechado"))</f>
        <v/>
      </c>
    </row>
    <row r="74">
      <c r="C74" s="6" t="n"/>
      <c r="E74" s="7" t="n"/>
      <c r="F74" s="8" t="n"/>
      <c r="G74" s="8" t="n"/>
      <c r="H74" s="8" t="n"/>
      <c r="J74" s="7" t="n"/>
      <c r="K74" s="8" t="n"/>
      <c r="L74" s="7" t="n"/>
      <c r="M74" s="8" t="n"/>
      <c r="N74" s="7" t="n"/>
      <c r="O74" s="8" t="n"/>
      <c r="P74" s="6" t="n"/>
      <c r="Q74" s="8" t="n"/>
      <c r="S74" s="8">
        <f>IF(B74="","",E74*F74)</f>
        <v/>
      </c>
      <c r="T74" s="8">
        <f>IF(OR(B74="",N(G74)=0),"",ABS(F74-G74)*E74)</f>
        <v/>
      </c>
      <c r="U74" s="8">
        <f>IF(OR(B74="",P74=""),"",IF(D74="Venda",-1,1)*((N(J74)*N(K74)+N(L74)*N(M74)+N(N74)*N(O74))-(N(J74)+N(L74)+N(N74))*F74)-N(Q74))</f>
        <v/>
      </c>
      <c r="V74" s="9">
        <f>IF(OR(B74="",P74=""),"",U74/S74)</f>
        <v/>
      </c>
      <c r="W74">
        <f>IF(OR(B74="",P74=""),"",NETWORKDAYS(C74,P74)-1)</f>
        <v/>
      </c>
      <c r="X74">
        <f>IF(B74="","",IF(P74="","Aberto","Fechado"))</f>
        <v/>
      </c>
    </row>
    <row r="75">
      <c r="C75" s="6" t="n"/>
      <c r="E75" s="7" t="n"/>
      <c r="F75" s="8" t="n"/>
      <c r="G75" s="8" t="n"/>
      <c r="H75" s="8" t="n"/>
      <c r="J75" s="7" t="n"/>
      <c r="K75" s="8" t="n"/>
      <c r="L75" s="7" t="n"/>
      <c r="M75" s="8" t="n"/>
      <c r="N75" s="7" t="n"/>
      <c r="O75" s="8" t="n"/>
      <c r="P75" s="6" t="n"/>
      <c r="Q75" s="8" t="n"/>
      <c r="S75" s="8">
        <f>IF(B75="","",E75*F75)</f>
        <v/>
      </c>
      <c r="T75" s="8">
        <f>IF(OR(B75="",N(G75)=0),"",ABS(F75-G75)*E75)</f>
        <v/>
      </c>
      <c r="U75" s="8">
        <f>IF(OR(B75="",P75=""),"",IF(D75="Venda",-1,1)*((N(J75)*N(K75)+N(L75)*N(M75)+N(N75)*N(O75))-(N(J75)+N(L75)+N(N75))*F75)-N(Q75))</f>
        <v/>
      </c>
      <c r="V75" s="9">
        <f>IF(OR(B75="",P75=""),"",U75/S75)</f>
        <v/>
      </c>
      <c r="W75">
        <f>IF(OR(B75="",P75=""),"",NETWORKDAYS(C75,P75)-1)</f>
        <v/>
      </c>
      <c r="X75">
        <f>IF(B75="","",IF(P75="","Aberto","Fechado"))</f>
        <v/>
      </c>
    </row>
    <row r="76">
      <c r="C76" s="6" t="n"/>
      <c r="E76" s="7" t="n"/>
      <c r="F76" s="8" t="n"/>
      <c r="G76" s="8" t="n"/>
      <c r="H76" s="8" t="n"/>
      <c r="J76" s="7" t="n"/>
      <c r="K76" s="8" t="n"/>
      <c r="L76" s="7" t="n"/>
      <c r="M76" s="8" t="n"/>
      <c r="N76" s="7" t="n"/>
      <c r="O76" s="8" t="n"/>
      <c r="P76" s="6" t="n"/>
      <c r="Q76" s="8" t="n"/>
      <c r="S76" s="8">
        <f>IF(B76="","",E76*F76)</f>
        <v/>
      </c>
      <c r="T76" s="8">
        <f>IF(OR(B76="",N(G76)=0),"",ABS(F76-G76)*E76)</f>
        <v/>
      </c>
      <c r="U76" s="8">
        <f>IF(OR(B76="",P76=""),"",IF(D76="Venda",-1,1)*((N(J76)*N(K76)+N(L76)*N(M76)+N(N76)*N(O76))-(N(J76)+N(L76)+N(N76))*F76)-N(Q76))</f>
        <v/>
      </c>
      <c r="V76" s="9">
        <f>IF(OR(B76="",P76=""),"",U76/S76)</f>
        <v/>
      </c>
      <c r="W76">
        <f>IF(OR(B76="",P76=""),"",NETWORKDAYS(C76,P76)-1)</f>
        <v/>
      </c>
      <c r="X76">
        <f>IF(B76="","",IF(P76="","Aberto","Fechado"))</f>
        <v/>
      </c>
    </row>
    <row r="77">
      <c r="C77" s="6" t="n"/>
      <c r="E77" s="7" t="n"/>
      <c r="F77" s="8" t="n"/>
      <c r="G77" s="8" t="n"/>
      <c r="H77" s="8" t="n"/>
      <c r="J77" s="7" t="n"/>
      <c r="K77" s="8" t="n"/>
      <c r="L77" s="7" t="n"/>
      <c r="M77" s="8" t="n"/>
      <c r="N77" s="7" t="n"/>
      <c r="O77" s="8" t="n"/>
      <c r="P77" s="6" t="n"/>
      <c r="Q77" s="8" t="n"/>
      <c r="S77" s="8">
        <f>IF(B77="","",E77*F77)</f>
        <v/>
      </c>
      <c r="T77" s="8">
        <f>IF(OR(B77="",N(G77)=0),"",ABS(F77-G77)*E77)</f>
        <v/>
      </c>
      <c r="U77" s="8">
        <f>IF(OR(B77="",P77=""),"",IF(D77="Venda",-1,1)*((N(J77)*N(K77)+N(L77)*N(M77)+N(N77)*N(O77))-(N(J77)+N(L77)+N(N77))*F77)-N(Q77))</f>
        <v/>
      </c>
      <c r="V77" s="9">
        <f>IF(OR(B77="",P77=""),"",U77/S77)</f>
        <v/>
      </c>
      <c r="W77">
        <f>IF(OR(B77="",P77=""),"",NETWORKDAYS(C77,P77)-1)</f>
        <v/>
      </c>
      <c r="X77">
        <f>IF(B77="","",IF(P77="","Aberto","Fechado"))</f>
        <v/>
      </c>
    </row>
    <row r="78">
      <c r="C78" s="6" t="n"/>
      <c r="E78" s="7" t="n"/>
      <c r="F78" s="8" t="n"/>
      <c r="G78" s="8" t="n"/>
      <c r="H78" s="8" t="n"/>
      <c r="J78" s="7" t="n"/>
      <c r="K78" s="8" t="n"/>
      <c r="L78" s="7" t="n"/>
      <c r="M78" s="8" t="n"/>
      <c r="N78" s="7" t="n"/>
      <c r="O78" s="8" t="n"/>
      <c r="P78" s="6" t="n"/>
      <c r="Q78" s="8" t="n"/>
      <c r="S78" s="8">
        <f>IF(B78="","",E78*F78)</f>
        <v/>
      </c>
      <c r="T78" s="8">
        <f>IF(OR(B78="",N(G78)=0),"",ABS(F78-G78)*E78)</f>
        <v/>
      </c>
      <c r="U78" s="8">
        <f>IF(OR(B78="",P78=""),"",IF(D78="Venda",-1,1)*((N(J78)*N(K78)+N(L78)*N(M78)+N(N78)*N(O78))-(N(J78)+N(L78)+N(N78))*F78)-N(Q78))</f>
        <v/>
      </c>
      <c r="V78" s="9">
        <f>IF(OR(B78="",P78=""),"",U78/S78)</f>
        <v/>
      </c>
      <c r="W78">
        <f>IF(OR(B78="",P78=""),"",NETWORKDAYS(C78,P78)-1)</f>
        <v/>
      </c>
      <c r="X78">
        <f>IF(B78="","",IF(P78="","Aberto","Fechado"))</f>
        <v/>
      </c>
    </row>
    <row r="79">
      <c r="C79" s="6" t="n"/>
      <c r="E79" s="7" t="n"/>
      <c r="F79" s="8" t="n"/>
      <c r="G79" s="8" t="n"/>
      <c r="H79" s="8" t="n"/>
      <c r="J79" s="7" t="n"/>
      <c r="K79" s="8" t="n"/>
      <c r="L79" s="7" t="n"/>
      <c r="M79" s="8" t="n"/>
      <c r="N79" s="7" t="n"/>
      <c r="O79" s="8" t="n"/>
      <c r="P79" s="6" t="n"/>
      <c r="Q79" s="8" t="n"/>
      <c r="S79" s="8">
        <f>IF(B79="","",E79*F79)</f>
        <v/>
      </c>
      <c r="T79" s="8">
        <f>IF(OR(B79="",N(G79)=0),"",ABS(F79-G79)*E79)</f>
        <v/>
      </c>
      <c r="U79" s="8">
        <f>IF(OR(B79="",P79=""),"",IF(D79="Venda",-1,1)*((N(J79)*N(K79)+N(L79)*N(M79)+N(N79)*N(O79))-(N(J79)+N(L79)+N(N79))*F79)-N(Q79))</f>
        <v/>
      </c>
      <c r="V79" s="9">
        <f>IF(OR(B79="",P79=""),"",U79/S79)</f>
        <v/>
      </c>
      <c r="W79">
        <f>IF(OR(B79="",P79=""),"",NETWORKDAYS(C79,P79)-1)</f>
        <v/>
      </c>
      <c r="X79">
        <f>IF(B79="","",IF(P79="","Aberto","Fechado"))</f>
        <v/>
      </c>
    </row>
    <row r="80">
      <c r="C80" s="6" t="n"/>
      <c r="E80" s="7" t="n"/>
      <c r="F80" s="8" t="n"/>
      <c r="G80" s="8" t="n"/>
      <c r="H80" s="8" t="n"/>
      <c r="J80" s="7" t="n"/>
      <c r="K80" s="8" t="n"/>
      <c r="L80" s="7" t="n"/>
      <c r="M80" s="8" t="n"/>
      <c r="N80" s="7" t="n"/>
      <c r="O80" s="8" t="n"/>
      <c r="P80" s="6" t="n"/>
      <c r="Q80" s="8" t="n"/>
      <c r="S80" s="8">
        <f>IF(B80="","",E80*F80)</f>
        <v/>
      </c>
      <c r="T80" s="8">
        <f>IF(OR(B80="",N(G80)=0),"",ABS(F80-G80)*E80)</f>
        <v/>
      </c>
      <c r="U80" s="8">
        <f>IF(OR(B80="",P80=""),"",IF(D80="Venda",-1,1)*((N(J80)*N(K80)+N(L80)*N(M80)+N(N80)*N(O80))-(N(J80)+N(L80)+N(N80))*F80)-N(Q80))</f>
        <v/>
      </c>
      <c r="V80" s="9">
        <f>IF(OR(B80="",P80=""),"",U80/S80)</f>
        <v/>
      </c>
      <c r="W80">
        <f>IF(OR(B80="",P80=""),"",NETWORKDAYS(C80,P80)-1)</f>
        <v/>
      </c>
      <c r="X80">
        <f>IF(B80="","",IF(P80="","Aberto","Fechado"))</f>
        <v/>
      </c>
    </row>
    <row r="81">
      <c r="C81" s="6" t="n"/>
      <c r="E81" s="7" t="n"/>
      <c r="F81" s="8" t="n"/>
      <c r="G81" s="8" t="n"/>
      <c r="H81" s="8" t="n"/>
      <c r="J81" s="7" t="n"/>
      <c r="K81" s="8" t="n"/>
      <c r="L81" s="7" t="n"/>
      <c r="M81" s="8" t="n"/>
      <c r="N81" s="7" t="n"/>
      <c r="O81" s="8" t="n"/>
      <c r="P81" s="6" t="n"/>
      <c r="Q81" s="8" t="n"/>
      <c r="S81" s="8">
        <f>IF(B81="","",E81*F81)</f>
        <v/>
      </c>
      <c r="T81" s="8">
        <f>IF(OR(B81="",N(G81)=0),"",ABS(F81-G81)*E81)</f>
        <v/>
      </c>
      <c r="U81" s="8">
        <f>IF(OR(B81="",P81=""),"",IF(D81="Venda",-1,1)*((N(J81)*N(K81)+N(L81)*N(M81)+N(N81)*N(O81))-(N(J81)+N(L81)+N(N81))*F81)-N(Q81))</f>
        <v/>
      </c>
      <c r="V81" s="9">
        <f>IF(OR(B81="",P81=""),"",U81/S81)</f>
        <v/>
      </c>
      <c r="W81">
        <f>IF(OR(B81="",P81=""),"",NETWORKDAYS(C81,P81)-1)</f>
        <v/>
      </c>
      <c r="X81">
        <f>IF(B81="","",IF(P81="","Aberto","Fechado"))</f>
        <v/>
      </c>
    </row>
    <row r="82">
      <c r="C82" s="6" t="n"/>
      <c r="E82" s="7" t="n"/>
      <c r="F82" s="8" t="n"/>
      <c r="G82" s="8" t="n"/>
      <c r="H82" s="8" t="n"/>
      <c r="J82" s="7" t="n"/>
      <c r="K82" s="8" t="n"/>
      <c r="L82" s="7" t="n"/>
      <c r="M82" s="8" t="n"/>
      <c r="N82" s="7" t="n"/>
      <c r="O82" s="8" t="n"/>
      <c r="P82" s="6" t="n"/>
      <c r="Q82" s="8" t="n"/>
      <c r="S82" s="8">
        <f>IF(B82="","",E82*F82)</f>
        <v/>
      </c>
      <c r="T82" s="8">
        <f>IF(OR(B82="",N(G82)=0),"",ABS(F82-G82)*E82)</f>
        <v/>
      </c>
      <c r="U82" s="8">
        <f>IF(OR(B82="",P82=""),"",IF(D82="Venda",-1,1)*((N(J82)*N(K82)+N(L82)*N(M82)+N(N82)*N(O82))-(N(J82)+N(L82)+N(N82))*F82)-N(Q82))</f>
        <v/>
      </c>
      <c r="V82" s="9">
        <f>IF(OR(B82="",P82=""),"",U82/S82)</f>
        <v/>
      </c>
      <c r="W82">
        <f>IF(OR(B82="",P82=""),"",NETWORKDAYS(C82,P82)-1)</f>
        <v/>
      </c>
      <c r="X82">
        <f>IF(B82="","",IF(P82="","Aberto","Fechado"))</f>
        <v/>
      </c>
    </row>
    <row r="83">
      <c r="C83" s="6" t="n"/>
      <c r="E83" s="7" t="n"/>
      <c r="F83" s="8" t="n"/>
      <c r="G83" s="8" t="n"/>
      <c r="H83" s="8" t="n"/>
      <c r="J83" s="7" t="n"/>
      <c r="K83" s="8" t="n"/>
      <c r="L83" s="7" t="n"/>
      <c r="M83" s="8" t="n"/>
      <c r="N83" s="7" t="n"/>
      <c r="O83" s="8" t="n"/>
      <c r="P83" s="6" t="n"/>
      <c r="Q83" s="8" t="n"/>
      <c r="S83" s="8">
        <f>IF(B83="","",E83*F83)</f>
        <v/>
      </c>
      <c r="T83" s="8">
        <f>IF(OR(B83="",N(G83)=0),"",ABS(F83-G83)*E83)</f>
        <v/>
      </c>
      <c r="U83" s="8">
        <f>IF(OR(B83="",P83=""),"",IF(D83="Venda",-1,1)*((N(J83)*N(K83)+N(L83)*N(M83)+N(N83)*N(O83))-(N(J83)+N(L83)+N(N83))*F83)-N(Q83))</f>
        <v/>
      </c>
      <c r="V83" s="9">
        <f>IF(OR(B83="",P83=""),"",U83/S83)</f>
        <v/>
      </c>
      <c r="W83">
        <f>IF(OR(B83="",P83=""),"",NETWORKDAYS(C83,P83)-1)</f>
        <v/>
      </c>
      <c r="X83">
        <f>IF(B83="","",IF(P83="","Aberto","Fechado"))</f>
        <v/>
      </c>
    </row>
    <row r="84">
      <c r="C84" s="6" t="n"/>
      <c r="E84" s="7" t="n"/>
      <c r="F84" s="8" t="n"/>
      <c r="G84" s="8" t="n"/>
      <c r="H84" s="8" t="n"/>
      <c r="J84" s="7" t="n"/>
      <c r="K84" s="8" t="n"/>
      <c r="L84" s="7" t="n"/>
      <c r="M84" s="8" t="n"/>
      <c r="N84" s="7" t="n"/>
      <c r="O84" s="8" t="n"/>
      <c r="P84" s="6" t="n"/>
      <c r="Q84" s="8" t="n"/>
      <c r="S84" s="8">
        <f>IF(B84="","",E84*F84)</f>
        <v/>
      </c>
      <c r="T84" s="8">
        <f>IF(OR(B84="",N(G84)=0),"",ABS(F84-G84)*E84)</f>
        <v/>
      </c>
      <c r="U84" s="8">
        <f>IF(OR(B84="",P84=""),"",IF(D84="Venda",-1,1)*((N(J84)*N(K84)+N(L84)*N(M84)+N(N84)*N(O84))-(N(J84)+N(L84)+N(N84))*F84)-N(Q84))</f>
        <v/>
      </c>
      <c r="V84" s="9">
        <f>IF(OR(B84="",P84=""),"",U84/S84)</f>
        <v/>
      </c>
      <c r="W84">
        <f>IF(OR(B84="",P84=""),"",NETWORKDAYS(C84,P84)-1)</f>
        <v/>
      </c>
      <c r="X84">
        <f>IF(B84="","",IF(P84="","Aberto","Fechado"))</f>
        <v/>
      </c>
    </row>
    <row r="85">
      <c r="C85" s="6" t="n"/>
      <c r="E85" s="7" t="n"/>
      <c r="F85" s="8" t="n"/>
      <c r="G85" s="8" t="n"/>
      <c r="H85" s="8" t="n"/>
      <c r="J85" s="7" t="n"/>
      <c r="K85" s="8" t="n"/>
      <c r="L85" s="7" t="n"/>
      <c r="M85" s="8" t="n"/>
      <c r="N85" s="7" t="n"/>
      <c r="O85" s="8" t="n"/>
      <c r="P85" s="6" t="n"/>
      <c r="Q85" s="8" t="n"/>
      <c r="S85" s="8">
        <f>IF(B85="","",E85*F85)</f>
        <v/>
      </c>
      <c r="T85" s="8">
        <f>IF(OR(B85="",N(G85)=0),"",ABS(F85-G85)*E85)</f>
        <v/>
      </c>
      <c r="U85" s="8">
        <f>IF(OR(B85="",P85=""),"",IF(D85="Venda",-1,1)*((N(J85)*N(K85)+N(L85)*N(M85)+N(N85)*N(O85))-(N(J85)+N(L85)+N(N85))*F85)-N(Q85))</f>
        <v/>
      </c>
      <c r="V85" s="9">
        <f>IF(OR(B85="",P85=""),"",U85/S85)</f>
        <v/>
      </c>
      <c r="W85">
        <f>IF(OR(B85="",P85=""),"",NETWORKDAYS(C85,P85)-1)</f>
        <v/>
      </c>
      <c r="X85">
        <f>IF(B85="","",IF(P85="","Aberto","Fechado"))</f>
        <v/>
      </c>
    </row>
    <row r="86">
      <c r="C86" s="6" t="n"/>
      <c r="E86" s="7" t="n"/>
      <c r="F86" s="8" t="n"/>
      <c r="G86" s="8" t="n"/>
      <c r="H86" s="8" t="n"/>
      <c r="J86" s="7" t="n"/>
      <c r="K86" s="8" t="n"/>
      <c r="L86" s="7" t="n"/>
      <c r="M86" s="8" t="n"/>
      <c r="N86" s="7" t="n"/>
      <c r="O86" s="8" t="n"/>
      <c r="P86" s="6" t="n"/>
      <c r="Q86" s="8" t="n"/>
      <c r="S86" s="8">
        <f>IF(B86="","",E86*F86)</f>
        <v/>
      </c>
      <c r="T86" s="8">
        <f>IF(OR(B86="",N(G86)=0),"",ABS(F86-G86)*E86)</f>
        <v/>
      </c>
      <c r="U86" s="8">
        <f>IF(OR(B86="",P86=""),"",IF(D86="Venda",-1,1)*((N(J86)*N(K86)+N(L86)*N(M86)+N(N86)*N(O86))-(N(J86)+N(L86)+N(N86))*F86)-N(Q86))</f>
        <v/>
      </c>
      <c r="V86" s="9">
        <f>IF(OR(B86="",P86=""),"",U86/S86)</f>
        <v/>
      </c>
      <c r="W86">
        <f>IF(OR(B86="",P86=""),"",NETWORKDAYS(C86,P86)-1)</f>
        <v/>
      </c>
      <c r="X86">
        <f>IF(B86="","",IF(P86="","Aberto","Fechado"))</f>
        <v/>
      </c>
    </row>
    <row r="87">
      <c r="C87" s="6" t="n"/>
      <c r="E87" s="7" t="n"/>
      <c r="F87" s="8" t="n"/>
      <c r="G87" s="8" t="n"/>
      <c r="H87" s="8" t="n"/>
      <c r="J87" s="7" t="n"/>
      <c r="K87" s="8" t="n"/>
      <c r="L87" s="7" t="n"/>
      <c r="M87" s="8" t="n"/>
      <c r="N87" s="7" t="n"/>
      <c r="O87" s="8" t="n"/>
      <c r="P87" s="6" t="n"/>
      <c r="Q87" s="8" t="n"/>
      <c r="S87" s="8">
        <f>IF(B87="","",E87*F87)</f>
        <v/>
      </c>
      <c r="T87" s="8">
        <f>IF(OR(B87="",N(G87)=0),"",ABS(F87-G87)*E87)</f>
        <v/>
      </c>
      <c r="U87" s="8">
        <f>IF(OR(B87="",P87=""),"",IF(D87="Venda",-1,1)*((N(J87)*N(K87)+N(L87)*N(M87)+N(N87)*N(O87))-(N(J87)+N(L87)+N(N87))*F87)-N(Q87))</f>
        <v/>
      </c>
      <c r="V87" s="9">
        <f>IF(OR(B87="",P87=""),"",U87/S87)</f>
        <v/>
      </c>
      <c r="W87">
        <f>IF(OR(B87="",P87=""),"",NETWORKDAYS(C87,P87)-1)</f>
        <v/>
      </c>
      <c r="X87">
        <f>IF(B87="","",IF(P87="","Aberto","Fechado"))</f>
        <v/>
      </c>
    </row>
    <row r="88">
      <c r="C88" s="6" t="n"/>
      <c r="E88" s="7" t="n"/>
      <c r="F88" s="8" t="n"/>
      <c r="G88" s="8" t="n"/>
      <c r="H88" s="8" t="n"/>
      <c r="J88" s="7" t="n"/>
      <c r="K88" s="8" t="n"/>
      <c r="L88" s="7" t="n"/>
      <c r="M88" s="8" t="n"/>
      <c r="N88" s="7" t="n"/>
      <c r="O88" s="8" t="n"/>
      <c r="P88" s="6" t="n"/>
      <c r="Q88" s="8" t="n"/>
      <c r="S88" s="8">
        <f>IF(B88="","",E88*F88)</f>
        <v/>
      </c>
      <c r="T88" s="8">
        <f>IF(OR(B88="",N(G88)=0),"",ABS(F88-G88)*E88)</f>
        <v/>
      </c>
      <c r="U88" s="8">
        <f>IF(OR(B88="",P88=""),"",IF(D88="Venda",-1,1)*((N(J88)*N(K88)+N(L88)*N(M88)+N(N88)*N(O88))-(N(J88)+N(L88)+N(N88))*F88)-N(Q88))</f>
        <v/>
      </c>
      <c r="V88" s="9">
        <f>IF(OR(B88="",P88=""),"",U88/S88)</f>
        <v/>
      </c>
      <c r="W88">
        <f>IF(OR(B88="",P88=""),"",NETWORKDAYS(C88,P88)-1)</f>
        <v/>
      </c>
      <c r="X88">
        <f>IF(B88="","",IF(P88="","Aberto","Fechado"))</f>
        <v/>
      </c>
    </row>
    <row r="89">
      <c r="C89" s="6" t="n"/>
      <c r="E89" s="7" t="n"/>
      <c r="F89" s="8" t="n"/>
      <c r="G89" s="8" t="n"/>
      <c r="H89" s="8" t="n"/>
      <c r="J89" s="7" t="n"/>
      <c r="K89" s="8" t="n"/>
      <c r="L89" s="7" t="n"/>
      <c r="M89" s="8" t="n"/>
      <c r="N89" s="7" t="n"/>
      <c r="O89" s="8" t="n"/>
      <c r="P89" s="6" t="n"/>
      <c r="Q89" s="8" t="n"/>
      <c r="S89" s="8">
        <f>IF(B89="","",E89*F89)</f>
        <v/>
      </c>
      <c r="T89" s="8">
        <f>IF(OR(B89="",N(G89)=0),"",ABS(F89-G89)*E89)</f>
        <v/>
      </c>
      <c r="U89" s="8">
        <f>IF(OR(B89="",P89=""),"",IF(D89="Venda",-1,1)*((N(J89)*N(K89)+N(L89)*N(M89)+N(N89)*N(O89))-(N(J89)+N(L89)+N(N89))*F89)-N(Q89))</f>
        <v/>
      </c>
      <c r="V89" s="9">
        <f>IF(OR(B89="",P89=""),"",U89/S89)</f>
        <v/>
      </c>
      <c r="W89">
        <f>IF(OR(B89="",P89=""),"",NETWORKDAYS(C89,P89)-1)</f>
        <v/>
      </c>
      <c r="X89">
        <f>IF(B89="","",IF(P89="","Aberto","Fechado"))</f>
        <v/>
      </c>
    </row>
    <row r="90">
      <c r="C90" s="6" t="n"/>
      <c r="E90" s="7" t="n"/>
      <c r="F90" s="8" t="n"/>
      <c r="G90" s="8" t="n"/>
      <c r="H90" s="8" t="n"/>
      <c r="J90" s="7" t="n"/>
      <c r="K90" s="8" t="n"/>
      <c r="L90" s="7" t="n"/>
      <c r="M90" s="8" t="n"/>
      <c r="N90" s="7" t="n"/>
      <c r="O90" s="8" t="n"/>
      <c r="P90" s="6" t="n"/>
      <c r="Q90" s="8" t="n"/>
      <c r="S90" s="8">
        <f>IF(B90="","",E90*F90)</f>
        <v/>
      </c>
      <c r="T90" s="8">
        <f>IF(OR(B90="",N(G90)=0),"",ABS(F90-G90)*E90)</f>
        <v/>
      </c>
      <c r="U90" s="8">
        <f>IF(OR(B90="",P90=""),"",IF(D90="Venda",-1,1)*((N(J90)*N(K90)+N(L90)*N(M90)+N(N90)*N(O90))-(N(J90)+N(L90)+N(N90))*F90)-N(Q90))</f>
        <v/>
      </c>
      <c r="V90" s="9">
        <f>IF(OR(B90="",P90=""),"",U90/S90)</f>
        <v/>
      </c>
      <c r="W90">
        <f>IF(OR(B90="",P90=""),"",NETWORKDAYS(C90,P90)-1)</f>
        <v/>
      </c>
      <c r="X90">
        <f>IF(B90="","",IF(P90="","Aberto","Fechado"))</f>
        <v/>
      </c>
    </row>
    <row r="91">
      <c r="C91" s="6" t="n"/>
      <c r="E91" s="7" t="n"/>
      <c r="F91" s="8" t="n"/>
      <c r="G91" s="8" t="n"/>
      <c r="H91" s="8" t="n"/>
      <c r="J91" s="7" t="n"/>
      <c r="K91" s="8" t="n"/>
      <c r="L91" s="7" t="n"/>
      <c r="M91" s="8" t="n"/>
      <c r="N91" s="7" t="n"/>
      <c r="O91" s="8" t="n"/>
      <c r="P91" s="6" t="n"/>
      <c r="Q91" s="8" t="n"/>
      <c r="S91" s="8">
        <f>IF(B91="","",E91*F91)</f>
        <v/>
      </c>
      <c r="T91" s="8">
        <f>IF(OR(B91="",N(G91)=0),"",ABS(F91-G91)*E91)</f>
        <v/>
      </c>
      <c r="U91" s="8">
        <f>IF(OR(B91="",P91=""),"",IF(D91="Venda",-1,1)*((N(J91)*N(K91)+N(L91)*N(M91)+N(N91)*N(O91))-(N(J91)+N(L91)+N(N91))*F91)-N(Q91))</f>
        <v/>
      </c>
      <c r="V91" s="9">
        <f>IF(OR(B91="",P91=""),"",U91/S91)</f>
        <v/>
      </c>
      <c r="W91">
        <f>IF(OR(B91="",P91=""),"",NETWORKDAYS(C91,P91)-1)</f>
        <v/>
      </c>
      <c r="X91">
        <f>IF(B91="","",IF(P91="","Aberto","Fechado"))</f>
        <v/>
      </c>
    </row>
    <row r="92">
      <c r="C92" s="6" t="n"/>
      <c r="E92" s="7" t="n"/>
      <c r="F92" s="8" t="n"/>
      <c r="G92" s="8" t="n"/>
      <c r="H92" s="8" t="n"/>
      <c r="J92" s="7" t="n"/>
      <c r="K92" s="8" t="n"/>
      <c r="L92" s="7" t="n"/>
      <c r="M92" s="8" t="n"/>
      <c r="N92" s="7" t="n"/>
      <c r="O92" s="8" t="n"/>
      <c r="P92" s="6" t="n"/>
      <c r="Q92" s="8" t="n"/>
      <c r="S92" s="8">
        <f>IF(B92="","",E92*F92)</f>
        <v/>
      </c>
      <c r="T92" s="8">
        <f>IF(OR(B92="",N(G92)=0),"",ABS(F92-G92)*E92)</f>
        <v/>
      </c>
      <c r="U92" s="8">
        <f>IF(OR(B92="",P92=""),"",IF(D92="Venda",-1,1)*((N(J92)*N(K92)+N(L92)*N(M92)+N(N92)*N(O92))-(N(J92)+N(L92)+N(N92))*F92)-N(Q92))</f>
        <v/>
      </c>
      <c r="V92" s="9">
        <f>IF(OR(B92="",P92=""),"",U92/S92)</f>
        <v/>
      </c>
      <c r="W92">
        <f>IF(OR(B92="",P92=""),"",NETWORKDAYS(C92,P92)-1)</f>
        <v/>
      </c>
      <c r="X92">
        <f>IF(B92="","",IF(P92="","Aberto","Fechado"))</f>
        <v/>
      </c>
    </row>
    <row r="93">
      <c r="C93" s="6" t="n"/>
      <c r="E93" s="7" t="n"/>
      <c r="F93" s="8" t="n"/>
      <c r="G93" s="8" t="n"/>
      <c r="H93" s="8" t="n"/>
      <c r="J93" s="7" t="n"/>
      <c r="K93" s="8" t="n"/>
      <c r="L93" s="7" t="n"/>
      <c r="M93" s="8" t="n"/>
      <c r="N93" s="7" t="n"/>
      <c r="O93" s="8" t="n"/>
      <c r="P93" s="6" t="n"/>
      <c r="Q93" s="8" t="n"/>
      <c r="S93" s="8">
        <f>IF(B93="","",E93*F93)</f>
        <v/>
      </c>
      <c r="T93" s="8">
        <f>IF(OR(B93="",N(G93)=0),"",ABS(F93-G93)*E93)</f>
        <v/>
      </c>
      <c r="U93" s="8">
        <f>IF(OR(B93="",P93=""),"",IF(D93="Venda",-1,1)*((N(J93)*N(K93)+N(L93)*N(M93)+N(N93)*N(O93))-(N(J93)+N(L93)+N(N93))*F93)-N(Q93))</f>
        <v/>
      </c>
      <c r="V93" s="9">
        <f>IF(OR(B93="",P93=""),"",U93/S93)</f>
        <v/>
      </c>
      <c r="W93">
        <f>IF(OR(B93="",P93=""),"",NETWORKDAYS(C93,P93)-1)</f>
        <v/>
      </c>
      <c r="X93">
        <f>IF(B93="","",IF(P93="","Aberto","Fechado"))</f>
        <v/>
      </c>
    </row>
    <row r="94">
      <c r="C94" s="6" t="n"/>
      <c r="E94" s="7" t="n"/>
      <c r="F94" s="8" t="n"/>
      <c r="G94" s="8" t="n"/>
      <c r="H94" s="8" t="n"/>
      <c r="J94" s="7" t="n"/>
      <c r="K94" s="8" t="n"/>
      <c r="L94" s="7" t="n"/>
      <c r="M94" s="8" t="n"/>
      <c r="N94" s="7" t="n"/>
      <c r="O94" s="8" t="n"/>
      <c r="P94" s="6" t="n"/>
      <c r="Q94" s="8" t="n"/>
      <c r="S94" s="8">
        <f>IF(B94="","",E94*F94)</f>
        <v/>
      </c>
      <c r="T94" s="8">
        <f>IF(OR(B94="",N(G94)=0),"",ABS(F94-G94)*E94)</f>
        <v/>
      </c>
      <c r="U94" s="8">
        <f>IF(OR(B94="",P94=""),"",IF(D94="Venda",-1,1)*((N(J94)*N(K94)+N(L94)*N(M94)+N(N94)*N(O94))-(N(J94)+N(L94)+N(N94))*F94)-N(Q94))</f>
        <v/>
      </c>
      <c r="V94" s="9">
        <f>IF(OR(B94="",P94=""),"",U94/S94)</f>
        <v/>
      </c>
      <c r="W94">
        <f>IF(OR(B94="",P94=""),"",NETWORKDAYS(C94,P94)-1)</f>
        <v/>
      </c>
      <c r="X94">
        <f>IF(B94="","",IF(P94="","Aberto","Fechado"))</f>
        <v/>
      </c>
    </row>
    <row r="95">
      <c r="C95" s="6" t="n"/>
      <c r="E95" s="7" t="n"/>
      <c r="F95" s="8" t="n"/>
      <c r="G95" s="8" t="n"/>
      <c r="H95" s="8" t="n"/>
      <c r="J95" s="7" t="n"/>
      <c r="K95" s="8" t="n"/>
      <c r="L95" s="7" t="n"/>
      <c r="M95" s="8" t="n"/>
      <c r="N95" s="7" t="n"/>
      <c r="O95" s="8" t="n"/>
      <c r="P95" s="6" t="n"/>
      <c r="Q95" s="8" t="n"/>
      <c r="S95" s="8">
        <f>IF(B95="","",E95*F95)</f>
        <v/>
      </c>
      <c r="T95" s="8">
        <f>IF(OR(B95="",N(G95)=0),"",ABS(F95-G95)*E95)</f>
        <v/>
      </c>
      <c r="U95" s="8">
        <f>IF(OR(B95="",P95=""),"",IF(D95="Venda",-1,1)*((N(J95)*N(K95)+N(L95)*N(M95)+N(N95)*N(O95))-(N(J95)+N(L95)+N(N95))*F95)-N(Q95))</f>
        <v/>
      </c>
      <c r="V95" s="9">
        <f>IF(OR(B95="",P95=""),"",U95/S95)</f>
        <v/>
      </c>
      <c r="W95">
        <f>IF(OR(B95="",P95=""),"",NETWORKDAYS(C95,P95)-1)</f>
        <v/>
      </c>
      <c r="X95">
        <f>IF(B95="","",IF(P95="","Aberto","Fechado"))</f>
        <v/>
      </c>
    </row>
    <row r="96">
      <c r="C96" s="6" t="n"/>
      <c r="E96" s="7" t="n"/>
      <c r="F96" s="8" t="n"/>
      <c r="G96" s="8" t="n"/>
      <c r="H96" s="8" t="n"/>
      <c r="J96" s="7" t="n"/>
      <c r="K96" s="8" t="n"/>
      <c r="L96" s="7" t="n"/>
      <c r="M96" s="8" t="n"/>
      <c r="N96" s="7" t="n"/>
      <c r="O96" s="8" t="n"/>
      <c r="P96" s="6" t="n"/>
      <c r="Q96" s="8" t="n"/>
      <c r="S96" s="8">
        <f>IF(B96="","",E96*F96)</f>
        <v/>
      </c>
      <c r="T96" s="8">
        <f>IF(OR(B96="",N(G96)=0),"",ABS(F96-G96)*E96)</f>
        <v/>
      </c>
      <c r="U96" s="8">
        <f>IF(OR(B96="",P96=""),"",IF(D96="Venda",-1,1)*((N(J96)*N(K96)+N(L96)*N(M96)+N(N96)*N(O96))-(N(J96)+N(L96)+N(N96))*F96)-N(Q96))</f>
        <v/>
      </c>
      <c r="V96" s="9">
        <f>IF(OR(B96="",P96=""),"",U96/S96)</f>
        <v/>
      </c>
      <c r="W96">
        <f>IF(OR(B96="",P96=""),"",NETWORKDAYS(C96,P96)-1)</f>
        <v/>
      </c>
      <c r="X96">
        <f>IF(B96="","",IF(P96="","Aberto","Fechado"))</f>
        <v/>
      </c>
    </row>
    <row r="97">
      <c r="C97" s="6" t="n"/>
      <c r="E97" s="7" t="n"/>
      <c r="F97" s="8" t="n"/>
      <c r="G97" s="8" t="n"/>
      <c r="H97" s="8" t="n"/>
      <c r="J97" s="7" t="n"/>
      <c r="K97" s="8" t="n"/>
      <c r="L97" s="7" t="n"/>
      <c r="M97" s="8" t="n"/>
      <c r="N97" s="7" t="n"/>
      <c r="O97" s="8" t="n"/>
      <c r="P97" s="6" t="n"/>
      <c r="Q97" s="8" t="n"/>
      <c r="S97" s="8">
        <f>IF(B97="","",E97*F97)</f>
        <v/>
      </c>
      <c r="T97" s="8">
        <f>IF(OR(B97="",N(G97)=0),"",ABS(F97-G97)*E97)</f>
        <v/>
      </c>
      <c r="U97" s="8">
        <f>IF(OR(B97="",P97=""),"",IF(D97="Venda",-1,1)*((N(J97)*N(K97)+N(L97)*N(M97)+N(N97)*N(O97))-(N(J97)+N(L97)+N(N97))*F97)-N(Q97))</f>
        <v/>
      </c>
      <c r="V97" s="9">
        <f>IF(OR(B97="",P97=""),"",U97/S97)</f>
        <v/>
      </c>
      <c r="W97">
        <f>IF(OR(B97="",P97=""),"",NETWORKDAYS(C97,P97)-1)</f>
        <v/>
      </c>
      <c r="X97">
        <f>IF(B97="","",IF(P97="","Aberto","Fechado"))</f>
        <v/>
      </c>
    </row>
    <row r="98">
      <c r="C98" s="6" t="n"/>
      <c r="E98" s="7" t="n"/>
      <c r="F98" s="8" t="n"/>
      <c r="G98" s="8" t="n"/>
      <c r="H98" s="8" t="n"/>
      <c r="J98" s="7" t="n"/>
      <c r="K98" s="8" t="n"/>
      <c r="L98" s="7" t="n"/>
      <c r="M98" s="8" t="n"/>
      <c r="N98" s="7" t="n"/>
      <c r="O98" s="8" t="n"/>
      <c r="P98" s="6" t="n"/>
      <c r="Q98" s="8" t="n"/>
      <c r="S98" s="8">
        <f>IF(B98="","",E98*F98)</f>
        <v/>
      </c>
      <c r="T98" s="8">
        <f>IF(OR(B98="",N(G98)=0),"",ABS(F98-G98)*E98)</f>
        <v/>
      </c>
      <c r="U98" s="8">
        <f>IF(OR(B98="",P98=""),"",IF(D98="Venda",-1,1)*((N(J98)*N(K98)+N(L98)*N(M98)+N(N98)*N(O98))-(N(J98)+N(L98)+N(N98))*F98)-N(Q98))</f>
        <v/>
      </c>
      <c r="V98" s="9">
        <f>IF(OR(B98="",P98=""),"",U98/S98)</f>
        <v/>
      </c>
      <c r="W98">
        <f>IF(OR(B98="",P98=""),"",NETWORKDAYS(C98,P98)-1)</f>
        <v/>
      </c>
      <c r="X98">
        <f>IF(B98="","",IF(P98="","Aberto","Fechado"))</f>
        <v/>
      </c>
    </row>
    <row r="99">
      <c r="C99" s="6" t="n"/>
      <c r="E99" s="7" t="n"/>
      <c r="F99" s="8" t="n"/>
      <c r="G99" s="8" t="n"/>
      <c r="H99" s="8" t="n"/>
      <c r="J99" s="7" t="n"/>
      <c r="K99" s="8" t="n"/>
      <c r="L99" s="7" t="n"/>
      <c r="M99" s="8" t="n"/>
      <c r="N99" s="7" t="n"/>
      <c r="O99" s="8" t="n"/>
      <c r="P99" s="6" t="n"/>
      <c r="Q99" s="8" t="n"/>
      <c r="S99" s="8">
        <f>IF(B99="","",E99*F99)</f>
        <v/>
      </c>
      <c r="T99" s="8">
        <f>IF(OR(B99="",N(G99)=0),"",ABS(F99-G99)*E99)</f>
        <v/>
      </c>
      <c r="U99" s="8">
        <f>IF(OR(B99="",P99=""),"",IF(D99="Venda",-1,1)*((N(J99)*N(K99)+N(L99)*N(M99)+N(N99)*N(O99))-(N(J99)+N(L99)+N(N99))*F99)-N(Q99))</f>
        <v/>
      </c>
      <c r="V99" s="9">
        <f>IF(OR(B99="",P99=""),"",U99/S99)</f>
        <v/>
      </c>
      <c r="W99">
        <f>IF(OR(B99="",P99=""),"",NETWORKDAYS(C99,P99)-1)</f>
        <v/>
      </c>
      <c r="X99">
        <f>IF(B99="","",IF(P99="","Aberto","Fechado"))</f>
        <v/>
      </c>
    </row>
    <row r="100">
      <c r="C100" s="6" t="n"/>
      <c r="E100" s="7" t="n"/>
      <c r="F100" s="8" t="n"/>
      <c r="G100" s="8" t="n"/>
      <c r="H100" s="8" t="n"/>
      <c r="J100" s="7" t="n"/>
      <c r="K100" s="8" t="n"/>
      <c r="L100" s="7" t="n"/>
      <c r="M100" s="8" t="n"/>
      <c r="N100" s="7" t="n"/>
      <c r="O100" s="8" t="n"/>
      <c r="P100" s="6" t="n"/>
      <c r="Q100" s="8" t="n"/>
      <c r="S100" s="8">
        <f>IF(B100="","",E100*F100)</f>
        <v/>
      </c>
      <c r="T100" s="8">
        <f>IF(OR(B100="",N(G100)=0),"",ABS(F100-G100)*E100)</f>
        <v/>
      </c>
      <c r="U100" s="8">
        <f>IF(OR(B100="",P100=""),"",IF(D100="Venda",-1,1)*((N(J100)*N(K100)+N(L100)*N(M100)+N(N100)*N(O100))-(N(J100)+N(L100)+N(N100))*F100)-N(Q100))</f>
        <v/>
      </c>
      <c r="V100" s="9">
        <f>IF(OR(B100="",P100=""),"",U100/S100)</f>
        <v/>
      </c>
      <c r="W100">
        <f>IF(OR(B100="",P100=""),"",NETWORKDAYS(C100,P100)-1)</f>
        <v/>
      </c>
      <c r="X100">
        <f>IF(B100="","",IF(P100="","Aberto","Fechado"))</f>
        <v/>
      </c>
    </row>
    <row r="101">
      <c r="C101" s="6" t="n"/>
      <c r="E101" s="7" t="n"/>
      <c r="F101" s="8" t="n"/>
      <c r="G101" s="8" t="n"/>
      <c r="H101" s="8" t="n"/>
      <c r="J101" s="7" t="n"/>
      <c r="K101" s="8" t="n"/>
      <c r="L101" s="7" t="n"/>
      <c r="M101" s="8" t="n"/>
      <c r="N101" s="7" t="n"/>
      <c r="O101" s="8" t="n"/>
      <c r="P101" s="6" t="n"/>
      <c r="Q101" s="8" t="n"/>
      <c r="S101" s="8">
        <f>IF(B101="","",E101*F101)</f>
        <v/>
      </c>
      <c r="T101" s="8">
        <f>IF(OR(B101="",N(G101)=0),"",ABS(F101-G101)*E101)</f>
        <v/>
      </c>
      <c r="U101" s="8">
        <f>IF(OR(B101="",P101=""),"",IF(D101="Venda",-1,1)*((N(J101)*N(K101)+N(L101)*N(M101)+N(N101)*N(O101))-(N(J101)+N(L101)+N(N101))*F101)-N(Q101))</f>
        <v/>
      </c>
      <c r="V101" s="9">
        <f>IF(OR(B101="",P101=""),"",U101/S101)</f>
        <v/>
      </c>
      <c r="W101">
        <f>IF(OR(B101="",P101=""),"",NETWORKDAYS(C101,P101)-1)</f>
        <v/>
      </c>
      <c r="X101">
        <f>IF(B101="","",IF(P101="","Aberto","Fechado"))</f>
        <v/>
      </c>
    </row>
    <row r="102">
      <c r="C102" s="6" t="n"/>
      <c r="E102" s="7" t="n"/>
      <c r="F102" s="8" t="n"/>
      <c r="G102" s="8" t="n"/>
      <c r="H102" s="8" t="n"/>
      <c r="J102" s="7" t="n"/>
      <c r="K102" s="8" t="n"/>
      <c r="L102" s="7" t="n"/>
      <c r="M102" s="8" t="n"/>
      <c r="N102" s="7" t="n"/>
      <c r="O102" s="8" t="n"/>
      <c r="P102" s="6" t="n"/>
      <c r="Q102" s="8" t="n"/>
      <c r="S102" s="8">
        <f>IF(B102="","",E102*F102)</f>
        <v/>
      </c>
      <c r="T102" s="8">
        <f>IF(OR(B102="",N(G102)=0),"",ABS(F102-G102)*E102)</f>
        <v/>
      </c>
      <c r="U102" s="8">
        <f>IF(OR(B102="",P102=""),"",IF(D102="Venda",-1,1)*((N(J102)*N(K102)+N(L102)*N(M102)+N(N102)*N(O102))-(N(J102)+N(L102)+N(N102))*F102)-N(Q102))</f>
        <v/>
      </c>
      <c r="V102" s="9">
        <f>IF(OR(B102="",P102=""),"",U102/S102)</f>
        <v/>
      </c>
      <c r="W102">
        <f>IF(OR(B102="",P102=""),"",NETWORKDAYS(C102,P102)-1)</f>
        <v/>
      </c>
      <c r="X102">
        <f>IF(B102="","",IF(P102="","Aberto","Fechado"))</f>
        <v/>
      </c>
    </row>
    <row r="103">
      <c r="C103" s="6" t="n"/>
      <c r="E103" s="7" t="n"/>
      <c r="F103" s="8" t="n"/>
      <c r="G103" s="8" t="n"/>
      <c r="H103" s="8" t="n"/>
      <c r="J103" s="7" t="n"/>
      <c r="K103" s="8" t="n"/>
      <c r="L103" s="7" t="n"/>
      <c r="M103" s="8" t="n"/>
      <c r="N103" s="7" t="n"/>
      <c r="O103" s="8" t="n"/>
      <c r="P103" s="6" t="n"/>
      <c r="Q103" s="8" t="n"/>
      <c r="S103" s="8">
        <f>IF(B103="","",E103*F103)</f>
        <v/>
      </c>
      <c r="T103" s="8">
        <f>IF(OR(B103="",N(G103)=0),"",ABS(F103-G103)*E103)</f>
        <v/>
      </c>
      <c r="U103" s="8">
        <f>IF(OR(B103="",P103=""),"",IF(D103="Venda",-1,1)*((N(J103)*N(K103)+N(L103)*N(M103)+N(N103)*N(O103))-(N(J103)+N(L103)+N(N103))*F103)-N(Q103))</f>
        <v/>
      </c>
      <c r="V103" s="9">
        <f>IF(OR(B103="",P103=""),"",U103/S103)</f>
        <v/>
      </c>
      <c r="W103">
        <f>IF(OR(B103="",P103=""),"",NETWORKDAYS(C103,P103)-1)</f>
        <v/>
      </c>
      <c r="X103">
        <f>IF(B103="","",IF(P103="","Aberto","Fechado"))</f>
        <v/>
      </c>
    </row>
    <row r="104">
      <c r="C104" s="6" t="n"/>
      <c r="E104" s="7" t="n"/>
      <c r="F104" s="8" t="n"/>
      <c r="G104" s="8" t="n"/>
      <c r="H104" s="8" t="n"/>
      <c r="J104" s="7" t="n"/>
      <c r="K104" s="8" t="n"/>
      <c r="L104" s="7" t="n"/>
      <c r="M104" s="8" t="n"/>
      <c r="N104" s="7" t="n"/>
      <c r="O104" s="8" t="n"/>
      <c r="P104" s="6" t="n"/>
      <c r="Q104" s="8" t="n"/>
      <c r="S104" s="8">
        <f>IF(B104="","",E104*F104)</f>
        <v/>
      </c>
      <c r="T104" s="8">
        <f>IF(OR(B104="",N(G104)=0),"",ABS(F104-G104)*E104)</f>
        <v/>
      </c>
      <c r="U104" s="8">
        <f>IF(OR(B104="",P104=""),"",IF(D104="Venda",-1,1)*((N(J104)*N(K104)+N(L104)*N(M104)+N(N104)*N(O104))-(N(J104)+N(L104)+N(N104))*F104)-N(Q104))</f>
        <v/>
      </c>
      <c r="V104" s="9">
        <f>IF(OR(B104="",P104=""),"",U104/S104)</f>
        <v/>
      </c>
      <c r="W104">
        <f>IF(OR(B104="",P104=""),"",NETWORKDAYS(C104,P104)-1)</f>
        <v/>
      </c>
      <c r="X104">
        <f>IF(B104="","",IF(P104="","Aberto","Fechado"))</f>
        <v/>
      </c>
    </row>
    <row r="105">
      <c r="C105" s="6" t="n"/>
      <c r="E105" s="7" t="n"/>
      <c r="F105" s="8" t="n"/>
      <c r="G105" s="8" t="n"/>
      <c r="H105" s="8" t="n"/>
      <c r="J105" s="7" t="n"/>
      <c r="K105" s="8" t="n"/>
      <c r="L105" s="7" t="n"/>
      <c r="M105" s="8" t="n"/>
      <c r="N105" s="7" t="n"/>
      <c r="O105" s="8" t="n"/>
      <c r="P105" s="6" t="n"/>
      <c r="Q105" s="8" t="n"/>
      <c r="S105" s="8">
        <f>IF(B105="","",E105*F105)</f>
        <v/>
      </c>
      <c r="T105" s="8">
        <f>IF(OR(B105="",N(G105)=0),"",ABS(F105-G105)*E105)</f>
        <v/>
      </c>
      <c r="U105" s="8">
        <f>IF(OR(B105="",P105=""),"",IF(D105="Venda",-1,1)*((N(J105)*N(K105)+N(L105)*N(M105)+N(N105)*N(O105))-(N(J105)+N(L105)+N(N105))*F105)-N(Q105))</f>
        <v/>
      </c>
      <c r="V105" s="9">
        <f>IF(OR(B105="",P105=""),"",U105/S105)</f>
        <v/>
      </c>
      <c r="W105">
        <f>IF(OR(B105="",P105=""),"",NETWORKDAYS(C105,P105)-1)</f>
        <v/>
      </c>
      <c r="X105">
        <f>IF(B105="","",IF(P105="","Aberto","Fechado"))</f>
        <v/>
      </c>
    </row>
    <row r="106">
      <c r="C106" s="6" t="n"/>
      <c r="E106" s="7" t="n"/>
      <c r="F106" s="8" t="n"/>
      <c r="G106" s="8" t="n"/>
      <c r="H106" s="8" t="n"/>
      <c r="J106" s="7" t="n"/>
      <c r="K106" s="8" t="n"/>
      <c r="L106" s="7" t="n"/>
      <c r="M106" s="8" t="n"/>
      <c r="N106" s="7" t="n"/>
      <c r="O106" s="8" t="n"/>
      <c r="P106" s="6" t="n"/>
      <c r="Q106" s="8" t="n"/>
      <c r="S106" s="8">
        <f>IF(B106="","",E106*F106)</f>
        <v/>
      </c>
      <c r="T106" s="8">
        <f>IF(OR(B106="",N(G106)=0),"",ABS(F106-G106)*E106)</f>
        <v/>
      </c>
      <c r="U106" s="8">
        <f>IF(OR(B106="",P106=""),"",IF(D106="Venda",-1,1)*((N(J106)*N(K106)+N(L106)*N(M106)+N(N106)*N(O106))-(N(J106)+N(L106)+N(N106))*F106)-N(Q106))</f>
        <v/>
      </c>
      <c r="V106" s="9">
        <f>IF(OR(B106="",P106=""),"",U106/S106)</f>
        <v/>
      </c>
      <c r="W106">
        <f>IF(OR(B106="",P106=""),"",NETWORKDAYS(C106,P106)-1)</f>
        <v/>
      </c>
      <c r="X106">
        <f>IF(B106="","",IF(P106="","Aberto","Fechado"))</f>
        <v/>
      </c>
    </row>
    <row r="107">
      <c r="C107" s="6" t="n"/>
      <c r="E107" s="7" t="n"/>
      <c r="F107" s="8" t="n"/>
      <c r="G107" s="8" t="n"/>
      <c r="H107" s="8" t="n"/>
      <c r="J107" s="7" t="n"/>
      <c r="K107" s="8" t="n"/>
      <c r="L107" s="7" t="n"/>
      <c r="M107" s="8" t="n"/>
      <c r="N107" s="7" t="n"/>
      <c r="O107" s="8" t="n"/>
      <c r="P107" s="6" t="n"/>
      <c r="Q107" s="8" t="n"/>
      <c r="S107" s="8">
        <f>IF(B107="","",E107*F107)</f>
        <v/>
      </c>
      <c r="T107" s="8">
        <f>IF(OR(B107="",N(G107)=0),"",ABS(F107-G107)*E107)</f>
        <v/>
      </c>
      <c r="U107" s="8">
        <f>IF(OR(B107="",P107=""),"",IF(D107="Venda",-1,1)*((N(J107)*N(K107)+N(L107)*N(M107)+N(N107)*N(O107))-(N(J107)+N(L107)+N(N107))*F107)-N(Q107))</f>
        <v/>
      </c>
      <c r="V107" s="9">
        <f>IF(OR(B107="",P107=""),"",U107/S107)</f>
        <v/>
      </c>
      <c r="W107">
        <f>IF(OR(B107="",P107=""),"",NETWORKDAYS(C107,P107)-1)</f>
        <v/>
      </c>
      <c r="X107">
        <f>IF(B107="","",IF(P107="","Aberto","Fechado"))</f>
        <v/>
      </c>
    </row>
    <row r="108">
      <c r="C108" s="6" t="n"/>
      <c r="E108" s="7" t="n"/>
      <c r="F108" s="8" t="n"/>
      <c r="G108" s="8" t="n"/>
      <c r="H108" s="8" t="n"/>
      <c r="J108" s="7" t="n"/>
      <c r="K108" s="8" t="n"/>
      <c r="L108" s="7" t="n"/>
      <c r="M108" s="8" t="n"/>
      <c r="N108" s="7" t="n"/>
      <c r="O108" s="8" t="n"/>
      <c r="P108" s="6" t="n"/>
      <c r="Q108" s="8" t="n"/>
      <c r="S108" s="8">
        <f>IF(B108="","",E108*F108)</f>
        <v/>
      </c>
      <c r="T108" s="8">
        <f>IF(OR(B108="",N(G108)=0),"",ABS(F108-G108)*E108)</f>
        <v/>
      </c>
      <c r="U108" s="8">
        <f>IF(OR(B108="",P108=""),"",IF(D108="Venda",-1,1)*((N(J108)*N(K108)+N(L108)*N(M108)+N(N108)*N(O108))-(N(J108)+N(L108)+N(N108))*F108)-N(Q108))</f>
        <v/>
      </c>
      <c r="V108" s="9">
        <f>IF(OR(B108="",P108=""),"",U108/S108)</f>
        <v/>
      </c>
      <c r="W108">
        <f>IF(OR(B108="",P108=""),"",NETWORKDAYS(C108,P108)-1)</f>
        <v/>
      </c>
      <c r="X108">
        <f>IF(B108="","",IF(P108="","Aberto","Fechado"))</f>
        <v/>
      </c>
    </row>
    <row r="109">
      <c r="C109" s="6" t="n"/>
      <c r="E109" s="7" t="n"/>
      <c r="F109" s="8" t="n"/>
      <c r="G109" s="8" t="n"/>
      <c r="H109" s="8" t="n"/>
      <c r="J109" s="7" t="n"/>
      <c r="K109" s="8" t="n"/>
      <c r="L109" s="7" t="n"/>
      <c r="M109" s="8" t="n"/>
      <c r="N109" s="7" t="n"/>
      <c r="O109" s="8" t="n"/>
      <c r="P109" s="6" t="n"/>
      <c r="Q109" s="8" t="n"/>
      <c r="S109" s="8">
        <f>IF(B109="","",E109*F109)</f>
        <v/>
      </c>
      <c r="T109" s="8">
        <f>IF(OR(B109="",N(G109)=0),"",ABS(F109-G109)*E109)</f>
        <v/>
      </c>
      <c r="U109" s="8">
        <f>IF(OR(B109="",P109=""),"",IF(D109="Venda",-1,1)*((N(J109)*N(K109)+N(L109)*N(M109)+N(N109)*N(O109))-(N(J109)+N(L109)+N(N109))*F109)-N(Q109))</f>
        <v/>
      </c>
      <c r="V109" s="9">
        <f>IF(OR(B109="",P109=""),"",U109/S109)</f>
        <v/>
      </c>
      <c r="W109">
        <f>IF(OR(B109="",P109=""),"",NETWORKDAYS(C109,P109)-1)</f>
        <v/>
      </c>
      <c r="X109">
        <f>IF(B109="","",IF(P109="","Aberto","Fechado"))</f>
        <v/>
      </c>
    </row>
    <row r="110">
      <c r="C110" s="6" t="n"/>
      <c r="E110" s="7" t="n"/>
      <c r="F110" s="8" t="n"/>
      <c r="G110" s="8" t="n"/>
      <c r="H110" s="8" t="n"/>
      <c r="J110" s="7" t="n"/>
      <c r="K110" s="8" t="n"/>
      <c r="L110" s="7" t="n"/>
      <c r="M110" s="8" t="n"/>
      <c r="N110" s="7" t="n"/>
      <c r="O110" s="8" t="n"/>
      <c r="P110" s="6" t="n"/>
      <c r="Q110" s="8" t="n"/>
      <c r="S110" s="8">
        <f>IF(B110="","",E110*F110)</f>
        <v/>
      </c>
      <c r="T110" s="8">
        <f>IF(OR(B110="",N(G110)=0),"",ABS(F110-G110)*E110)</f>
        <v/>
      </c>
      <c r="U110" s="8">
        <f>IF(OR(B110="",P110=""),"",IF(D110="Venda",-1,1)*((N(J110)*N(K110)+N(L110)*N(M110)+N(N110)*N(O110))-(N(J110)+N(L110)+N(N110))*F110)-N(Q110))</f>
        <v/>
      </c>
      <c r="V110" s="9">
        <f>IF(OR(B110="",P110=""),"",U110/S110)</f>
        <v/>
      </c>
      <c r="W110">
        <f>IF(OR(B110="",P110=""),"",NETWORKDAYS(C110,P110)-1)</f>
        <v/>
      </c>
      <c r="X110">
        <f>IF(B110="","",IF(P110="","Aberto","Fechado"))</f>
        <v/>
      </c>
    </row>
    <row r="111">
      <c r="C111" s="6" t="n"/>
      <c r="E111" s="7" t="n"/>
      <c r="F111" s="8" t="n"/>
      <c r="G111" s="8" t="n"/>
      <c r="H111" s="8" t="n"/>
      <c r="J111" s="7" t="n"/>
      <c r="K111" s="8" t="n"/>
      <c r="L111" s="7" t="n"/>
      <c r="M111" s="8" t="n"/>
      <c r="N111" s="7" t="n"/>
      <c r="O111" s="8" t="n"/>
      <c r="P111" s="6" t="n"/>
      <c r="Q111" s="8" t="n"/>
      <c r="S111" s="8">
        <f>IF(B111="","",E111*F111)</f>
        <v/>
      </c>
      <c r="T111" s="8">
        <f>IF(OR(B111="",N(G111)=0),"",ABS(F111-G111)*E111)</f>
        <v/>
      </c>
      <c r="U111" s="8">
        <f>IF(OR(B111="",P111=""),"",IF(D111="Venda",-1,1)*((N(J111)*N(K111)+N(L111)*N(M111)+N(N111)*N(O111))-(N(J111)+N(L111)+N(N111))*F111)-N(Q111))</f>
        <v/>
      </c>
      <c r="V111" s="9">
        <f>IF(OR(B111="",P111=""),"",U111/S111)</f>
        <v/>
      </c>
      <c r="W111">
        <f>IF(OR(B111="",P111=""),"",NETWORKDAYS(C111,P111)-1)</f>
        <v/>
      </c>
      <c r="X111">
        <f>IF(B111="","",IF(P111="","Aberto","Fechado"))</f>
        <v/>
      </c>
    </row>
    <row r="112">
      <c r="C112" s="6" t="n"/>
      <c r="E112" s="7" t="n"/>
      <c r="F112" s="8" t="n"/>
      <c r="G112" s="8" t="n"/>
      <c r="H112" s="8" t="n"/>
      <c r="J112" s="7" t="n"/>
      <c r="K112" s="8" t="n"/>
      <c r="L112" s="7" t="n"/>
      <c r="M112" s="8" t="n"/>
      <c r="N112" s="7" t="n"/>
      <c r="O112" s="8" t="n"/>
      <c r="P112" s="6" t="n"/>
      <c r="Q112" s="8" t="n"/>
      <c r="S112" s="8">
        <f>IF(B112="","",E112*F112)</f>
        <v/>
      </c>
      <c r="T112" s="8">
        <f>IF(OR(B112="",N(G112)=0),"",ABS(F112-G112)*E112)</f>
        <v/>
      </c>
      <c r="U112" s="8">
        <f>IF(OR(B112="",P112=""),"",IF(D112="Venda",-1,1)*((N(J112)*N(K112)+N(L112)*N(M112)+N(N112)*N(O112))-(N(J112)+N(L112)+N(N112))*F112)-N(Q112))</f>
        <v/>
      </c>
      <c r="V112" s="9">
        <f>IF(OR(B112="",P112=""),"",U112/S112)</f>
        <v/>
      </c>
      <c r="W112">
        <f>IF(OR(B112="",P112=""),"",NETWORKDAYS(C112,P112)-1)</f>
        <v/>
      </c>
      <c r="X112">
        <f>IF(B112="","",IF(P112="","Aberto","Fechado"))</f>
        <v/>
      </c>
    </row>
    <row r="113">
      <c r="C113" s="6" t="n"/>
      <c r="E113" s="7" t="n"/>
      <c r="F113" s="8" t="n"/>
      <c r="G113" s="8" t="n"/>
      <c r="H113" s="8" t="n"/>
      <c r="J113" s="7" t="n"/>
      <c r="K113" s="8" t="n"/>
      <c r="L113" s="7" t="n"/>
      <c r="M113" s="8" t="n"/>
      <c r="N113" s="7" t="n"/>
      <c r="O113" s="8" t="n"/>
      <c r="P113" s="6" t="n"/>
      <c r="Q113" s="8" t="n"/>
      <c r="S113" s="8">
        <f>IF(B113="","",E113*F113)</f>
        <v/>
      </c>
      <c r="T113" s="8">
        <f>IF(OR(B113="",N(G113)=0),"",ABS(F113-G113)*E113)</f>
        <v/>
      </c>
      <c r="U113" s="8">
        <f>IF(OR(B113="",P113=""),"",IF(D113="Venda",-1,1)*((N(J113)*N(K113)+N(L113)*N(M113)+N(N113)*N(O113))-(N(J113)+N(L113)+N(N113))*F113)-N(Q113))</f>
        <v/>
      </c>
      <c r="V113" s="9">
        <f>IF(OR(B113="",P113=""),"",U113/S113)</f>
        <v/>
      </c>
      <c r="W113">
        <f>IF(OR(B113="",P113=""),"",NETWORKDAYS(C113,P113)-1)</f>
        <v/>
      </c>
      <c r="X113">
        <f>IF(B113="","",IF(P113="","Aberto","Fechado"))</f>
        <v/>
      </c>
    </row>
    <row r="114">
      <c r="C114" s="6" t="n"/>
      <c r="E114" s="7" t="n"/>
      <c r="F114" s="8" t="n"/>
      <c r="G114" s="8" t="n"/>
      <c r="H114" s="8" t="n"/>
      <c r="J114" s="7" t="n"/>
      <c r="K114" s="8" t="n"/>
      <c r="L114" s="7" t="n"/>
      <c r="M114" s="8" t="n"/>
      <c r="N114" s="7" t="n"/>
      <c r="O114" s="8" t="n"/>
      <c r="P114" s="6" t="n"/>
      <c r="Q114" s="8" t="n"/>
      <c r="S114" s="8">
        <f>IF(B114="","",E114*F114)</f>
        <v/>
      </c>
      <c r="T114" s="8">
        <f>IF(OR(B114="",N(G114)=0),"",ABS(F114-G114)*E114)</f>
        <v/>
      </c>
      <c r="U114" s="8">
        <f>IF(OR(B114="",P114=""),"",IF(D114="Venda",-1,1)*((N(J114)*N(K114)+N(L114)*N(M114)+N(N114)*N(O114))-(N(J114)+N(L114)+N(N114))*F114)-N(Q114))</f>
        <v/>
      </c>
      <c r="V114" s="9">
        <f>IF(OR(B114="",P114=""),"",U114/S114)</f>
        <v/>
      </c>
      <c r="W114">
        <f>IF(OR(B114="",P114=""),"",NETWORKDAYS(C114,P114)-1)</f>
        <v/>
      </c>
      <c r="X114">
        <f>IF(B114="","",IF(P114="","Aberto","Fechado"))</f>
        <v/>
      </c>
    </row>
    <row r="115">
      <c r="C115" s="6" t="n"/>
      <c r="E115" s="7" t="n"/>
      <c r="F115" s="8" t="n"/>
      <c r="G115" s="8" t="n"/>
      <c r="H115" s="8" t="n"/>
      <c r="J115" s="7" t="n"/>
      <c r="K115" s="8" t="n"/>
      <c r="L115" s="7" t="n"/>
      <c r="M115" s="8" t="n"/>
      <c r="N115" s="7" t="n"/>
      <c r="O115" s="8" t="n"/>
      <c r="P115" s="6" t="n"/>
      <c r="Q115" s="8" t="n"/>
      <c r="S115" s="8">
        <f>IF(B115="","",E115*F115)</f>
        <v/>
      </c>
      <c r="T115" s="8">
        <f>IF(OR(B115="",N(G115)=0),"",ABS(F115-G115)*E115)</f>
        <v/>
      </c>
      <c r="U115" s="8">
        <f>IF(OR(B115="",P115=""),"",IF(D115="Venda",-1,1)*((N(J115)*N(K115)+N(L115)*N(M115)+N(N115)*N(O115))-(N(J115)+N(L115)+N(N115))*F115)-N(Q115))</f>
        <v/>
      </c>
      <c r="V115" s="9">
        <f>IF(OR(B115="",P115=""),"",U115/S115)</f>
        <v/>
      </c>
      <c r="W115">
        <f>IF(OR(B115="",P115=""),"",NETWORKDAYS(C115,P115)-1)</f>
        <v/>
      </c>
      <c r="X115">
        <f>IF(B115="","",IF(P115="","Aberto","Fechado"))</f>
        <v/>
      </c>
    </row>
    <row r="116">
      <c r="C116" s="6" t="n"/>
      <c r="E116" s="7" t="n"/>
      <c r="F116" s="8" t="n"/>
      <c r="G116" s="8" t="n"/>
      <c r="H116" s="8" t="n"/>
      <c r="J116" s="7" t="n"/>
      <c r="K116" s="8" t="n"/>
      <c r="L116" s="7" t="n"/>
      <c r="M116" s="8" t="n"/>
      <c r="N116" s="7" t="n"/>
      <c r="O116" s="8" t="n"/>
      <c r="P116" s="6" t="n"/>
      <c r="Q116" s="8" t="n"/>
      <c r="S116" s="8">
        <f>IF(B116="","",E116*F116)</f>
        <v/>
      </c>
      <c r="T116" s="8">
        <f>IF(OR(B116="",N(G116)=0),"",ABS(F116-G116)*E116)</f>
        <v/>
      </c>
      <c r="U116" s="8">
        <f>IF(OR(B116="",P116=""),"",IF(D116="Venda",-1,1)*((N(J116)*N(K116)+N(L116)*N(M116)+N(N116)*N(O116))-(N(J116)+N(L116)+N(N116))*F116)-N(Q116))</f>
        <v/>
      </c>
      <c r="V116" s="9">
        <f>IF(OR(B116="",P116=""),"",U116/S116)</f>
        <v/>
      </c>
      <c r="W116">
        <f>IF(OR(B116="",P116=""),"",NETWORKDAYS(C116,P116)-1)</f>
        <v/>
      </c>
      <c r="X116">
        <f>IF(B116="","",IF(P116="","Aberto","Fechado"))</f>
        <v/>
      </c>
    </row>
    <row r="117">
      <c r="C117" s="6" t="n"/>
      <c r="E117" s="7" t="n"/>
      <c r="F117" s="8" t="n"/>
      <c r="G117" s="8" t="n"/>
      <c r="H117" s="8" t="n"/>
      <c r="J117" s="7" t="n"/>
      <c r="K117" s="8" t="n"/>
      <c r="L117" s="7" t="n"/>
      <c r="M117" s="8" t="n"/>
      <c r="N117" s="7" t="n"/>
      <c r="O117" s="8" t="n"/>
      <c r="P117" s="6" t="n"/>
      <c r="Q117" s="8" t="n"/>
      <c r="S117" s="8">
        <f>IF(B117="","",E117*F117)</f>
        <v/>
      </c>
      <c r="T117" s="8">
        <f>IF(OR(B117="",N(G117)=0),"",ABS(F117-G117)*E117)</f>
        <v/>
      </c>
      <c r="U117" s="8">
        <f>IF(OR(B117="",P117=""),"",IF(D117="Venda",-1,1)*((N(J117)*N(K117)+N(L117)*N(M117)+N(N117)*N(O117))-(N(J117)+N(L117)+N(N117))*F117)-N(Q117))</f>
        <v/>
      </c>
      <c r="V117" s="9">
        <f>IF(OR(B117="",P117=""),"",U117/S117)</f>
        <v/>
      </c>
      <c r="W117">
        <f>IF(OR(B117="",P117=""),"",NETWORKDAYS(C117,P117)-1)</f>
        <v/>
      </c>
      <c r="X117">
        <f>IF(B117="","",IF(P117="","Aberto","Fechado"))</f>
        <v/>
      </c>
    </row>
    <row r="118">
      <c r="C118" s="6" t="n"/>
      <c r="E118" s="7" t="n"/>
      <c r="F118" s="8" t="n"/>
      <c r="G118" s="8" t="n"/>
      <c r="H118" s="8" t="n"/>
      <c r="J118" s="7" t="n"/>
      <c r="K118" s="8" t="n"/>
      <c r="L118" s="7" t="n"/>
      <c r="M118" s="8" t="n"/>
      <c r="N118" s="7" t="n"/>
      <c r="O118" s="8" t="n"/>
      <c r="P118" s="6" t="n"/>
      <c r="Q118" s="8" t="n"/>
      <c r="S118" s="8">
        <f>IF(B118="","",E118*F118)</f>
        <v/>
      </c>
      <c r="T118" s="8">
        <f>IF(OR(B118="",N(G118)=0),"",ABS(F118-G118)*E118)</f>
        <v/>
      </c>
      <c r="U118" s="8">
        <f>IF(OR(B118="",P118=""),"",IF(D118="Venda",-1,1)*((N(J118)*N(K118)+N(L118)*N(M118)+N(N118)*N(O118))-(N(J118)+N(L118)+N(N118))*F118)-N(Q118))</f>
        <v/>
      </c>
      <c r="V118" s="9">
        <f>IF(OR(B118="",P118=""),"",U118/S118)</f>
        <v/>
      </c>
      <c r="W118">
        <f>IF(OR(B118="",P118=""),"",NETWORKDAYS(C118,P118)-1)</f>
        <v/>
      </c>
      <c r="X118">
        <f>IF(B118="","",IF(P118="","Aberto","Fechado"))</f>
        <v/>
      </c>
    </row>
    <row r="119">
      <c r="C119" s="6" t="n"/>
      <c r="E119" s="7" t="n"/>
      <c r="F119" s="8" t="n"/>
      <c r="G119" s="8" t="n"/>
      <c r="H119" s="8" t="n"/>
      <c r="J119" s="7" t="n"/>
      <c r="K119" s="8" t="n"/>
      <c r="L119" s="7" t="n"/>
      <c r="M119" s="8" t="n"/>
      <c r="N119" s="7" t="n"/>
      <c r="O119" s="8" t="n"/>
      <c r="P119" s="6" t="n"/>
      <c r="Q119" s="8" t="n"/>
      <c r="S119" s="8">
        <f>IF(B119="","",E119*F119)</f>
        <v/>
      </c>
      <c r="T119" s="8">
        <f>IF(OR(B119="",N(G119)=0),"",ABS(F119-G119)*E119)</f>
        <v/>
      </c>
      <c r="U119" s="8">
        <f>IF(OR(B119="",P119=""),"",IF(D119="Venda",-1,1)*((N(J119)*N(K119)+N(L119)*N(M119)+N(N119)*N(O119))-(N(J119)+N(L119)+N(N119))*F119)-N(Q119))</f>
        <v/>
      </c>
      <c r="V119" s="9">
        <f>IF(OR(B119="",P119=""),"",U119/S119)</f>
        <v/>
      </c>
      <c r="W119">
        <f>IF(OR(B119="",P119=""),"",NETWORKDAYS(C119,P119)-1)</f>
        <v/>
      </c>
      <c r="X119">
        <f>IF(B119="","",IF(P119="","Aberto","Fechado"))</f>
        <v/>
      </c>
    </row>
    <row r="120">
      <c r="C120" s="6" t="n"/>
      <c r="E120" s="7" t="n"/>
      <c r="F120" s="8" t="n"/>
      <c r="G120" s="8" t="n"/>
      <c r="H120" s="8" t="n"/>
      <c r="J120" s="7" t="n"/>
      <c r="K120" s="8" t="n"/>
      <c r="L120" s="7" t="n"/>
      <c r="M120" s="8" t="n"/>
      <c r="N120" s="7" t="n"/>
      <c r="O120" s="8" t="n"/>
      <c r="P120" s="6" t="n"/>
      <c r="Q120" s="8" t="n"/>
      <c r="S120" s="8">
        <f>IF(B120="","",E120*F120)</f>
        <v/>
      </c>
      <c r="T120" s="8">
        <f>IF(OR(B120="",N(G120)=0),"",ABS(F120-G120)*E120)</f>
        <v/>
      </c>
      <c r="U120" s="8">
        <f>IF(OR(B120="",P120=""),"",IF(D120="Venda",-1,1)*((N(J120)*N(K120)+N(L120)*N(M120)+N(N120)*N(O120))-(N(J120)+N(L120)+N(N120))*F120)-N(Q120))</f>
        <v/>
      </c>
      <c r="V120" s="9">
        <f>IF(OR(B120="",P120=""),"",U120/S120)</f>
        <v/>
      </c>
      <c r="W120">
        <f>IF(OR(B120="",P120=""),"",NETWORKDAYS(C120,P120)-1)</f>
        <v/>
      </c>
      <c r="X120">
        <f>IF(B120="","",IF(P120="","Aberto","Fechado"))</f>
        <v/>
      </c>
    </row>
    <row r="121">
      <c r="C121" s="6" t="n"/>
      <c r="E121" s="7" t="n"/>
      <c r="F121" s="8" t="n"/>
      <c r="G121" s="8" t="n"/>
      <c r="H121" s="8" t="n"/>
      <c r="J121" s="7" t="n"/>
      <c r="K121" s="8" t="n"/>
      <c r="L121" s="7" t="n"/>
      <c r="M121" s="8" t="n"/>
      <c r="N121" s="7" t="n"/>
      <c r="O121" s="8" t="n"/>
      <c r="P121" s="6" t="n"/>
      <c r="Q121" s="8" t="n"/>
      <c r="S121" s="8">
        <f>IF(B121="","",E121*F121)</f>
        <v/>
      </c>
      <c r="T121" s="8">
        <f>IF(OR(B121="",N(G121)=0),"",ABS(F121-G121)*E121)</f>
        <v/>
      </c>
      <c r="U121" s="8">
        <f>IF(OR(B121="",P121=""),"",IF(D121="Venda",-1,1)*((N(J121)*N(K121)+N(L121)*N(M121)+N(N121)*N(O121))-(N(J121)+N(L121)+N(N121))*F121)-N(Q121))</f>
        <v/>
      </c>
      <c r="V121" s="9">
        <f>IF(OR(B121="",P121=""),"",U121/S121)</f>
        <v/>
      </c>
      <c r="W121">
        <f>IF(OR(B121="",P121=""),"",NETWORKDAYS(C121,P121)-1)</f>
        <v/>
      </c>
      <c r="X121">
        <f>IF(B121="","",IF(P121="","Aberto","Fechado"))</f>
        <v/>
      </c>
    </row>
    <row r="122">
      <c r="C122" s="6" t="n"/>
      <c r="E122" s="7" t="n"/>
      <c r="F122" s="8" t="n"/>
      <c r="G122" s="8" t="n"/>
      <c r="H122" s="8" t="n"/>
      <c r="J122" s="7" t="n"/>
      <c r="K122" s="8" t="n"/>
      <c r="L122" s="7" t="n"/>
      <c r="M122" s="8" t="n"/>
      <c r="N122" s="7" t="n"/>
      <c r="O122" s="8" t="n"/>
      <c r="P122" s="6" t="n"/>
      <c r="Q122" s="8" t="n"/>
      <c r="S122" s="8">
        <f>IF(B122="","",E122*F122)</f>
        <v/>
      </c>
      <c r="T122" s="8">
        <f>IF(OR(B122="",N(G122)=0),"",ABS(F122-G122)*E122)</f>
        <v/>
      </c>
      <c r="U122" s="8">
        <f>IF(OR(B122="",P122=""),"",IF(D122="Venda",-1,1)*((N(J122)*N(K122)+N(L122)*N(M122)+N(N122)*N(O122))-(N(J122)+N(L122)+N(N122))*F122)-N(Q122))</f>
        <v/>
      </c>
      <c r="V122" s="9">
        <f>IF(OR(B122="",P122=""),"",U122/S122)</f>
        <v/>
      </c>
      <c r="W122">
        <f>IF(OR(B122="",P122=""),"",NETWORKDAYS(C122,P122)-1)</f>
        <v/>
      </c>
      <c r="X122">
        <f>IF(B122="","",IF(P122="","Aberto","Fechado"))</f>
        <v/>
      </c>
    </row>
    <row r="123">
      <c r="C123" s="6" t="n"/>
      <c r="E123" s="7" t="n"/>
      <c r="F123" s="8" t="n"/>
      <c r="G123" s="8" t="n"/>
      <c r="H123" s="8" t="n"/>
      <c r="J123" s="7" t="n"/>
      <c r="K123" s="8" t="n"/>
      <c r="L123" s="7" t="n"/>
      <c r="M123" s="8" t="n"/>
      <c r="N123" s="7" t="n"/>
      <c r="O123" s="8" t="n"/>
      <c r="P123" s="6" t="n"/>
      <c r="Q123" s="8" t="n"/>
      <c r="S123" s="8">
        <f>IF(B123="","",E123*F123)</f>
        <v/>
      </c>
      <c r="T123" s="8">
        <f>IF(OR(B123="",N(G123)=0),"",ABS(F123-G123)*E123)</f>
        <v/>
      </c>
      <c r="U123" s="8">
        <f>IF(OR(B123="",P123=""),"",IF(D123="Venda",-1,1)*((N(J123)*N(K123)+N(L123)*N(M123)+N(N123)*N(O123))-(N(J123)+N(L123)+N(N123))*F123)-N(Q123))</f>
        <v/>
      </c>
      <c r="V123" s="9">
        <f>IF(OR(B123="",P123=""),"",U123/S123)</f>
        <v/>
      </c>
      <c r="W123">
        <f>IF(OR(B123="",P123=""),"",NETWORKDAYS(C123,P123)-1)</f>
        <v/>
      </c>
      <c r="X123">
        <f>IF(B123="","",IF(P123="","Aberto","Fechado"))</f>
        <v/>
      </c>
    </row>
    <row r="124">
      <c r="C124" s="6" t="n"/>
      <c r="E124" s="7" t="n"/>
      <c r="F124" s="8" t="n"/>
      <c r="G124" s="8" t="n"/>
      <c r="H124" s="8" t="n"/>
      <c r="J124" s="7" t="n"/>
      <c r="K124" s="8" t="n"/>
      <c r="L124" s="7" t="n"/>
      <c r="M124" s="8" t="n"/>
      <c r="N124" s="7" t="n"/>
      <c r="O124" s="8" t="n"/>
      <c r="P124" s="6" t="n"/>
      <c r="Q124" s="8" t="n"/>
      <c r="S124" s="8">
        <f>IF(B124="","",E124*F124)</f>
        <v/>
      </c>
      <c r="T124" s="8">
        <f>IF(OR(B124="",N(G124)=0),"",ABS(F124-G124)*E124)</f>
        <v/>
      </c>
      <c r="U124" s="8">
        <f>IF(OR(B124="",P124=""),"",IF(D124="Venda",-1,1)*((N(J124)*N(K124)+N(L124)*N(M124)+N(N124)*N(O124))-(N(J124)+N(L124)+N(N124))*F124)-N(Q124))</f>
        <v/>
      </c>
      <c r="V124" s="9">
        <f>IF(OR(B124="",P124=""),"",U124/S124)</f>
        <v/>
      </c>
      <c r="W124">
        <f>IF(OR(B124="",P124=""),"",NETWORKDAYS(C124,P124)-1)</f>
        <v/>
      </c>
      <c r="X124">
        <f>IF(B124="","",IF(P124="","Aberto","Fechado"))</f>
        <v/>
      </c>
    </row>
    <row r="125">
      <c r="C125" s="6" t="n"/>
      <c r="E125" s="7" t="n"/>
      <c r="F125" s="8" t="n"/>
      <c r="G125" s="8" t="n"/>
      <c r="H125" s="8" t="n"/>
      <c r="J125" s="7" t="n"/>
      <c r="K125" s="8" t="n"/>
      <c r="L125" s="7" t="n"/>
      <c r="M125" s="8" t="n"/>
      <c r="N125" s="7" t="n"/>
      <c r="O125" s="8" t="n"/>
      <c r="P125" s="6" t="n"/>
      <c r="Q125" s="8" t="n"/>
      <c r="S125" s="8">
        <f>IF(B125="","",E125*F125)</f>
        <v/>
      </c>
      <c r="T125" s="8">
        <f>IF(OR(B125="",N(G125)=0),"",ABS(F125-G125)*E125)</f>
        <v/>
      </c>
      <c r="U125" s="8">
        <f>IF(OR(B125="",P125=""),"",IF(D125="Venda",-1,1)*((N(J125)*N(K125)+N(L125)*N(M125)+N(N125)*N(O125))-(N(J125)+N(L125)+N(N125))*F125)-N(Q125))</f>
        <v/>
      </c>
      <c r="V125" s="9">
        <f>IF(OR(B125="",P125=""),"",U125/S125)</f>
        <v/>
      </c>
      <c r="W125">
        <f>IF(OR(B125="",P125=""),"",NETWORKDAYS(C125,P125)-1)</f>
        <v/>
      </c>
      <c r="X125">
        <f>IF(B125="","",IF(P125="","Aberto","Fechado"))</f>
        <v/>
      </c>
    </row>
    <row r="126">
      <c r="C126" s="6" t="n"/>
      <c r="E126" s="7" t="n"/>
      <c r="F126" s="8" t="n"/>
      <c r="G126" s="8" t="n"/>
      <c r="H126" s="8" t="n"/>
      <c r="J126" s="7" t="n"/>
      <c r="K126" s="8" t="n"/>
      <c r="L126" s="7" t="n"/>
      <c r="M126" s="8" t="n"/>
      <c r="N126" s="7" t="n"/>
      <c r="O126" s="8" t="n"/>
      <c r="P126" s="6" t="n"/>
      <c r="Q126" s="8" t="n"/>
      <c r="S126" s="8">
        <f>IF(B126="","",E126*F126)</f>
        <v/>
      </c>
      <c r="T126" s="8">
        <f>IF(OR(B126="",N(G126)=0),"",ABS(F126-G126)*E126)</f>
        <v/>
      </c>
      <c r="U126" s="8">
        <f>IF(OR(B126="",P126=""),"",IF(D126="Venda",-1,1)*((N(J126)*N(K126)+N(L126)*N(M126)+N(N126)*N(O126))-(N(J126)+N(L126)+N(N126))*F126)-N(Q126))</f>
        <v/>
      </c>
      <c r="V126" s="9">
        <f>IF(OR(B126="",P126=""),"",U126/S126)</f>
        <v/>
      </c>
      <c r="W126">
        <f>IF(OR(B126="",P126=""),"",NETWORKDAYS(C126,P126)-1)</f>
        <v/>
      </c>
      <c r="X126">
        <f>IF(B126="","",IF(P126="","Aberto","Fechado"))</f>
        <v/>
      </c>
    </row>
    <row r="127">
      <c r="C127" s="6" t="n"/>
      <c r="E127" s="7" t="n"/>
      <c r="F127" s="8" t="n"/>
      <c r="G127" s="8" t="n"/>
      <c r="H127" s="8" t="n"/>
      <c r="J127" s="7" t="n"/>
      <c r="K127" s="8" t="n"/>
      <c r="L127" s="7" t="n"/>
      <c r="M127" s="8" t="n"/>
      <c r="N127" s="7" t="n"/>
      <c r="O127" s="8" t="n"/>
      <c r="P127" s="6" t="n"/>
      <c r="Q127" s="8" t="n"/>
      <c r="S127" s="8">
        <f>IF(B127="","",E127*F127)</f>
        <v/>
      </c>
      <c r="T127" s="8">
        <f>IF(OR(B127="",N(G127)=0),"",ABS(F127-G127)*E127)</f>
        <v/>
      </c>
      <c r="U127" s="8">
        <f>IF(OR(B127="",P127=""),"",IF(D127="Venda",-1,1)*((N(J127)*N(K127)+N(L127)*N(M127)+N(N127)*N(O127))-(N(J127)+N(L127)+N(N127))*F127)-N(Q127))</f>
        <v/>
      </c>
      <c r="V127" s="9">
        <f>IF(OR(B127="",P127=""),"",U127/S127)</f>
        <v/>
      </c>
      <c r="W127">
        <f>IF(OR(B127="",P127=""),"",NETWORKDAYS(C127,P127)-1)</f>
        <v/>
      </c>
      <c r="X127">
        <f>IF(B127="","",IF(P127="","Aberto","Fechado"))</f>
        <v/>
      </c>
    </row>
    <row r="128">
      <c r="C128" s="6" t="n"/>
      <c r="E128" s="7" t="n"/>
      <c r="F128" s="8" t="n"/>
      <c r="G128" s="8" t="n"/>
      <c r="H128" s="8" t="n"/>
      <c r="J128" s="7" t="n"/>
      <c r="K128" s="8" t="n"/>
      <c r="L128" s="7" t="n"/>
      <c r="M128" s="8" t="n"/>
      <c r="N128" s="7" t="n"/>
      <c r="O128" s="8" t="n"/>
      <c r="P128" s="6" t="n"/>
      <c r="Q128" s="8" t="n"/>
      <c r="S128" s="8">
        <f>IF(B128="","",E128*F128)</f>
        <v/>
      </c>
      <c r="T128" s="8">
        <f>IF(OR(B128="",N(G128)=0),"",ABS(F128-G128)*E128)</f>
        <v/>
      </c>
      <c r="U128" s="8">
        <f>IF(OR(B128="",P128=""),"",IF(D128="Venda",-1,1)*((N(J128)*N(K128)+N(L128)*N(M128)+N(N128)*N(O128))-(N(J128)+N(L128)+N(N128))*F128)-N(Q128))</f>
        <v/>
      </c>
      <c r="V128" s="9">
        <f>IF(OR(B128="",P128=""),"",U128/S128)</f>
        <v/>
      </c>
      <c r="W128">
        <f>IF(OR(B128="",P128=""),"",NETWORKDAYS(C128,P128)-1)</f>
        <v/>
      </c>
      <c r="X128">
        <f>IF(B128="","",IF(P128="","Aberto","Fechado"))</f>
        <v/>
      </c>
    </row>
    <row r="129">
      <c r="C129" s="6" t="n"/>
      <c r="E129" s="7" t="n"/>
      <c r="F129" s="8" t="n"/>
      <c r="G129" s="8" t="n"/>
      <c r="H129" s="8" t="n"/>
      <c r="J129" s="7" t="n"/>
      <c r="K129" s="8" t="n"/>
      <c r="L129" s="7" t="n"/>
      <c r="M129" s="8" t="n"/>
      <c r="N129" s="7" t="n"/>
      <c r="O129" s="8" t="n"/>
      <c r="P129" s="6" t="n"/>
      <c r="Q129" s="8" t="n"/>
      <c r="S129" s="8">
        <f>IF(B129="","",E129*F129)</f>
        <v/>
      </c>
      <c r="T129" s="8">
        <f>IF(OR(B129="",N(G129)=0),"",ABS(F129-G129)*E129)</f>
        <v/>
      </c>
      <c r="U129" s="8">
        <f>IF(OR(B129="",P129=""),"",IF(D129="Venda",-1,1)*((N(J129)*N(K129)+N(L129)*N(M129)+N(N129)*N(O129))-(N(J129)+N(L129)+N(N129))*F129)-N(Q129))</f>
        <v/>
      </c>
      <c r="V129" s="9">
        <f>IF(OR(B129="",P129=""),"",U129/S129)</f>
        <v/>
      </c>
      <c r="W129">
        <f>IF(OR(B129="",P129=""),"",NETWORKDAYS(C129,P129)-1)</f>
        <v/>
      </c>
      <c r="X129">
        <f>IF(B129="","",IF(P129="","Aberto","Fechado"))</f>
        <v/>
      </c>
    </row>
    <row r="130">
      <c r="C130" s="6" t="n"/>
      <c r="E130" s="7" t="n"/>
      <c r="F130" s="8" t="n"/>
      <c r="G130" s="8" t="n"/>
      <c r="H130" s="8" t="n"/>
      <c r="J130" s="7" t="n"/>
      <c r="K130" s="8" t="n"/>
      <c r="L130" s="7" t="n"/>
      <c r="M130" s="8" t="n"/>
      <c r="N130" s="7" t="n"/>
      <c r="O130" s="8" t="n"/>
      <c r="P130" s="6" t="n"/>
      <c r="Q130" s="8" t="n"/>
      <c r="S130" s="8">
        <f>IF(B130="","",E130*F130)</f>
        <v/>
      </c>
      <c r="T130" s="8">
        <f>IF(OR(B130="",N(G130)=0),"",ABS(F130-G130)*E130)</f>
        <v/>
      </c>
      <c r="U130" s="8">
        <f>IF(OR(B130="",P130=""),"",IF(D130="Venda",-1,1)*((N(J130)*N(K130)+N(L130)*N(M130)+N(N130)*N(O130))-(N(J130)+N(L130)+N(N130))*F130)-N(Q130))</f>
        <v/>
      </c>
      <c r="V130" s="9">
        <f>IF(OR(B130="",P130=""),"",U130/S130)</f>
        <v/>
      </c>
      <c r="W130">
        <f>IF(OR(B130="",P130=""),"",NETWORKDAYS(C130,P130)-1)</f>
        <v/>
      </c>
      <c r="X130">
        <f>IF(B130="","",IF(P130="","Aberto","Fechado"))</f>
        <v/>
      </c>
    </row>
    <row r="131">
      <c r="C131" s="6" t="n"/>
      <c r="E131" s="7" t="n"/>
      <c r="F131" s="8" t="n"/>
      <c r="G131" s="8" t="n"/>
      <c r="H131" s="8" t="n"/>
      <c r="J131" s="7" t="n"/>
      <c r="K131" s="8" t="n"/>
      <c r="L131" s="7" t="n"/>
      <c r="M131" s="8" t="n"/>
      <c r="N131" s="7" t="n"/>
      <c r="O131" s="8" t="n"/>
      <c r="P131" s="6" t="n"/>
      <c r="Q131" s="8" t="n"/>
      <c r="S131" s="8">
        <f>IF(B131="","",E131*F131)</f>
        <v/>
      </c>
      <c r="T131" s="8">
        <f>IF(OR(B131="",N(G131)=0),"",ABS(F131-G131)*E131)</f>
        <v/>
      </c>
      <c r="U131" s="8">
        <f>IF(OR(B131="",P131=""),"",IF(D131="Venda",-1,1)*((N(J131)*N(K131)+N(L131)*N(M131)+N(N131)*N(O131))-(N(J131)+N(L131)+N(N131))*F131)-N(Q131))</f>
        <v/>
      </c>
      <c r="V131" s="9">
        <f>IF(OR(B131="",P131=""),"",U131/S131)</f>
        <v/>
      </c>
      <c r="W131">
        <f>IF(OR(B131="",P131=""),"",NETWORKDAYS(C131,P131)-1)</f>
        <v/>
      </c>
      <c r="X131">
        <f>IF(B131="","",IF(P131="","Aberto","Fechado"))</f>
        <v/>
      </c>
    </row>
    <row r="132">
      <c r="C132" s="6" t="n"/>
      <c r="E132" s="7" t="n"/>
      <c r="F132" s="8" t="n"/>
      <c r="G132" s="8" t="n"/>
      <c r="H132" s="8" t="n"/>
      <c r="J132" s="7" t="n"/>
      <c r="K132" s="8" t="n"/>
      <c r="L132" s="7" t="n"/>
      <c r="M132" s="8" t="n"/>
      <c r="N132" s="7" t="n"/>
      <c r="O132" s="8" t="n"/>
      <c r="P132" s="6" t="n"/>
      <c r="Q132" s="8" t="n"/>
      <c r="S132" s="8">
        <f>IF(B132="","",E132*F132)</f>
        <v/>
      </c>
      <c r="T132" s="8">
        <f>IF(OR(B132="",N(G132)=0),"",ABS(F132-G132)*E132)</f>
        <v/>
      </c>
      <c r="U132" s="8">
        <f>IF(OR(B132="",P132=""),"",IF(D132="Venda",-1,1)*((N(J132)*N(K132)+N(L132)*N(M132)+N(N132)*N(O132))-(N(J132)+N(L132)+N(N132))*F132)-N(Q132))</f>
        <v/>
      </c>
      <c r="V132" s="9">
        <f>IF(OR(B132="",P132=""),"",U132/S132)</f>
        <v/>
      </c>
      <c r="W132">
        <f>IF(OR(B132="",P132=""),"",NETWORKDAYS(C132,P132)-1)</f>
        <v/>
      </c>
      <c r="X132">
        <f>IF(B132="","",IF(P132="","Aberto","Fechado"))</f>
        <v/>
      </c>
    </row>
    <row r="133">
      <c r="C133" s="6" t="n"/>
      <c r="E133" s="7" t="n"/>
      <c r="F133" s="8" t="n"/>
      <c r="G133" s="8" t="n"/>
      <c r="H133" s="8" t="n"/>
      <c r="J133" s="7" t="n"/>
      <c r="K133" s="8" t="n"/>
      <c r="L133" s="7" t="n"/>
      <c r="M133" s="8" t="n"/>
      <c r="N133" s="7" t="n"/>
      <c r="O133" s="8" t="n"/>
      <c r="P133" s="6" t="n"/>
      <c r="Q133" s="8" t="n"/>
      <c r="S133" s="8">
        <f>IF(B133="","",E133*F133)</f>
        <v/>
      </c>
      <c r="T133" s="8">
        <f>IF(OR(B133="",N(G133)=0),"",ABS(F133-G133)*E133)</f>
        <v/>
      </c>
      <c r="U133" s="8">
        <f>IF(OR(B133="",P133=""),"",IF(D133="Venda",-1,1)*((N(J133)*N(K133)+N(L133)*N(M133)+N(N133)*N(O133))-(N(J133)+N(L133)+N(N133))*F133)-N(Q133))</f>
        <v/>
      </c>
      <c r="V133" s="9">
        <f>IF(OR(B133="",P133=""),"",U133/S133)</f>
        <v/>
      </c>
      <c r="W133">
        <f>IF(OR(B133="",P133=""),"",NETWORKDAYS(C133,P133)-1)</f>
        <v/>
      </c>
      <c r="X133">
        <f>IF(B133="","",IF(P133="","Aberto","Fechado"))</f>
        <v/>
      </c>
    </row>
    <row r="134">
      <c r="C134" s="6" t="n"/>
      <c r="E134" s="7" t="n"/>
      <c r="F134" s="8" t="n"/>
      <c r="G134" s="8" t="n"/>
      <c r="H134" s="8" t="n"/>
      <c r="J134" s="7" t="n"/>
      <c r="K134" s="8" t="n"/>
      <c r="L134" s="7" t="n"/>
      <c r="M134" s="8" t="n"/>
      <c r="N134" s="7" t="n"/>
      <c r="O134" s="8" t="n"/>
      <c r="P134" s="6" t="n"/>
      <c r="Q134" s="8" t="n"/>
      <c r="S134" s="8">
        <f>IF(B134="","",E134*F134)</f>
        <v/>
      </c>
      <c r="T134" s="8">
        <f>IF(OR(B134="",N(G134)=0),"",ABS(F134-G134)*E134)</f>
        <v/>
      </c>
      <c r="U134" s="8">
        <f>IF(OR(B134="",P134=""),"",IF(D134="Venda",-1,1)*((N(J134)*N(K134)+N(L134)*N(M134)+N(N134)*N(O134))-(N(J134)+N(L134)+N(N134))*F134)-N(Q134))</f>
        <v/>
      </c>
      <c r="V134" s="9">
        <f>IF(OR(B134="",P134=""),"",U134/S134)</f>
        <v/>
      </c>
      <c r="W134">
        <f>IF(OR(B134="",P134=""),"",NETWORKDAYS(C134,P134)-1)</f>
        <v/>
      </c>
      <c r="X134">
        <f>IF(B134="","",IF(P134="","Aberto","Fechado"))</f>
        <v/>
      </c>
    </row>
    <row r="135">
      <c r="C135" s="6" t="n"/>
      <c r="E135" s="7" t="n"/>
      <c r="F135" s="8" t="n"/>
      <c r="G135" s="8" t="n"/>
      <c r="H135" s="8" t="n"/>
      <c r="J135" s="7" t="n"/>
      <c r="K135" s="8" t="n"/>
      <c r="L135" s="7" t="n"/>
      <c r="M135" s="8" t="n"/>
      <c r="N135" s="7" t="n"/>
      <c r="O135" s="8" t="n"/>
      <c r="P135" s="6" t="n"/>
      <c r="Q135" s="8" t="n"/>
      <c r="S135" s="8">
        <f>IF(B135="","",E135*F135)</f>
        <v/>
      </c>
      <c r="T135" s="8">
        <f>IF(OR(B135="",N(G135)=0),"",ABS(F135-G135)*E135)</f>
        <v/>
      </c>
      <c r="U135" s="8">
        <f>IF(OR(B135="",P135=""),"",IF(D135="Venda",-1,1)*((N(J135)*N(K135)+N(L135)*N(M135)+N(N135)*N(O135))-(N(J135)+N(L135)+N(N135))*F135)-N(Q135))</f>
        <v/>
      </c>
      <c r="V135" s="9">
        <f>IF(OR(B135="",P135=""),"",U135/S135)</f>
        <v/>
      </c>
      <c r="W135">
        <f>IF(OR(B135="",P135=""),"",NETWORKDAYS(C135,P135)-1)</f>
        <v/>
      </c>
      <c r="X135">
        <f>IF(B135="","",IF(P135="","Aberto","Fechado"))</f>
        <v/>
      </c>
    </row>
    <row r="136">
      <c r="C136" s="6" t="n"/>
      <c r="E136" s="7" t="n"/>
      <c r="F136" s="8" t="n"/>
      <c r="G136" s="8" t="n"/>
      <c r="H136" s="8" t="n"/>
      <c r="J136" s="7" t="n"/>
      <c r="K136" s="8" t="n"/>
      <c r="L136" s="7" t="n"/>
      <c r="M136" s="8" t="n"/>
      <c r="N136" s="7" t="n"/>
      <c r="O136" s="8" t="n"/>
      <c r="P136" s="6" t="n"/>
      <c r="Q136" s="8" t="n"/>
      <c r="S136" s="8">
        <f>IF(B136="","",E136*F136)</f>
        <v/>
      </c>
      <c r="T136" s="8">
        <f>IF(OR(B136="",N(G136)=0),"",ABS(F136-G136)*E136)</f>
        <v/>
      </c>
      <c r="U136" s="8">
        <f>IF(OR(B136="",P136=""),"",IF(D136="Venda",-1,1)*((N(J136)*N(K136)+N(L136)*N(M136)+N(N136)*N(O136))-(N(J136)+N(L136)+N(N136))*F136)-N(Q136))</f>
        <v/>
      </c>
      <c r="V136" s="9">
        <f>IF(OR(B136="",P136=""),"",U136/S136)</f>
        <v/>
      </c>
      <c r="W136">
        <f>IF(OR(B136="",P136=""),"",NETWORKDAYS(C136,P136)-1)</f>
        <v/>
      </c>
      <c r="X136">
        <f>IF(B136="","",IF(P136="","Aberto","Fechado"))</f>
        <v/>
      </c>
    </row>
    <row r="137">
      <c r="C137" s="6" t="n"/>
      <c r="E137" s="7" t="n"/>
      <c r="F137" s="8" t="n"/>
      <c r="G137" s="8" t="n"/>
      <c r="H137" s="8" t="n"/>
      <c r="J137" s="7" t="n"/>
      <c r="K137" s="8" t="n"/>
      <c r="L137" s="7" t="n"/>
      <c r="M137" s="8" t="n"/>
      <c r="N137" s="7" t="n"/>
      <c r="O137" s="8" t="n"/>
      <c r="P137" s="6" t="n"/>
      <c r="Q137" s="8" t="n"/>
      <c r="S137" s="8">
        <f>IF(B137="","",E137*F137)</f>
        <v/>
      </c>
      <c r="T137" s="8">
        <f>IF(OR(B137="",N(G137)=0),"",ABS(F137-G137)*E137)</f>
        <v/>
      </c>
      <c r="U137" s="8">
        <f>IF(OR(B137="",P137=""),"",IF(D137="Venda",-1,1)*((N(J137)*N(K137)+N(L137)*N(M137)+N(N137)*N(O137))-(N(J137)+N(L137)+N(N137))*F137)-N(Q137))</f>
        <v/>
      </c>
      <c r="V137" s="9">
        <f>IF(OR(B137="",P137=""),"",U137/S137)</f>
        <v/>
      </c>
      <c r="W137">
        <f>IF(OR(B137="",P137=""),"",NETWORKDAYS(C137,P137)-1)</f>
        <v/>
      </c>
      <c r="X137">
        <f>IF(B137="","",IF(P137="","Aberto","Fechado"))</f>
        <v/>
      </c>
    </row>
    <row r="138">
      <c r="C138" s="6" t="n"/>
      <c r="E138" s="7" t="n"/>
      <c r="F138" s="8" t="n"/>
      <c r="G138" s="8" t="n"/>
      <c r="H138" s="8" t="n"/>
      <c r="J138" s="7" t="n"/>
      <c r="K138" s="8" t="n"/>
      <c r="L138" s="7" t="n"/>
      <c r="M138" s="8" t="n"/>
      <c r="N138" s="7" t="n"/>
      <c r="O138" s="8" t="n"/>
      <c r="P138" s="6" t="n"/>
      <c r="Q138" s="8" t="n"/>
      <c r="S138" s="8">
        <f>IF(B138="","",E138*F138)</f>
        <v/>
      </c>
      <c r="T138" s="8">
        <f>IF(OR(B138="",N(G138)=0),"",ABS(F138-G138)*E138)</f>
        <v/>
      </c>
      <c r="U138" s="8">
        <f>IF(OR(B138="",P138=""),"",IF(D138="Venda",-1,1)*((N(J138)*N(K138)+N(L138)*N(M138)+N(N138)*N(O138))-(N(J138)+N(L138)+N(N138))*F138)-N(Q138))</f>
        <v/>
      </c>
      <c r="V138" s="9">
        <f>IF(OR(B138="",P138=""),"",U138/S138)</f>
        <v/>
      </c>
      <c r="W138">
        <f>IF(OR(B138="",P138=""),"",NETWORKDAYS(C138,P138)-1)</f>
        <v/>
      </c>
      <c r="X138">
        <f>IF(B138="","",IF(P138="","Aberto","Fechado"))</f>
        <v/>
      </c>
    </row>
    <row r="139">
      <c r="C139" s="6" t="n"/>
      <c r="E139" s="7" t="n"/>
      <c r="F139" s="8" t="n"/>
      <c r="G139" s="8" t="n"/>
      <c r="H139" s="8" t="n"/>
      <c r="J139" s="7" t="n"/>
      <c r="K139" s="8" t="n"/>
      <c r="L139" s="7" t="n"/>
      <c r="M139" s="8" t="n"/>
      <c r="N139" s="7" t="n"/>
      <c r="O139" s="8" t="n"/>
      <c r="P139" s="6" t="n"/>
      <c r="Q139" s="8" t="n"/>
      <c r="S139" s="8">
        <f>IF(B139="","",E139*F139)</f>
        <v/>
      </c>
      <c r="T139" s="8">
        <f>IF(OR(B139="",N(G139)=0),"",ABS(F139-G139)*E139)</f>
        <v/>
      </c>
      <c r="U139" s="8">
        <f>IF(OR(B139="",P139=""),"",IF(D139="Venda",-1,1)*((N(J139)*N(K139)+N(L139)*N(M139)+N(N139)*N(O139))-(N(J139)+N(L139)+N(N139))*F139)-N(Q139))</f>
        <v/>
      </c>
      <c r="V139" s="9">
        <f>IF(OR(B139="",P139=""),"",U139/S139)</f>
        <v/>
      </c>
      <c r="W139">
        <f>IF(OR(B139="",P139=""),"",NETWORKDAYS(C139,P139)-1)</f>
        <v/>
      </c>
      <c r="X139">
        <f>IF(B139="","",IF(P139="","Aberto","Fechado"))</f>
        <v/>
      </c>
    </row>
    <row r="140">
      <c r="C140" s="6" t="n"/>
      <c r="E140" s="7" t="n"/>
      <c r="F140" s="8" t="n"/>
      <c r="G140" s="8" t="n"/>
      <c r="H140" s="8" t="n"/>
      <c r="J140" s="7" t="n"/>
      <c r="K140" s="8" t="n"/>
      <c r="L140" s="7" t="n"/>
      <c r="M140" s="8" t="n"/>
      <c r="N140" s="7" t="n"/>
      <c r="O140" s="8" t="n"/>
      <c r="P140" s="6" t="n"/>
      <c r="Q140" s="8" t="n"/>
      <c r="S140" s="8">
        <f>IF(B140="","",E140*F140)</f>
        <v/>
      </c>
      <c r="T140" s="8">
        <f>IF(OR(B140="",N(G140)=0),"",ABS(F140-G140)*E140)</f>
        <v/>
      </c>
      <c r="U140" s="8">
        <f>IF(OR(B140="",P140=""),"",IF(D140="Venda",-1,1)*((N(J140)*N(K140)+N(L140)*N(M140)+N(N140)*N(O140))-(N(J140)+N(L140)+N(N140))*F140)-N(Q140))</f>
        <v/>
      </c>
      <c r="V140" s="9">
        <f>IF(OR(B140="",P140=""),"",U140/S140)</f>
        <v/>
      </c>
      <c r="W140">
        <f>IF(OR(B140="",P140=""),"",NETWORKDAYS(C140,P140)-1)</f>
        <v/>
      </c>
      <c r="X140">
        <f>IF(B140="","",IF(P140="","Aberto","Fechado"))</f>
        <v/>
      </c>
    </row>
    <row r="141">
      <c r="C141" s="6" t="n"/>
      <c r="E141" s="7" t="n"/>
      <c r="F141" s="8" t="n"/>
      <c r="G141" s="8" t="n"/>
      <c r="H141" s="8" t="n"/>
      <c r="J141" s="7" t="n"/>
      <c r="K141" s="8" t="n"/>
      <c r="L141" s="7" t="n"/>
      <c r="M141" s="8" t="n"/>
      <c r="N141" s="7" t="n"/>
      <c r="O141" s="8" t="n"/>
      <c r="P141" s="6" t="n"/>
      <c r="Q141" s="8" t="n"/>
      <c r="S141" s="8">
        <f>IF(B141="","",E141*F141)</f>
        <v/>
      </c>
      <c r="T141" s="8">
        <f>IF(OR(B141="",N(G141)=0),"",ABS(F141-G141)*E141)</f>
        <v/>
      </c>
      <c r="U141" s="8">
        <f>IF(OR(B141="",P141=""),"",IF(D141="Venda",-1,1)*((N(J141)*N(K141)+N(L141)*N(M141)+N(N141)*N(O141))-(N(J141)+N(L141)+N(N141))*F141)-N(Q141))</f>
        <v/>
      </c>
      <c r="V141" s="9">
        <f>IF(OR(B141="",P141=""),"",U141/S141)</f>
        <v/>
      </c>
      <c r="W141">
        <f>IF(OR(B141="",P141=""),"",NETWORKDAYS(C141,P141)-1)</f>
        <v/>
      </c>
      <c r="X141">
        <f>IF(B141="","",IF(P141="","Aberto","Fechado"))</f>
        <v/>
      </c>
    </row>
    <row r="142">
      <c r="C142" s="6" t="n"/>
      <c r="E142" s="7" t="n"/>
      <c r="F142" s="8" t="n"/>
      <c r="G142" s="8" t="n"/>
      <c r="H142" s="8" t="n"/>
      <c r="J142" s="7" t="n"/>
      <c r="K142" s="8" t="n"/>
      <c r="L142" s="7" t="n"/>
      <c r="M142" s="8" t="n"/>
      <c r="N142" s="7" t="n"/>
      <c r="O142" s="8" t="n"/>
      <c r="P142" s="6" t="n"/>
      <c r="Q142" s="8" t="n"/>
      <c r="S142" s="8">
        <f>IF(B142="","",E142*F142)</f>
        <v/>
      </c>
      <c r="T142" s="8">
        <f>IF(OR(B142="",N(G142)=0),"",ABS(F142-G142)*E142)</f>
        <v/>
      </c>
      <c r="U142" s="8">
        <f>IF(OR(B142="",P142=""),"",IF(D142="Venda",-1,1)*((N(J142)*N(K142)+N(L142)*N(M142)+N(N142)*N(O142))-(N(J142)+N(L142)+N(N142))*F142)-N(Q142))</f>
        <v/>
      </c>
      <c r="V142" s="9">
        <f>IF(OR(B142="",P142=""),"",U142/S142)</f>
        <v/>
      </c>
      <c r="W142">
        <f>IF(OR(B142="",P142=""),"",NETWORKDAYS(C142,P142)-1)</f>
        <v/>
      </c>
      <c r="X142">
        <f>IF(B142="","",IF(P142="","Aberto","Fechado"))</f>
        <v/>
      </c>
    </row>
    <row r="143">
      <c r="C143" s="6" t="n"/>
      <c r="E143" s="7" t="n"/>
      <c r="F143" s="8" t="n"/>
      <c r="G143" s="8" t="n"/>
      <c r="H143" s="8" t="n"/>
      <c r="J143" s="7" t="n"/>
      <c r="K143" s="8" t="n"/>
      <c r="L143" s="7" t="n"/>
      <c r="M143" s="8" t="n"/>
      <c r="N143" s="7" t="n"/>
      <c r="O143" s="8" t="n"/>
      <c r="P143" s="6" t="n"/>
      <c r="Q143" s="8" t="n"/>
      <c r="S143" s="8">
        <f>IF(B143="","",E143*F143)</f>
        <v/>
      </c>
      <c r="T143" s="8">
        <f>IF(OR(B143="",N(G143)=0),"",ABS(F143-G143)*E143)</f>
        <v/>
      </c>
      <c r="U143" s="8">
        <f>IF(OR(B143="",P143=""),"",IF(D143="Venda",-1,1)*((N(J143)*N(K143)+N(L143)*N(M143)+N(N143)*N(O143))-(N(J143)+N(L143)+N(N143))*F143)-N(Q143))</f>
        <v/>
      </c>
      <c r="V143" s="9">
        <f>IF(OR(B143="",P143=""),"",U143/S143)</f>
        <v/>
      </c>
      <c r="W143">
        <f>IF(OR(B143="",P143=""),"",NETWORKDAYS(C143,P143)-1)</f>
        <v/>
      </c>
      <c r="X143">
        <f>IF(B143="","",IF(P143="","Aberto","Fechado"))</f>
        <v/>
      </c>
    </row>
    <row r="144">
      <c r="C144" s="6" t="n"/>
      <c r="E144" s="7" t="n"/>
      <c r="F144" s="8" t="n"/>
      <c r="G144" s="8" t="n"/>
      <c r="H144" s="8" t="n"/>
      <c r="J144" s="7" t="n"/>
      <c r="K144" s="8" t="n"/>
      <c r="L144" s="7" t="n"/>
      <c r="M144" s="8" t="n"/>
      <c r="N144" s="7" t="n"/>
      <c r="O144" s="8" t="n"/>
      <c r="P144" s="6" t="n"/>
      <c r="Q144" s="8" t="n"/>
      <c r="S144" s="8">
        <f>IF(B144="","",E144*F144)</f>
        <v/>
      </c>
      <c r="T144" s="8">
        <f>IF(OR(B144="",N(G144)=0),"",ABS(F144-G144)*E144)</f>
        <v/>
      </c>
      <c r="U144" s="8">
        <f>IF(OR(B144="",P144=""),"",IF(D144="Venda",-1,1)*((N(J144)*N(K144)+N(L144)*N(M144)+N(N144)*N(O144))-(N(J144)+N(L144)+N(N144))*F144)-N(Q144))</f>
        <v/>
      </c>
      <c r="V144" s="9">
        <f>IF(OR(B144="",P144=""),"",U144/S144)</f>
        <v/>
      </c>
      <c r="W144">
        <f>IF(OR(B144="",P144=""),"",NETWORKDAYS(C144,P144)-1)</f>
        <v/>
      </c>
      <c r="X144">
        <f>IF(B144="","",IF(P144="","Aberto","Fechado"))</f>
        <v/>
      </c>
    </row>
    <row r="145">
      <c r="C145" s="6" t="n"/>
      <c r="E145" s="7" t="n"/>
      <c r="F145" s="8" t="n"/>
      <c r="G145" s="8" t="n"/>
      <c r="H145" s="8" t="n"/>
      <c r="J145" s="7" t="n"/>
      <c r="K145" s="8" t="n"/>
      <c r="L145" s="7" t="n"/>
      <c r="M145" s="8" t="n"/>
      <c r="N145" s="7" t="n"/>
      <c r="O145" s="8" t="n"/>
      <c r="P145" s="6" t="n"/>
      <c r="Q145" s="8" t="n"/>
      <c r="S145" s="8">
        <f>IF(B145="","",E145*F145)</f>
        <v/>
      </c>
      <c r="T145" s="8">
        <f>IF(OR(B145="",N(G145)=0),"",ABS(F145-G145)*E145)</f>
        <v/>
      </c>
      <c r="U145" s="8">
        <f>IF(OR(B145="",P145=""),"",IF(D145="Venda",-1,1)*((N(J145)*N(K145)+N(L145)*N(M145)+N(N145)*N(O145))-(N(J145)+N(L145)+N(N145))*F145)-N(Q145))</f>
        <v/>
      </c>
      <c r="V145" s="9">
        <f>IF(OR(B145="",P145=""),"",U145/S145)</f>
        <v/>
      </c>
      <c r="W145">
        <f>IF(OR(B145="",P145=""),"",NETWORKDAYS(C145,P145)-1)</f>
        <v/>
      </c>
      <c r="X145">
        <f>IF(B145="","",IF(P145="","Aberto","Fechado"))</f>
        <v/>
      </c>
    </row>
    <row r="146">
      <c r="C146" s="6" t="n"/>
      <c r="E146" s="7" t="n"/>
      <c r="F146" s="8" t="n"/>
      <c r="G146" s="8" t="n"/>
      <c r="H146" s="8" t="n"/>
      <c r="J146" s="7" t="n"/>
      <c r="K146" s="8" t="n"/>
      <c r="L146" s="7" t="n"/>
      <c r="M146" s="8" t="n"/>
      <c r="N146" s="7" t="n"/>
      <c r="O146" s="8" t="n"/>
      <c r="P146" s="6" t="n"/>
      <c r="Q146" s="8" t="n"/>
      <c r="S146" s="8">
        <f>IF(B146="","",E146*F146)</f>
        <v/>
      </c>
      <c r="T146" s="8">
        <f>IF(OR(B146="",N(G146)=0),"",ABS(F146-G146)*E146)</f>
        <v/>
      </c>
      <c r="U146" s="8">
        <f>IF(OR(B146="",P146=""),"",IF(D146="Venda",-1,1)*((N(J146)*N(K146)+N(L146)*N(M146)+N(N146)*N(O146))-(N(J146)+N(L146)+N(N146))*F146)-N(Q146))</f>
        <v/>
      </c>
      <c r="V146" s="9">
        <f>IF(OR(B146="",P146=""),"",U146/S146)</f>
        <v/>
      </c>
      <c r="W146">
        <f>IF(OR(B146="",P146=""),"",NETWORKDAYS(C146,P146)-1)</f>
        <v/>
      </c>
      <c r="X146">
        <f>IF(B146="","",IF(P146="","Aberto","Fechado"))</f>
        <v/>
      </c>
    </row>
    <row r="147">
      <c r="C147" s="6" t="n"/>
      <c r="E147" s="7" t="n"/>
      <c r="F147" s="8" t="n"/>
      <c r="G147" s="8" t="n"/>
      <c r="H147" s="8" t="n"/>
      <c r="J147" s="7" t="n"/>
      <c r="K147" s="8" t="n"/>
      <c r="L147" s="7" t="n"/>
      <c r="M147" s="8" t="n"/>
      <c r="N147" s="7" t="n"/>
      <c r="O147" s="8" t="n"/>
      <c r="P147" s="6" t="n"/>
      <c r="Q147" s="8" t="n"/>
      <c r="S147" s="8">
        <f>IF(B147="","",E147*F147)</f>
        <v/>
      </c>
      <c r="T147" s="8">
        <f>IF(OR(B147="",N(G147)=0),"",ABS(F147-G147)*E147)</f>
        <v/>
      </c>
      <c r="U147" s="8">
        <f>IF(OR(B147="",P147=""),"",IF(D147="Venda",-1,1)*((N(J147)*N(K147)+N(L147)*N(M147)+N(N147)*N(O147))-(N(J147)+N(L147)+N(N147))*F147)-N(Q147))</f>
        <v/>
      </c>
      <c r="V147" s="9">
        <f>IF(OR(B147="",P147=""),"",U147/S147)</f>
        <v/>
      </c>
      <c r="W147">
        <f>IF(OR(B147="",P147=""),"",NETWORKDAYS(C147,P147)-1)</f>
        <v/>
      </c>
      <c r="X147">
        <f>IF(B147="","",IF(P147="","Aberto","Fechado"))</f>
        <v/>
      </c>
    </row>
    <row r="148">
      <c r="C148" s="6" t="n"/>
      <c r="E148" s="7" t="n"/>
      <c r="F148" s="8" t="n"/>
      <c r="G148" s="8" t="n"/>
      <c r="H148" s="8" t="n"/>
      <c r="J148" s="7" t="n"/>
      <c r="K148" s="8" t="n"/>
      <c r="L148" s="7" t="n"/>
      <c r="M148" s="8" t="n"/>
      <c r="N148" s="7" t="n"/>
      <c r="O148" s="8" t="n"/>
      <c r="P148" s="6" t="n"/>
      <c r="Q148" s="8" t="n"/>
      <c r="S148" s="8">
        <f>IF(B148="","",E148*F148)</f>
        <v/>
      </c>
      <c r="T148" s="8">
        <f>IF(OR(B148="",N(G148)=0),"",ABS(F148-G148)*E148)</f>
        <v/>
      </c>
      <c r="U148" s="8">
        <f>IF(OR(B148="",P148=""),"",IF(D148="Venda",-1,1)*((N(J148)*N(K148)+N(L148)*N(M148)+N(N148)*N(O148))-(N(J148)+N(L148)+N(N148))*F148)-N(Q148))</f>
        <v/>
      </c>
      <c r="V148" s="9">
        <f>IF(OR(B148="",P148=""),"",U148/S148)</f>
        <v/>
      </c>
      <c r="W148">
        <f>IF(OR(B148="",P148=""),"",NETWORKDAYS(C148,P148)-1)</f>
        <v/>
      </c>
      <c r="X148">
        <f>IF(B148="","",IF(P148="","Aberto","Fechado"))</f>
        <v/>
      </c>
    </row>
    <row r="149">
      <c r="C149" s="6" t="n"/>
      <c r="E149" s="7" t="n"/>
      <c r="F149" s="8" t="n"/>
      <c r="G149" s="8" t="n"/>
      <c r="H149" s="8" t="n"/>
      <c r="J149" s="7" t="n"/>
      <c r="K149" s="8" t="n"/>
      <c r="L149" s="7" t="n"/>
      <c r="M149" s="8" t="n"/>
      <c r="N149" s="7" t="n"/>
      <c r="O149" s="8" t="n"/>
      <c r="P149" s="6" t="n"/>
      <c r="Q149" s="8" t="n"/>
      <c r="S149" s="8">
        <f>IF(B149="","",E149*F149)</f>
        <v/>
      </c>
      <c r="T149" s="8">
        <f>IF(OR(B149="",N(G149)=0),"",ABS(F149-G149)*E149)</f>
        <v/>
      </c>
      <c r="U149" s="8">
        <f>IF(OR(B149="",P149=""),"",IF(D149="Venda",-1,1)*((N(J149)*N(K149)+N(L149)*N(M149)+N(N149)*N(O149))-(N(J149)+N(L149)+N(N149))*F149)-N(Q149))</f>
        <v/>
      </c>
      <c r="V149" s="9">
        <f>IF(OR(B149="",P149=""),"",U149/S149)</f>
        <v/>
      </c>
      <c r="W149">
        <f>IF(OR(B149="",P149=""),"",NETWORKDAYS(C149,P149)-1)</f>
        <v/>
      </c>
      <c r="X149">
        <f>IF(B149="","",IF(P149="","Aberto","Fechado"))</f>
        <v/>
      </c>
    </row>
    <row r="150">
      <c r="C150" s="6" t="n"/>
      <c r="E150" s="7" t="n"/>
      <c r="F150" s="8" t="n"/>
      <c r="G150" s="8" t="n"/>
      <c r="H150" s="8" t="n"/>
      <c r="J150" s="7" t="n"/>
      <c r="K150" s="8" t="n"/>
      <c r="L150" s="7" t="n"/>
      <c r="M150" s="8" t="n"/>
      <c r="N150" s="7" t="n"/>
      <c r="O150" s="8" t="n"/>
      <c r="P150" s="6" t="n"/>
      <c r="Q150" s="8" t="n"/>
      <c r="S150" s="8">
        <f>IF(B150="","",E150*F150)</f>
        <v/>
      </c>
      <c r="T150" s="8">
        <f>IF(OR(B150="",N(G150)=0),"",ABS(F150-G150)*E150)</f>
        <v/>
      </c>
      <c r="U150" s="8">
        <f>IF(OR(B150="",P150=""),"",IF(D150="Venda",-1,1)*((N(J150)*N(K150)+N(L150)*N(M150)+N(N150)*N(O150))-(N(J150)+N(L150)+N(N150))*F150)-N(Q150))</f>
        <v/>
      </c>
      <c r="V150" s="9">
        <f>IF(OR(B150="",P150=""),"",U150/S150)</f>
        <v/>
      </c>
      <c r="W150">
        <f>IF(OR(B150="",P150=""),"",NETWORKDAYS(C150,P150)-1)</f>
        <v/>
      </c>
      <c r="X150">
        <f>IF(B150="","",IF(P150="","Aberto","Fechado"))</f>
        <v/>
      </c>
    </row>
    <row r="151">
      <c r="C151" s="6" t="n"/>
      <c r="E151" s="7" t="n"/>
      <c r="F151" s="8" t="n"/>
      <c r="G151" s="8" t="n"/>
      <c r="H151" s="8" t="n"/>
      <c r="J151" s="7" t="n"/>
      <c r="K151" s="8" t="n"/>
      <c r="L151" s="7" t="n"/>
      <c r="M151" s="8" t="n"/>
      <c r="N151" s="7" t="n"/>
      <c r="O151" s="8" t="n"/>
      <c r="P151" s="6" t="n"/>
      <c r="Q151" s="8" t="n"/>
      <c r="S151" s="8">
        <f>IF(B151="","",E151*F151)</f>
        <v/>
      </c>
      <c r="T151" s="8">
        <f>IF(OR(B151="",N(G151)=0),"",ABS(F151-G151)*E151)</f>
        <v/>
      </c>
      <c r="U151" s="8">
        <f>IF(OR(B151="",P151=""),"",IF(D151="Venda",-1,1)*((N(J151)*N(K151)+N(L151)*N(M151)+N(N151)*N(O151))-(N(J151)+N(L151)+N(N151))*F151)-N(Q151))</f>
        <v/>
      </c>
      <c r="V151" s="9">
        <f>IF(OR(B151="",P151=""),"",U151/S151)</f>
        <v/>
      </c>
      <c r="W151">
        <f>IF(OR(B151="",P151=""),"",NETWORKDAYS(C151,P151)-1)</f>
        <v/>
      </c>
      <c r="X151">
        <f>IF(B151="","",IF(P151="","Aberto","Fechado"))</f>
        <v/>
      </c>
    </row>
    <row r="152">
      <c r="C152" s="6" t="n"/>
      <c r="E152" s="7" t="n"/>
      <c r="F152" s="8" t="n"/>
      <c r="G152" s="8" t="n"/>
      <c r="H152" s="8" t="n"/>
      <c r="J152" s="7" t="n"/>
      <c r="K152" s="8" t="n"/>
      <c r="L152" s="7" t="n"/>
      <c r="M152" s="8" t="n"/>
      <c r="N152" s="7" t="n"/>
      <c r="O152" s="8" t="n"/>
      <c r="P152" s="6" t="n"/>
      <c r="Q152" s="8" t="n"/>
      <c r="S152" s="8">
        <f>IF(B152="","",E152*F152)</f>
        <v/>
      </c>
      <c r="T152" s="8">
        <f>IF(OR(B152="",N(G152)=0),"",ABS(F152-G152)*E152)</f>
        <v/>
      </c>
      <c r="U152" s="8">
        <f>IF(OR(B152="",P152=""),"",IF(D152="Venda",-1,1)*((N(J152)*N(K152)+N(L152)*N(M152)+N(N152)*N(O152))-(N(J152)+N(L152)+N(N152))*F152)-N(Q152))</f>
        <v/>
      </c>
      <c r="V152" s="9">
        <f>IF(OR(B152="",P152=""),"",U152/S152)</f>
        <v/>
      </c>
      <c r="W152">
        <f>IF(OR(B152="",P152=""),"",NETWORKDAYS(C152,P152)-1)</f>
        <v/>
      </c>
      <c r="X152">
        <f>IF(B152="","",IF(P152="","Aberto","Fechado"))</f>
        <v/>
      </c>
    </row>
    <row r="153">
      <c r="C153" s="6" t="n"/>
      <c r="E153" s="7" t="n"/>
      <c r="F153" s="8" t="n"/>
      <c r="G153" s="8" t="n"/>
      <c r="H153" s="8" t="n"/>
      <c r="J153" s="7" t="n"/>
      <c r="K153" s="8" t="n"/>
      <c r="L153" s="7" t="n"/>
      <c r="M153" s="8" t="n"/>
      <c r="N153" s="7" t="n"/>
      <c r="O153" s="8" t="n"/>
      <c r="P153" s="6" t="n"/>
      <c r="Q153" s="8" t="n"/>
      <c r="S153" s="8">
        <f>IF(B153="","",E153*F153)</f>
        <v/>
      </c>
      <c r="T153" s="8">
        <f>IF(OR(B153="",N(G153)=0),"",ABS(F153-G153)*E153)</f>
        <v/>
      </c>
      <c r="U153" s="8">
        <f>IF(OR(B153="",P153=""),"",IF(D153="Venda",-1,1)*((N(J153)*N(K153)+N(L153)*N(M153)+N(N153)*N(O153))-(N(J153)+N(L153)+N(N153))*F153)-N(Q153))</f>
        <v/>
      </c>
      <c r="V153" s="9">
        <f>IF(OR(B153="",P153=""),"",U153/S153)</f>
        <v/>
      </c>
      <c r="W153">
        <f>IF(OR(B153="",P153=""),"",NETWORKDAYS(C153,P153)-1)</f>
        <v/>
      </c>
      <c r="X153">
        <f>IF(B153="","",IF(P153="","Aberto","Fechado"))</f>
        <v/>
      </c>
    </row>
    <row r="154">
      <c r="C154" s="6" t="n"/>
      <c r="E154" s="7" t="n"/>
      <c r="F154" s="8" t="n"/>
      <c r="G154" s="8" t="n"/>
      <c r="H154" s="8" t="n"/>
      <c r="J154" s="7" t="n"/>
      <c r="K154" s="8" t="n"/>
      <c r="L154" s="7" t="n"/>
      <c r="M154" s="8" t="n"/>
      <c r="N154" s="7" t="n"/>
      <c r="O154" s="8" t="n"/>
      <c r="P154" s="6" t="n"/>
      <c r="Q154" s="8" t="n"/>
      <c r="S154" s="8">
        <f>IF(B154="","",E154*F154)</f>
        <v/>
      </c>
      <c r="T154" s="8">
        <f>IF(OR(B154="",N(G154)=0),"",ABS(F154-G154)*E154)</f>
        <v/>
      </c>
      <c r="U154" s="8">
        <f>IF(OR(B154="",P154=""),"",IF(D154="Venda",-1,1)*((N(J154)*N(K154)+N(L154)*N(M154)+N(N154)*N(O154))-(N(J154)+N(L154)+N(N154))*F154)-N(Q154))</f>
        <v/>
      </c>
      <c r="V154" s="9">
        <f>IF(OR(B154="",P154=""),"",U154/S154)</f>
        <v/>
      </c>
      <c r="W154">
        <f>IF(OR(B154="",P154=""),"",NETWORKDAYS(C154,P154)-1)</f>
        <v/>
      </c>
      <c r="X154">
        <f>IF(B154="","",IF(P154="","Aberto","Fechado"))</f>
        <v/>
      </c>
    </row>
    <row r="155">
      <c r="C155" s="6" t="n"/>
      <c r="E155" s="7" t="n"/>
      <c r="F155" s="8" t="n"/>
      <c r="G155" s="8" t="n"/>
      <c r="H155" s="8" t="n"/>
      <c r="J155" s="7" t="n"/>
      <c r="K155" s="8" t="n"/>
      <c r="L155" s="7" t="n"/>
      <c r="M155" s="8" t="n"/>
      <c r="N155" s="7" t="n"/>
      <c r="O155" s="8" t="n"/>
      <c r="P155" s="6" t="n"/>
      <c r="Q155" s="8" t="n"/>
      <c r="S155" s="8">
        <f>IF(B155="","",E155*F155)</f>
        <v/>
      </c>
      <c r="T155" s="8">
        <f>IF(OR(B155="",N(G155)=0),"",ABS(F155-G155)*E155)</f>
        <v/>
      </c>
      <c r="U155" s="8">
        <f>IF(OR(B155="",P155=""),"",IF(D155="Venda",-1,1)*((N(J155)*N(K155)+N(L155)*N(M155)+N(N155)*N(O155))-(N(J155)+N(L155)+N(N155))*F155)-N(Q155))</f>
        <v/>
      </c>
      <c r="V155" s="9">
        <f>IF(OR(B155="",P155=""),"",U155/S155)</f>
        <v/>
      </c>
      <c r="W155">
        <f>IF(OR(B155="",P155=""),"",NETWORKDAYS(C155,P155)-1)</f>
        <v/>
      </c>
      <c r="X155">
        <f>IF(B155="","",IF(P155="","Aberto","Fechado"))</f>
        <v/>
      </c>
    </row>
    <row r="156">
      <c r="C156" s="6" t="n"/>
      <c r="E156" s="7" t="n"/>
      <c r="F156" s="8" t="n"/>
      <c r="G156" s="8" t="n"/>
      <c r="H156" s="8" t="n"/>
      <c r="J156" s="7" t="n"/>
      <c r="K156" s="8" t="n"/>
      <c r="L156" s="7" t="n"/>
      <c r="M156" s="8" t="n"/>
      <c r="N156" s="7" t="n"/>
      <c r="O156" s="8" t="n"/>
      <c r="P156" s="6" t="n"/>
      <c r="Q156" s="8" t="n"/>
      <c r="S156" s="8">
        <f>IF(B156="","",E156*F156)</f>
        <v/>
      </c>
      <c r="T156" s="8">
        <f>IF(OR(B156="",N(G156)=0),"",ABS(F156-G156)*E156)</f>
        <v/>
      </c>
      <c r="U156" s="8">
        <f>IF(OR(B156="",P156=""),"",IF(D156="Venda",-1,1)*((N(J156)*N(K156)+N(L156)*N(M156)+N(N156)*N(O156))-(N(J156)+N(L156)+N(N156))*F156)-N(Q156))</f>
        <v/>
      </c>
      <c r="V156" s="9">
        <f>IF(OR(B156="",P156=""),"",U156/S156)</f>
        <v/>
      </c>
      <c r="W156">
        <f>IF(OR(B156="",P156=""),"",NETWORKDAYS(C156,P156)-1)</f>
        <v/>
      </c>
      <c r="X156">
        <f>IF(B156="","",IF(P156="","Aberto","Fechado"))</f>
        <v/>
      </c>
    </row>
    <row r="157">
      <c r="C157" s="6" t="n"/>
      <c r="E157" s="7" t="n"/>
      <c r="F157" s="8" t="n"/>
      <c r="G157" s="8" t="n"/>
      <c r="H157" s="8" t="n"/>
      <c r="J157" s="7" t="n"/>
      <c r="K157" s="8" t="n"/>
      <c r="L157" s="7" t="n"/>
      <c r="M157" s="8" t="n"/>
      <c r="N157" s="7" t="n"/>
      <c r="O157" s="8" t="n"/>
      <c r="P157" s="6" t="n"/>
      <c r="Q157" s="8" t="n"/>
      <c r="S157" s="8">
        <f>IF(B157="","",E157*F157)</f>
        <v/>
      </c>
      <c r="T157" s="8">
        <f>IF(OR(B157="",N(G157)=0),"",ABS(F157-G157)*E157)</f>
        <v/>
      </c>
      <c r="U157" s="8">
        <f>IF(OR(B157="",P157=""),"",IF(D157="Venda",-1,1)*((N(J157)*N(K157)+N(L157)*N(M157)+N(N157)*N(O157))-(N(J157)+N(L157)+N(N157))*F157)-N(Q157))</f>
        <v/>
      </c>
      <c r="V157" s="9">
        <f>IF(OR(B157="",P157=""),"",U157/S157)</f>
        <v/>
      </c>
      <c r="W157">
        <f>IF(OR(B157="",P157=""),"",NETWORKDAYS(C157,P157)-1)</f>
        <v/>
      </c>
      <c r="X157">
        <f>IF(B157="","",IF(P157="","Aberto","Fechado"))</f>
        <v/>
      </c>
    </row>
    <row r="158">
      <c r="C158" s="6" t="n"/>
      <c r="E158" s="7" t="n"/>
      <c r="F158" s="8" t="n"/>
      <c r="G158" s="8" t="n"/>
      <c r="H158" s="8" t="n"/>
      <c r="J158" s="7" t="n"/>
      <c r="K158" s="8" t="n"/>
      <c r="L158" s="7" t="n"/>
      <c r="M158" s="8" t="n"/>
      <c r="N158" s="7" t="n"/>
      <c r="O158" s="8" t="n"/>
      <c r="P158" s="6" t="n"/>
      <c r="Q158" s="8" t="n"/>
      <c r="S158" s="8">
        <f>IF(B158="","",E158*F158)</f>
        <v/>
      </c>
      <c r="T158" s="8">
        <f>IF(OR(B158="",N(G158)=0),"",ABS(F158-G158)*E158)</f>
        <v/>
      </c>
      <c r="U158" s="8">
        <f>IF(OR(B158="",P158=""),"",IF(D158="Venda",-1,1)*((N(J158)*N(K158)+N(L158)*N(M158)+N(N158)*N(O158))-(N(J158)+N(L158)+N(N158))*F158)-N(Q158))</f>
        <v/>
      </c>
      <c r="V158" s="9">
        <f>IF(OR(B158="",P158=""),"",U158/S158)</f>
        <v/>
      </c>
      <c r="W158">
        <f>IF(OR(B158="",P158=""),"",NETWORKDAYS(C158,P158)-1)</f>
        <v/>
      </c>
      <c r="X158">
        <f>IF(B158="","",IF(P158="","Aberto","Fechado"))</f>
        <v/>
      </c>
    </row>
    <row r="159">
      <c r="C159" s="6" t="n"/>
      <c r="E159" s="7" t="n"/>
      <c r="F159" s="8" t="n"/>
      <c r="G159" s="8" t="n"/>
      <c r="H159" s="8" t="n"/>
      <c r="J159" s="7" t="n"/>
      <c r="K159" s="8" t="n"/>
      <c r="L159" s="7" t="n"/>
      <c r="M159" s="8" t="n"/>
      <c r="N159" s="7" t="n"/>
      <c r="O159" s="8" t="n"/>
      <c r="P159" s="6" t="n"/>
      <c r="Q159" s="8" t="n"/>
      <c r="S159" s="8">
        <f>IF(B159="","",E159*F159)</f>
        <v/>
      </c>
      <c r="T159" s="8">
        <f>IF(OR(B159="",N(G159)=0),"",ABS(F159-G159)*E159)</f>
        <v/>
      </c>
      <c r="U159" s="8">
        <f>IF(OR(B159="",P159=""),"",IF(D159="Venda",-1,1)*((N(J159)*N(K159)+N(L159)*N(M159)+N(N159)*N(O159))-(N(J159)+N(L159)+N(N159))*F159)-N(Q159))</f>
        <v/>
      </c>
      <c r="V159" s="9">
        <f>IF(OR(B159="",P159=""),"",U159/S159)</f>
        <v/>
      </c>
      <c r="W159">
        <f>IF(OR(B159="",P159=""),"",NETWORKDAYS(C159,P159)-1)</f>
        <v/>
      </c>
      <c r="X159">
        <f>IF(B159="","",IF(P159="","Aberto","Fechado"))</f>
        <v/>
      </c>
    </row>
    <row r="160">
      <c r="C160" s="6" t="n"/>
      <c r="E160" s="7" t="n"/>
      <c r="F160" s="8" t="n"/>
      <c r="G160" s="8" t="n"/>
      <c r="H160" s="8" t="n"/>
      <c r="J160" s="7" t="n"/>
      <c r="K160" s="8" t="n"/>
      <c r="L160" s="7" t="n"/>
      <c r="M160" s="8" t="n"/>
      <c r="N160" s="7" t="n"/>
      <c r="O160" s="8" t="n"/>
      <c r="P160" s="6" t="n"/>
      <c r="Q160" s="8" t="n"/>
      <c r="S160" s="8">
        <f>IF(B160="","",E160*F160)</f>
        <v/>
      </c>
      <c r="T160" s="8">
        <f>IF(OR(B160="",N(G160)=0),"",ABS(F160-G160)*E160)</f>
        <v/>
      </c>
      <c r="U160" s="8">
        <f>IF(OR(B160="",P160=""),"",IF(D160="Venda",-1,1)*((N(J160)*N(K160)+N(L160)*N(M160)+N(N160)*N(O160))-(N(J160)+N(L160)+N(N160))*F160)-N(Q160))</f>
        <v/>
      </c>
      <c r="V160" s="9">
        <f>IF(OR(B160="",P160=""),"",U160/S160)</f>
        <v/>
      </c>
      <c r="W160">
        <f>IF(OR(B160="",P160=""),"",NETWORKDAYS(C160,P160)-1)</f>
        <v/>
      </c>
      <c r="X160">
        <f>IF(B160="","",IF(P160="","Aberto","Fechado"))</f>
        <v/>
      </c>
    </row>
    <row r="161">
      <c r="C161" s="6" t="n"/>
      <c r="E161" s="7" t="n"/>
      <c r="F161" s="8" t="n"/>
      <c r="G161" s="8" t="n"/>
      <c r="H161" s="8" t="n"/>
      <c r="J161" s="7" t="n"/>
      <c r="K161" s="8" t="n"/>
      <c r="L161" s="7" t="n"/>
      <c r="M161" s="8" t="n"/>
      <c r="N161" s="7" t="n"/>
      <c r="O161" s="8" t="n"/>
      <c r="P161" s="6" t="n"/>
      <c r="Q161" s="8" t="n"/>
      <c r="S161" s="8">
        <f>IF(B161="","",E161*F161)</f>
        <v/>
      </c>
      <c r="T161" s="8">
        <f>IF(OR(B161="",N(G161)=0),"",ABS(F161-G161)*E161)</f>
        <v/>
      </c>
      <c r="U161" s="8">
        <f>IF(OR(B161="",P161=""),"",IF(D161="Venda",-1,1)*((N(J161)*N(K161)+N(L161)*N(M161)+N(N161)*N(O161))-(N(J161)+N(L161)+N(N161))*F161)-N(Q161))</f>
        <v/>
      </c>
      <c r="V161" s="9">
        <f>IF(OR(B161="",P161=""),"",U161/S161)</f>
        <v/>
      </c>
      <c r="W161">
        <f>IF(OR(B161="",P161=""),"",NETWORKDAYS(C161,P161)-1)</f>
        <v/>
      </c>
      <c r="X161">
        <f>IF(B161="","",IF(P161="","Aberto","Fechado"))</f>
        <v/>
      </c>
    </row>
    <row r="162">
      <c r="C162" s="6" t="n"/>
      <c r="E162" s="7" t="n"/>
      <c r="F162" s="8" t="n"/>
      <c r="G162" s="8" t="n"/>
      <c r="H162" s="8" t="n"/>
      <c r="J162" s="7" t="n"/>
      <c r="K162" s="8" t="n"/>
      <c r="L162" s="7" t="n"/>
      <c r="M162" s="8" t="n"/>
      <c r="N162" s="7" t="n"/>
      <c r="O162" s="8" t="n"/>
      <c r="P162" s="6" t="n"/>
      <c r="Q162" s="8" t="n"/>
      <c r="S162" s="8">
        <f>IF(B162="","",E162*F162)</f>
        <v/>
      </c>
      <c r="T162" s="8">
        <f>IF(OR(B162="",N(G162)=0),"",ABS(F162-G162)*E162)</f>
        <v/>
      </c>
      <c r="U162" s="8">
        <f>IF(OR(B162="",P162=""),"",IF(D162="Venda",-1,1)*((N(J162)*N(K162)+N(L162)*N(M162)+N(N162)*N(O162))-(N(J162)+N(L162)+N(N162))*F162)-N(Q162))</f>
        <v/>
      </c>
      <c r="V162" s="9">
        <f>IF(OR(B162="",P162=""),"",U162/S162)</f>
        <v/>
      </c>
      <c r="W162">
        <f>IF(OR(B162="",P162=""),"",NETWORKDAYS(C162,P162)-1)</f>
        <v/>
      </c>
      <c r="X162">
        <f>IF(B162="","",IF(P162="","Aberto","Fechado"))</f>
        <v/>
      </c>
    </row>
    <row r="163">
      <c r="C163" s="6" t="n"/>
      <c r="E163" s="7" t="n"/>
      <c r="F163" s="8" t="n"/>
      <c r="G163" s="8" t="n"/>
      <c r="H163" s="8" t="n"/>
      <c r="J163" s="7" t="n"/>
      <c r="K163" s="8" t="n"/>
      <c r="L163" s="7" t="n"/>
      <c r="M163" s="8" t="n"/>
      <c r="N163" s="7" t="n"/>
      <c r="O163" s="8" t="n"/>
      <c r="P163" s="6" t="n"/>
      <c r="Q163" s="8" t="n"/>
      <c r="S163" s="8">
        <f>IF(B163="","",E163*F163)</f>
        <v/>
      </c>
      <c r="T163" s="8">
        <f>IF(OR(B163="",N(G163)=0),"",ABS(F163-G163)*E163)</f>
        <v/>
      </c>
      <c r="U163" s="8">
        <f>IF(OR(B163="",P163=""),"",IF(D163="Venda",-1,1)*((N(J163)*N(K163)+N(L163)*N(M163)+N(N163)*N(O163))-(N(J163)+N(L163)+N(N163))*F163)-N(Q163))</f>
        <v/>
      </c>
      <c r="V163" s="9">
        <f>IF(OR(B163="",P163=""),"",U163/S163)</f>
        <v/>
      </c>
      <c r="W163">
        <f>IF(OR(B163="",P163=""),"",NETWORKDAYS(C163,P163)-1)</f>
        <v/>
      </c>
      <c r="X163">
        <f>IF(B163="","",IF(P163="","Aberto","Fechado"))</f>
        <v/>
      </c>
    </row>
    <row r="164">
      <c r="C164" s="6" t="n"/>
      <c r="E164" s="7" t="n"/>
      <c r="F164" s="8" t="n"/>
      <c r="G164" s="8" t="n"/>
      <c r="H164" s="8" t="n"/>
      <c r="J164" s="7" t="n"/>
      <c r="K164" s="8" t="n"/>
      <c r="L164" s="7" t="n"/>
      <c r="M164" s="8" t="n"/>
      <c r="N164" s="7" t="n"/>
      <c r="O164" s="8" t="n"/>
      <c r="P164" s="6" t="n"/>
      <c r="Q164" s="8" t="n"/>
      <c r="S164" s="8">
        <f>IF(B164="","",E164*F164)</f>
        <v/>
      </c>
      <c r="T164" s="8">
        <f>IF(OR(B164="",N(G164)=0),"",ABS(F164-G164)*E164)</f>
        <v/>
      </c>
      <c r="U164" s="8">
        <f>IF(OR(B164="",P164=""),"",IF(D164="Venda",-1,1)*((N(J164)*N(K164)+N(L164)*N(M164)+N(N164)*N(O164))-(N(J164)+N(L164)+N(N164))*F164)-N(Q164))</f>
        <v/>
      </c>
      <c r="V164" s="9">
        <f>IF(OR(B164="",P164=""),"",U164/S164)</f>
        <v/>
      </c>
      <c r="W164">
        <f>IF(OR(B164="",P164=""),"",NETWORKDAYS(C164,P164)-1)</f>
        <v/>
      </c>
      <c r="X164">
        <f>IF(B164="","",IF(P164="","Aberto","Fechado"))</f>
        <v/>
      </c>
    </row>
    <row r="165">
      <c r="C165" s="6" t="n"/>
      <c r="E165" s="7" t="n"/>
      <c r="F165" s="8" t="n"/>
      <c r="G165" s="8" t="n"/>
      <c r="H165" s="8" t="n"/>
      <c r="J165" s="7" t="n"/>
      <c r="K165" s="8" t="n"/>
      <c r="L165" s="7" t="n"/>
      <c r="M165" s="8" t="n"/>
      <c r="N165" s="7" t="n"/>
      <c r="O165" s="8" t="n"/>
      <c r="P165" s="6" t="n"/>
      <c r="Q165" s="8" t="n"/>
      <c r="S165" s="8">
        <f>IF(B165="","",E165*F165)</f>
        <v/>
      </c>
      <c r="T165" s="8">
        <f>IF(OR(B165="",N(G165)=0),"",ABS(F165-G165)*E165)</f>
        <v/>
      </c>
      <c r="U165" s="8">
        <f>IF(OR(B165="",P165=""),"",IF(D165="Venda",-1,1)*((N(J165)*N(K165)+N(L165)*N(M165)+N(N165)*N(O165))-(N(J165)+N(L165)+N(N165))*F165)-N(Q165))</f>
        <v/>
      </c>
      <c r="V165" s="9">
        <f>IF(OR(B165="",P165=""),"",U165/S165)</f>
        <v/>
      </c>
      <c r="W165">
        <f>IF(OR(B165="",P165=""),"",NETWORKDAYS(C165,P165)-1)</f>
        <v/>
      </c>
      <c r="X165">
        <f>IF(B165="","",IF(P165="","Aberto","Fechado"))</f>
        <v/>
      </c>
    </row>
    <row r="166">
      <c r="C166" s="6" t="n"/>
      <c r="E166" s="7" t="n"/>
      <c r="F166" s="8" t="n"/>
      <c r="G166" s="8" t="n"/>
      <c r="H166" s="8" t="n"/>
      <c r="J166" s="7" t="n"/>
      <c r="K166" s="8" t="n"/>
      <c r="L166" s="7" t="n"/>
      <c r="M166" s="8" t="n"/>
      <c r="N166" s="7" t="n"/>
      <c r="O166" s="8" t="n"/>
      <c r="P166" s="6" t="n"/>
      <c r="Q166" s="8" t="n"/>
      <c r="S166" s="8">
        <f>IF(B166="","",E166*F166)</f>
        <v/>
      </c>
      <c r="T166" s="8">
        <f>IF(OR(B166="",N(G166)=0),"",ABS(F166-G166)*E166)</f>
        <v/>
      </c>
      <c r="U166" s="8">
        <f>IF(OR(B166="",P166=""),"",IF(D166="Venda",-1,1)*((N(J166)*N(K166)+N(L166)*N(M166)+N(N166)*N(O166))-(N(J166)+N(L166)+N(N166))*F166)-N(Q166))</f>
        <v/>
      </c>
      <c r="V166" s="9">
        <f>IF(OR(B166="",P166=""),"",U166/S166)</f>
        <v/>
      </c>
      <c r="W166">
        <f>IF(OR(B166="",P166=""),"",NETWORKDAYS(C166,P166)-1)</f>
        <v/>
      </c>
      <c r="X166">
        <f>IF(B166="","",IF(P166="","Aberto","Fechado"))</f>
        <v/>
      </c>
    </row>
    <row r="167">
      <c r="C167" s="6" t="n"/>
      <c r="E167" s="7" t="n"/>
      <c r="F167" s="8" t="n"/>
      <c r="G167" s="8" t="n"/>
      <c r="H167" s="8" t="n"/>
      <c r="J167" s="7" t="n"/>
      <c r="K167" s="8" t="n"/>
      <c r="L167" s="7" t="n"/>
      <c r="M167" s="8" t="n"/>
      <c r="N167" s="7" t="n"/>
      <c r="O167" s="8" t="n"/>
      <c r="P167" s="6" t="n"/>
      <c r="Q167" s="8" t="n"/>
      <c r="S167" s="8">
        <f>IF(B167="","",E167*F167)</f>
        <v/>
      </c>
      <c r="T167" s="8">
        <f>IF(OR(B167="",N(G167)=0),"",ABS(F167-G167)*E167)</f>
        <v/>
      </c>
      <c r="U167" s="8">
        <f>IF(OR(B167="",P167=""),"",IF(D167="Venda",-1,1)*((N(J167)*N(K167)+N(L167)*N(M167)+N(N167)*N(O167))-(N(J167)+N(L167)+N(N167))*F167)-N(Q167))</f>
        <v/>
      </c>
      <c r="V167" s="9">
        <f>IF(OR(B167="",P167=""),"",U167/S167)</f>
        <v/>
      </c>
      <c r="W167">
        <f>IF(OR(B167="",P167=""),"",NETWORKDAYS(C167,P167)-1)</f>
        <v/>
      </c>
      <c r="X167">
        <f>IF(B167="","",IF(P167="","Aberto","Fechado"))</f>
        <v/>
      </c>
    </row>
    <row r="168">
      <c r="C168" s="6" t="n"/>
      <c r="E168" s="7" t="n"/>
      <c r="F168" s="8" t="n"/>
      <c r="G168" s="8" t="n"/>
      <c r="H168" s="8" t="n"/>
      <c r="J168" s="7" t="n"/>
      <c r="K168" s="8" t="n"/>
      <c r="L168" s="7" t="n"/>
      <c r="M168" s="8" t="n"/>
      <c r="N168" s="7" t="n"/>
      <c r="O168" s="8" t="n"/>
      <c r="P168" s="6" t="n"/>
      <c r="Q168" s="8" t="n"/>
      <c r="S168" s="8">
        <f>IF(B168="","",E168*F168)</f>
        <v/>
      </c>
      <c r="T168" s="8">
        <f>IF(OR(B168="",N(G168)=0),"",ABS(F168-G168)*E168)</f>
        <v/>
      </c>
      <c r="U168" s="8">
        <f>IF(OR(B168="",P168=""),"",IF(D168="Venda",-1,1)*((N(J168)*N(K168)+N(L168)*N(M168)+N(N168)*N(O168))-(N(J168)+N(L168)+N(N168))*F168)-N(Q168))</f>
        <v/>
      </c>
      <c r="V168" s="9">
        <f>IF(OR(B168="",P168=""),"",U168/S168)</f>
        <v/>
      </c>
      <c r="W168">
        <f>IF(OR(B168="",P168=""),"",NETWORKDAYS(C168,P168)-1)</f>
        <v/>
      </c>
      <c r="X168">
        <f>IF(B168="","",IF(P168="","Aberto","Fechado"))</f>
        <v/>
      </c>
    </row>
    <row r="169">
      <c r="C169" s="6" t="n"/>
      <c r="E169" s="7" t="n"/>
      <c r="F169" s="8" t="n"/>
      <c r="G169" s="8" t="n"/>
      <c r="H169" s="8" t="n"/>
      <c r="J169" s="7" t="n"/>
      <c r="K169" s="8" t="n"/>
      <c r="L169" s="7" t="n"/>
      <c r="M169" s="8" t="n"/>
      <c r="N169" s="7" t="n"/>
      <c r="O169" s="8" t="n"/>
      <c r="P169" s="6" t="n"/>
      <c r="Q169" s="8" t="n"/>
      <c r="S169" s="8">
        <f>IF(B169="","",E169*F169)</f>
        <v/>
      </c>
      <c r="T169" s="8">
        <f>IF(OR(B169="",N(G169)=0),"",ABS(F169-G169)*E169)</f>
        <v/>
      </c>
      <c r="U169" s="8">
        <f>IF(OR(B169="",P169=""),"",IF(D169="Venda",-1,1)*((N(J169)*N(K169)+N(L169)*N(M169)+N(N169)*N(O169))-(N(J169)+N(L169)+N(N169))*F169)-N(Q169))</f>
        <v/>
      </c>
      <c r="V169" s="9">
        <f>IF(OR(B169="",P169=""),"",U169/S169)</f>
        <v/>
      </c>
      <c r="W169">
        <f>IF(OR(B169="",P169=""),"",NETWORKDAYS(C169,P169)-1)</f>
        <v/>
      </c>
      <c r="X169">
        <f>IF(B169="","",IF(P169="","Aberto","Fechado"))</f>
        <v/>
      </c>
    </row>
    <row r="170">
      <c r="C170" s="6" t="n"/>
      <c r="E170" s="7" t="n"/>
      <c r="F170" s="8" t="n"/>
      <c r="G170" s="8" t="n"/>
      <c r="H170" s="8" t="n"/>
      <c r="J170" s="7" t="n"/>
      <c r="K170" s="8" t="n"/>
      <c r="L170" s="7" t="n"/>
      <c r="M170" s="8" t="n"/>
      <c r="N170" s="7" t="n"/>
      <c r="O170" s="8" t="n"/>
      <c r="P170" s="6" t="n"/>
      <c r="Q170" s="8" t="n"/>
      <c r="S170" s="8">
        <f>IF(B170="","",E170*F170)</f>
        <v/>
      </c>
      <c r="T170" s="8">
        <f>IF(OR(B170="",N(G170)=0),"",ABS(F170-G170)*E170)</f>
        <v/>
      </c>
      <c r="U170" s="8">
        <f>IF(OR(B170="",P170=""),"",IF(D170="Venda",-1,1)*((N(J170)*N(K170)+N(L170)*N(M170)+N(N170)*N(O170))-(N(J170)+N(L170)+N(N170))*F170)-N(Q170))</f>
        <v/>
      </c>
      <c r="V170" s="9">
        <f>IF(OR(B170="",P170=""),"",U170/S170)</f>
        <v/>
      </c>
      <c r="W170">
        <f>IF(OR(B170="",P170=""),"",NETWORKDAYS(C170,P170)-1)</f>
        <v/>
      </c>
      <c r="X170">
        <f>IF(B170="","",IF(P170="","Aberto","Fechado"))</f>
        <v/>
      </c>
    </row>
    <row r="171">
      <c r="C171" s="6" t="n"/>
      <c r="E171" s="7" t="n"/>
      <c r="F171" s="8" t="n"/>
      <c r="G171" s="8" t="n"/>
      <c r="H171" s="8" t="n"/>
      <c r="J171" s="7" t="n"/>
      <c r="K171" s="8" t="n"/>
      <c r="L171" s="7" t="n"/>
      <c r="M171" s="8" t="n"/>
      <c r="N171" s="7" t="n"/>
      <c r="O171" s="8" t="n"/>
      <c r="P171" s="6" t="n"/>
      <c r="Q171" s="8" t="n"/>
      <c r="S171" s="8">
        <f>IF(B171="","",E171*F171)</f>
        <v/>
      </c>
      <c r="T171" s="8">
        <f>IF(OR(B171="",N(G171)=0),"",ABS(F171-G171)*E171)</f>
        <v/>
      </c>
      <c r="U171" s="8">
        <f>IF(OR(B171="",P171=""),"",IF(D171="Venda",-1,1)*((N(J171)*N(K171)+N(L171)*N(M171)+N(N171)*N(O171))-(N(J171)+N(L171)+N(N171))*F171)-N(Q171))</f>
        <v/>
      </c>
      <c r="V171" s="9">
        <f>IF(OR(B171="",P171=""),"",U171/S171)</f>
        <v/>
      </c>
      <c r="W171">
        <f>IF(OR(B171="",P171=""),"",NETWORKDAYS(C171,P171)-1)</f>
        <v/>
      </c>
      <c r="X171">
        <f>IF(B171="","",IF(P171="","Aberto","Fechado"))</f>
        <v/>
      </c>
    </row>
    <row r="172">
      <c r="C172" s="6" t="n"/>
      <c r="E172" s="7" t="n"/>
      <c r="F172" s="8" t="n"/>
      <c r="G172" s="8" t="n"/>
      <c r="H172" s="8" t="n"/>
      <c r="J172" s="7" t="n"/>
      <c r="K172" s="8" t="n"/>
      <c r="L172" s="7" t="n"/>
      <c r="M172" s="8" t="n"/>
      <c r="N172" s="7" t="n"/>
      <c r="O172" s="8" t="n"/>
      <c r="P172" s="6" t="n"/>
      <c r="Q172" s="8" t="n"/>
      <c r="S172" s="8">
        <f>IF(B172="","",E172*F172)</f>
        <v/>
      </c>
      <c r="T172" s="8">
        <f>IF(OR(B172="",N(G172)=0),"",ABS(F172-G172)*E172)</f>
        <v/>
      </c>
      <c r="U172" s="8">
        <f>IF(OR(B172="",P172=""),"",IF(D172="Venda",-1,1)*((N(J172)*N(K172)+N(L172)*N(M172)+N(N172)*N(O172))-(N(J172)+N(L172)+N(N172))*F172)-N(Q172))</f>
        <v/>
      </c>
      <c r="V172" s="9">
        <f>IF(OR(B172="",P172=""),"",U172/S172)</f>
        <v/>
      </c>
      <c r="W172">
        <f>IF(OR(B172="",P172=""),"",NETWORKDAYS(C172,P172)-1)</f>
        <v/>
      </c>
      <c r="X172">
        <f>IF(B172="","",IF(P172="","Aberto","Fechado"))</f>
        <v/>
      </c>
    </row>
    <row r="173">
      <c r="C173" s="6" t="n"/>
      <c r="E173" s="7" t="n"/>
      <c r="F173" s="8" t="n"/>
      <c r="G173" s="8" t="n"/>
      <c r="H173" s="8" t="n"/>
      <c r="J173" s="7" t="n"/>
      <c r="K173" s="8" t="n"/>
      <c r="L173" s="7" t="n"/>
      <c r="M173" s="8" t="n"/>
      <c r="N173" s="7" t="n"/>
      <c r="O173" s="8" t="n"/>
      <c r="P173" s="6" t="n"/>
      <c r="Q173" s="8" t="n"/>
      <c r="S173" s="8">
        <f>IF(B173="","",E173*F173)</f>
        <v/>
      </c>
      <c r="T173" s="8">
        <f>IF(OR(B173="",N(G173)=0),"",ABS(F173-G173)*E173)</f>
        <v/>
      </c>
      <c r="U173" s="8">
        <f>IF(OR(B173="",P173=""),"",IF(D173="Venda",-1,1)*((N(J173)*N(K173)+N(L173)*N(M173)+N(N173)*N(O173))-(N(J173)+N(L173)+N(N173))*F173)-N(Q173))</f>
        <v/>
      </c>
      <c r="V173" s="9">
        <f>IF(OR(B173="",P173=""),"",U173/S173)</f>
        <v/>
      </c>
      <c r="W173">
        <f>IF(OR(B173="",P173=""),"",NETWORKDAYS(C173,P173)-1)</f>
        <v/>
      </c>
      <c r="X173">
        <f>IF(B173="","",IF(P173="","Aberto","Fechado"))</f>
        <v/>
      </c>
    </row>
    <row r="174">
      <c r="C174" s="6" t="n"/>
      <c r="E174" s="7" t="n"/>
      <c r="F174" s="8" t="n"/>
      <c r="G174" s="8" t="n"/>
      <c r="H174" s="8" t="n"/>
      <c r="J174" s="7" t="n"/>
      <c r="K174" s="8" t="n"/>
      <c r="L174" s="7" t="n"/>
      <c r="M174" s="8" t="n"/>
      <c r="N174" s="7" t="n"/>
      <c r="O174" s="8" t="n"/>
      <c r="P174" s="6" t="n"/>
      <c r="Q174" s="8" t="n"/>
      <c r="S174" s="8">
        <f>IF(B174="","",E174*F174)</f>
        <v/>
      </c>
      <c r="T174" s="8">
        <f>IF(OR(B174="",N(G174)=0),"",ABS(F174-G174)*E174)</f>
        <v/>
      </c>
      <c r="U174" s="8">
        <f>IF(OR(B174="",P174=""),"",IF(D174="Venda",-1,1)*((N(J174)*N(K174)+N(L174)*N(M174)+N(N174)*N(O174))-(N(J174)+N(L174)+N(N174))*F174)-N(Q174))</f>
        <v/>
      </c>
      <c r="V174" s="9">
        <f>IF(OR(B174="",P174=""),"",U174/S174)</f>
        <v/>
      </c>
      <c r="W174">
        <f>IF(OR(B174="",P174=""),"",NETWORKDAYS(C174,P174)-1)</f>
        <v/>
      </c>
      <c r="X174">
        <f>IF(B174="","",IF(P174="","Aberto","Fechado"))</f>
        <v/>
      </c>
    </row>
    <row r="175">
      <c r="C175" s="6" t="n"/>
      <c r="E175" s="7" t="n"/>
      <c r="F175" s="8" t="n"/>
      <c r="G175" s="8" t="n"/>
      <c r="H175" s="8" t="n"/>
      <c r="J175" s="7" t="n"/>
      <c r="K175" s="8" t="n"/>
      <c r="L175" s="7" t="n"/>
      <c r="M175" s="8" t="n"/>
      <c r="N175" s="7" t="n"/>
      <c r="O175" s="8" t="n"/>
      <c r="P175" s="6" t="n"/>
      <c r="Q175" s="8" t="n"/>
      <c r="S175" s="8">
        <f>IF(B175="","",E175*F175)</f>
        <v/>
      </c>
      <c r="T175" s="8">
        <f>IF(OR(B175="",N(G175)=0),"",ABS(F175-G175)*E175)</f>
        <v/>
      </c>
      <c r="U175" s="8">
        <f>IF(OR(B175="",P175=""),"",IF(D175="Venda",-1,1)*((N(J175)*N(K175)+N(L175)*N(M175)+N(N175)*N(O175))-(N(J175)+N(L175)+N(N175))*F175)-N(Q175))</f>
        <v/>
      </c>
      <c r="V175" s="9">
        <f>IF(OR(B175="",P175=""),"",U175/S175)</f>
        <v/>
      </c>
      <c r="W175">
        <f>IF(OR(B175="",P175=""),"",NETWORKDAYS(C175,P175)-1)</f>
        <v/>
      </c>
      <c r="X175">
        <f>IF(B175="","",IF(P175="","Aberto","Fechado"))</f>
        <v/>
      </c>
    </row>
    <row r="176">
      <c r="C176" s="6" t="n"/>
      <c r="E176" s="7" t="n"/>
      <c r="F176" s="8" t="n"/>
      <c r="G176" s="8" t="n"/>
      <c r="H176" s="8" t="n"/>
      <c r="J176" s="7" t="n"/>
      <c r="K176" s="8" t="n"/>
      <c r="L176" s="7" t="n"/>
      <c r="M176" s="8" t="n"/>
      <c r="N176" s="7" t="n"/>
      <c r="O176" s="8" t="n"/>
      <c r="P176" s="6" t="n"/>
      <c r="Q176" s="8" t="n"/>
      <c r="S176" s="8">
        <f>IF(B176="","",E176*F176)</f>
        <v/>
      </c>
      <c r="T176" s="8">
        <f>IF(OR(B176="",N(G176)=0),"",ABS(F176-G176)*E176)</f>
        <v/>
      </c>
      <c r="U176" s="8">
        <f>IF(OR(B176="",P176=""),"",IF(D176="Venda",-1,1)*((N(J176)*N(K176)+N(L176)*N(M176)+N(N176)*N(O176))-(N(J176)+N(L176)+N(N176))*F176)-N(Q176))</f>
        <v/>
      </c>
      <c r="V176" s="9">
        <f>IF(OR(B176="",P176=""),"",U176/S176)</f>
        <v/>
      </c>
      <c r="W176">
        <f>IF(OR(B176="",P176=""),"",NETWORKDAYS(C176,P176)-1)</f>
        <v/>
      </c>
      <c r="X176">
        <f>IF(B176="","",IF(P176="","Aberto","Fechado"))</f>
        <v/>
      </c>
    </row>
    <row r="177">
      <c r="C177" s="6" t="n"/>
      <c r="E177" s="7" t="n"/>
      <c r="F177" s="8" t="n"/>
      <c r="G177" s="8" t="n"/>
      <c r="H177" s="8" t="n"/>
      <c r="J177" s="7" t="n"/>
      <c r="K177" s="8" t="n"/>
      <c r="L177" s="7" t="n"/>
      <c r="M177" s="8" t="n"/>
      <c r="N177" s="7" t="n"/>
      <c r="O177" s="8" t="n"/>
      <c r="P177" s="6" t="n"/>
      <c r="Q177" s="8" t="n"/>
      <c r="S177" s="8">
        <f>IF(B177="","",E177*F177)</f>
        <v/>
      </c>
      <c r="T177" s="8">
        <f>IF(OR(B177="",N(G177)=0),"",ABS(F177-G177)*E177)</f>
        <v/>
      </c>
      <c r="U177" s="8">
        <f>IF(OR(B177="",P177=""),"",IF(D177="Venda",-1,1)*((N(J177)*N(K177)+N(L177)*N(M177)+N(N177)*N(O177))-(N(J177)+N(L177)+N(N177))*F177)-N(Q177))</f>
        <v/>
      </c>
      <c r="V177" s="9">
        <f>IF(OR(B177="",P177=""),"",U177/S177)</f>
        <v/>
      </c>
      <c r="W177">
        <f>IF(OR(B177="",P177=""),"",NETWORKDAYS(C177,P177)-1)</f>
        <v/>
      </c>
      <c r="X177">
        <f>IF(B177="","",IF(P177="","Aberto","Fechado"))</f>
        <v/>
      </c>
    </row>
    <row r="178">
      <c r="C178" s="6" t="n"/>
      <c r="E178" s="7" t="n"/>
      <c r="F178" s="8" t="n"/>
      <c r="G178" s="8" t="n"/>
      <c r="H178" s="8" t="n"/>
      <c r="J178" s="7" t="n"/>
      <c r="K178" s="8" t="n"/>
      <c r="L178" s="7" t="n"/>
      <c r="M178" s="8" t="n"/>
      <c r="N178" s="7" t="n"/>
      <c r="O178" s="8" t="n"/>
      <c r="P178" s="6" t="n"/>
      <c r="Q178" s="8" t="n"/>
      <c r="S178" s="8">
        <f>IF(B178="","",E178*F178)</f>
        <v/>
      </c>
      <c r="T178" s="8">
        <f>IF(OR(B178="",N(G178)=0),"",ABS(F178-G178)*E178)</f>
        <v/>
      </c>
      <c r="U178" s="8">
        <f>IF(OR(B178="",P178=""),"",IF(D178="Venda",-1,1)*((N(J178)*N(K178)+N(L178)*N(M178)+N(N178)*N(O178))-(N(J178)+N(L178)+N(N178))*F178)-N(Q178))</f>
        <v/>
      </c>
      <c r="V178" s="9">
        <f>IF(OR(B178="",P178=""),"",U178/S178)</f>
        <v/>
      </c>
      <c r="W178">
        <f>IF(OR(B178="",P178=""),"",NETWORKDAYS(C178,P178)-1)</f>
        <v/>
      </c>
      <c r="X178">
        <f>IF(B178="","",IF(P178="","Aberto","Fechado"))</f>
        <v/>
      </c>
    </row>
    <row r="179">
      <c r="C179" s="6" t="n"/>
      <c r="E179" s="7" t="n"/>
      <c r="F179" s="8" t="n"/>
      <c r="G179" s="8" t="n"/>
      <c r="H179" s="8" t="n"/>
      <c r="J179" s="7" t="n"/>
      <c r="K179" s="8" t="n"/>
      <c r="L179" s="7" t="n"/>
      <c r="M179" s="8" t="n"/>
      <c r="N179" s="7" t="n"/>
      <c r="O179" s="8" t="n"/>
      <c r="P179" s="6" t="n"/>
      <c r="Q179" s="8" t="n"/>
      <c r="S179" s="8">
        <f>IF(B179="","",E179*F179)</f>
        <v/>
      </c>
      <c r="T179" s="8">
        <f>IF(OR(B179="",N(G179)=0),"",ABS(F179-G179)*E179)</f>
        <v/>
      </c>
      <c r="U179" s="8">
        <f>IF(OR(B179="",P179=""),"",IF(D179="Venda",-1,1)*((N(J179)*N(K179)+N(L179)*N(M179)+N(N179)*N(O179))-(N(J179)+N(L179)+N(N179))*F179)-N(Q179))</f>
        <v/>
      </c>
      <c r="V179" s="9">
        <f>IF(OR(B179="",P179=""),"",U179/S179)</f>
        <v/>
      </c>
      <c r="W179">
        <f>IF(OR(B179="",P179=""),"",NETWORKDAYS(C179,P179)-1)</f>
        <v/>
      </c>
      <c r="X179">
        <f>IF(B179="","",IF(P179="","Aberto","Fechado"))</f>
        <v/>
      </c>
    </row>
    <row r="180">
      <c r="C180" s="6" t="n"/>
      <c r="E180" s="7" t="n"/>
      <c r="F180" s="8" t="n"/>
      <c r="G180" s="8" t="n"/>
      <c r="H180" s="8" t="n"/>
      <c r="J180" s="7" t="n"/>
      <c r="K180" s="8" t="n"/>
      <c r="L180" s="7" t="n"/>
      <c r="M180" s="8" t="n"/>
      <c r="N180" s="7" t="n"/>
      <c r="O180" s="8" t="n"/>
      <c r="P180" s="6" t="n"/>
      <c r="Q180" s="8" t="n"/>
      <c r="S180" s="8">
        <f>IF(B180="","",E180*F180)</f>
        <v/>
      </c>
      <c r="T180" s="8">
        <f>IF(OR(B180="",N(G180)=0),"",ABS(F180-G180)*E180)</f>
        <v/>
      </c>
      <c r="U180" s="8">
        <f>IF(OR(B180="",P180=""),"",IF(D180="Venda",-1,1)*((N(J180)*N(K180)+N(L180)*N(M180)+N(N180)*N(O180))-(N(J180)+N(L180)+N(N180))*F180)-N(Q180))</f>
        <v/>
      </c>
      <c r="V180" s="9">
        <f>IF(OR(B180="",P180=""),"",U180/S180)</f>
        <v/>
      </c>
      <c r="W180">
        <f>IF(OR(B180="",P180=""),"",NETWORKDAYS(C180,P180)-1)</f>
        <v/>
      </c>
      <c r="X180">
        <f>IF(B180="","",IF(P180="","Aberto","Fechado"))</f>
        <v/>
      </c>
    </row>
    <row r="181">
      <c r="C181" s="6" t="n"/>
      <c r="E181" s="7" t="n"/>
      <c r="F181" s="8" t="n"/>
      <c r="G181" s="8" t="n"/>
      <c r="H181" s="8" t="n"/>
      <c r="J181" s="7" t="n"/>
      <c r="K181" s="8" t="n"/>
      <c r="L181" s="7" t="n"/>
      <c r="M181" s="8" t="n"/>
      <c r="N181" s="7" t="n"/>
      <c r="O181" s="8" t="n"/>
      <c r="P181" s="6" t="n"/>
      <c r="Q181" s="8" t="n"/>
      <c r="S181" s="8">
        <f>IF(B181="","",E181*F181)</f>
        <v/>
      </c>
      <c r="T181" s="8">
        <f>IF(OR(B181="",N(G181)=0),"",ABS(F181-G181)*E181)</f>
        <v/>
      </c>
      <c r="U181" s="8">
        <f>IF(OR(B181="",P181=""),"",IF(D181="Venda",-1,1)*((N(J181)*N(K181)+N(L181)*N(M181)+N(N181)*N(O181))-(N(J181)+N(L181)+N(N181))*F181)-N(Q181))</f>
        <v/>
      </c>
      <c r="V181" s="9">
        <f>IF(OR(B181="",P181=""),"",U181/S181)</f>
        <v/>
      </c>
      <c r="W181">
        <f>IF(OR(B181="",P181=""),"",NETWORKDAYS(C181,P181)-1)</f>
        <v/>
      </c>
      <c r="X181">
        <f>IF(B181="","",IF(P181="","Aberto","Fechado"))</f>
        <v/>
      </c>
    </row>
    <row r="182">
      <c r="C182" s="6" t="n"/>
      <c r="E182" s="7" t="n"/>
      <c r="F182" s="8" t="n"/>
      <c r="G182" s="8" t="n"/>
      <c r="H182" s="8" t="n"/>
      <c r="J182" s="7" t="n"/>
      <c r="K182" s="8" t="n"/>
      <c r="L182" s="7" t="n"/>
      <c r="M182" s="8" t="n"/>
      <c r="N182" s="7" t="n"/>
      <c r="O182" s="8" t="n"/>
      <c r="P182" s="6" t="n"/>
      <c r="Q182" s="8" t="n"/>
      <c r="S182" s="8">
        <f>IF(B182="","",E182*F182)</f>
        <v/>
      </c>
      <c r="T182" s="8">
        <f>IF(OR(B182="",N(G182)=0),"",ABS(F182-G182)*E182)</f>
        <v/>
      </c>
      <c r="U182" s="8">
        <f>IF(OR(B182="",P182=""),"",IF(D182="Venda",-1,1)*((N(J182)*N(K182)+N(L182)*N(M182)+N(N182)*N(O182))-(N(J182)+N(L182)+N(N182))*F182)-N(Q182))</f>
        <v/>
      </c>
      <c r="V182" s="9">
        <f>IF(OR(B182="",P182=""),"",U182/S182)</f>
        <v/>
      </c>
      <c r="W182">
        <f>IF(OR(B182="",P182=""),"",NETWORKDAYS(C182,P182)-1)</f>
        <v/>
      </c>
      <c r="X182">
        <f>IF(B182="","",IF(P182="","Aberto","Fechado"))</f>
        <v/>
      </c>
    </row>
    <row r="183">
      <c r="C183" s="6" t="n"/>
      <c r="E183" s="7" t="n"/>
      <c r="F183" s="8" t="n"/>
      <c r="G183" s="8" t="n"/>
      <c r="H183" s="8" t="n"/>
      <c r="J183" s="7" t="n"/>
      <c r="K183" s="8" t="n"/>
      <c r="L183" s="7" t="n"/>
      <c r="M183" s="8" t="n"/>
      <c r="N183" s="7" t="n"/>
      <c r="O183" s="8" t="n"/>
      <c r="P183" s="6" t="n"/>
      <c r="Q183" s="8" t="n"/>
      <c r="S183" s="8">
        <f>IF(B183="","",E183*F183)</f>
        <v/>
      </c>
      <c r="T183" s="8">
        <f>IF(OR(B183="",N(G183)=0),"",ABS(F183-G183)*E183)</f>
        <v/>
      </c>
      <c r="U183" s="8">
        <f>IF(OR(B183="",P183=""),"",IF(D183="Venda",-1,1)*((N(J183)*N(K183)+N(L183)*N(M183)+N(N183)*N(O183))-(N(J183)+N(L183)+N(N183))*F183)-N(Q183))</f>
        <v/>
      </c>
      <c r="V183" s="9">
        <f>IF(OR(B183="",P183=""),"",U183/S183)</f>
        <v/>
      </c>
      <c r="W183">
        <f>IF(OR(B183="",P183=""),"",NETWORKDAYS(C183,P183)-1)</f>
        <v/>
      </c>
      <c r="X183">
        <f>IF(B183="","",IF(P183="","Aberto","Fechado"))</f>
        <v/>
      </c>
    </row>
    <row r="184">
      <c r="C184" s="6" t="n"/>
      <c r="E184" s="7" t="n"/>
      <c r="F184" s="8" t="n"/>
      <c r="G184" s="8" t="n"/>
      <c r="H184" s="8" t="n"/>
      <c r="J184" s="7" t="n"/>
      <c r="K184" s="8" t="n"/>
      <c r="L184" s="7" t="n"/>
      <c r="M184" s="8" t="n"/>
      <c r="N184" s="7" t="n"/>
      <c r="O184" s="8" t="n"/>
      <c r="P184" s="6" t="n"/>
      <c r="Q184" s="8" t="n"/>
      <c r="S184" s="8">
        <f>IF(B184="","",E184*F184)</f>
        <v/>
      </c>
      <c r="T184" s="8">
        <f>IF(OR(B184="",N(G184)=0),"",ABS(F184-G184)*E184)</f>
        <v/>
      </c>
      <c r="U184" s="8">
        <f>IF(OR(B184="",P184=""),"",IF(D184="Venda",-1,1)*((N(J184)*N(K184)+N(L184)*N(M184)+N(N184)*N(O184))-(N(J184)+N(L184)+N(N184))*F184)-N(Q184))</f>
        <v/>
      </c>
      <c r="V184" s="9">
        <f>IF(OR(B184="",P184=""),"",U184/S184)</f>
        <v/>
      </c>
      <c r="W184">
        <f>IF(OR(B184="",P184=""),"",NETWORKDAYS(C184,P184)-1)</f>
        <v/>
      </c>
      <c r="X184">
        <f>IF(B184="","",IF(P184="","Aberto","Fechado"))</f>
        <v/>
      </c>
    </row>
    <row r="185">
      <c r="C185" s="6" t="n"/>
      <c r="E185" s="7" t="n"/>
      <c r="F185" s="8" t="n"/>
      <c r="G185" s="8" t="n"/>
      <c r="H185" s="8" t="n"/>
      <c r="J185" s="7" t="n"/>
      <c r="K185" s="8" t="n"/>
      <c r="L185" s="7" t="n"/>
      <c r="M185" s="8" t="n"/>
      <c r="N185" s="7" t="n"/>
      <c r="O185" s="8" t="n"/>
      <c r="P185" s="6" t="n"/>
      <c r="Q185" s="8" t="n"/>
      <c r="S185" s="8">
        <f>IF(B185="","",E185*F185)</f>
        <v/>
      </c>
      <c r="T185" s="8">
        <f>IF(OR(B185="",N(G185)=0),"",ABS(F185-G185)*E185)</f>
        <v/>
      </c>
      <c r="U185" s="8">
        <f>IF(OR(B185="",P185=""),"",IF(D185="Venda",-1,1)*((N(J185)*N(K185)+N(L185)*N(M185)+N(N185)*N(O185))-(N(J185)+N(L185)+N(N185))*F185)-N(Q185))</f>
        <v/>
      </c>
      <c r="V185" s="9">
        <f>IF(OR(B185="",P185=""),"",U185/S185)</f>
        <v/>
      </c>
      <c r="W185">
        <f>IF(OR(B185="",P185=""),"",NETWORKDAYS(C185,P185)-1)</f>
        <v/>
      </c>
      <c r="X185">
        <f>IF(B185="","",IF(P185="","Aberto","Fechado"))</f>
        <v/>
      </c>
    </row>
    <row r="186">
      <c r="C186" s="6" t="n"/>
      <c r="E186" s="7" t="n"/>
      <c r="F186" s="8" t="n"/>
      <c r="G186" s="8" t="n"/>
      <c r="H186" s="8" t="n"/>
      <c r="J186" s="7" t="n"/>
      <c r="K186" s="8" t="n"/>
      <c r="L186" s="7" t="n"/>
      <c r="M186" s="8" t="n"/>
      <c r="N186" s="7" t="n"/>
      <c r="O186" s="8" t="n"/>
      <c r="P186" s="6" t="n"/>
      <c r="Q186" s="8" t="n"/>
      <c r="S186" s="8">
        <f>IF(B186="","",E186*F186)</f>
        <v/>
      </c>
      <c r="T186" s="8">
        <f>IF(OR(B186="",N(G186)=0),"",ABS(F186-G186)*E186)</f>
        <v/>
      </c>
      <c r="U186" s="8">
        <f>IF(OR(B186="",P186=""),"",IF(D186="Venda",-1,1)*((N(J186)*N(K186)+N(L186)*N(M186)+N(N186)*N(O186))-(N(J186)+N(L186)+N(N186))*F186)-N(Q186))</f>
        <v/>
      </c>
      <c r="V186" s="9">
        <f>IF(OR(B186="",P186=""),"",U186/S186)</f>
        <v/>
      </c>
      <c r="W186">
        <f>IF(OR(B186="",P186=""),"",NETWORKDAYS(C186,P186)-1)</f>
        <v/>
      </c>
      <c r="X186">
        <f>IF(B186="","",IF(P186="","Aberto","Fechado"))</f>
        <v/>
      </c>
    </row>
    <row r="187">
      <c r="C187" s="6" t="n"/>
      <c r="E187" s="7" t="n"/>
      <c r="F187" s="8" t="n"/>
      <c r="G187" s="8" t="n"/>
      <c r="H187" s="8" t="n"/>
      <c r="J187" s="7" t="n"/>
      <c r="K187" s="8" t="n"/>
      <c r="L187" s="7" t="n"/>
      <c r="M187" s="8" t="n"/>
      <c r="N187" s="7" t="n"/>
      <c r="O187" s="8" t="n"/>
      <c r="P187" s="6" t="n"/>
      <c r="Q187" s="8" t="n"/>
      <c r="S187" s="8">
        <f>IF(B187="","",E187*F187)</f>
        <v/>
      </c>
      <c r="T187" s="8">
        <f>IF(OR(B187="",N(G187)=0),"",ABS(F187-G187)*E187)</f>
        <v/>
      </c>
      <c r="U187" s="8">
        <f>IF(OR(B187="",P187=""),"",IF(D187="Venda",-1,1)*((N(J187)*N(K187)+N(L187)*N(M187)+N(N187)*N(O187))-(N(J187)+N(L187)+N(N187))*F187)-N(Q187))</f>
        <v/>
      </c>
      <c r="V187" s="9">
        <f>IF(OR(B187="",P187=""),"",U187/S187)</f>
        <v/>
      </c>
      <c r="W187">
        <f>IF(OR(B187="",P187=""),"",NETWORKDAYS(C187,P187)-1)</f>
        <v/>
      </c>
      <c r="X187">
        <f>IF(B187="","",IF(P187="","Aberto","Fechado"))</f>
        <v/>
      </c>
    </row>
    <row r="188">
      <c r="C188" s="6" t="n"/>
      <c r="E188" s="7" t="n"/>
      <c r="F188" s="8" t="n"/>
      <c r="G188" s="8" t="n"/>
      <c r="H188" s="8" t="n"/>
      <c r="J188" s="7" t="n"/>
      <c r="K188" s="8" t="n"/>
      <c r="L188" s="7" t="n"/>
      <c r="M188" s="8" t="n"/>
      <c r="N188" s="7" t="n"/>
      <c r="O188" s="8" t="n"/>
      <c r="P188" s="6" t="n"/>
      <c r="Q188" s="8" t="n"/>
      <c r="S188" s="8">
        <f>IF(B188="","",E188*F188)</f>
        <v/>
      </c>
      <c r="T188" s="8">
        <f>IF(OR(B188="",N(G188)=0),"",ABS(F188-G188)*E188)</f>
        <v/>
      </c>
      <c r="U188" s="8">
        <f>IF(OR(B188="",P188=""),"",IF(D188="Venda",-1,1)*((N(J188)*N(K188)+N(L188)*N(M188)+N(N188)*N(O188))-(N(J188)+N(L188)+N(N188))*F188)-N(Q188))</f>
        <v/>
      </c>
      <c r="V188" s="9">
        <f>IF(OR(B188="",P188=""),"",U188/S188)</f>
        <v/>
      </c>
      <c r="W188">
        <f>IF(OR(B188="",P188=""),"",NETWORKDAYS(C188,P188)-1)</f>
        <v/>
      </c>
      <c r="X188">
        <f>IF(B188="","",IF(P188="","Aberto","Fechado"))</f>
        <v/>
      </c>
    </row>
    <row r="189">
      <c r="C189" s="6" t="n"/>
      <c r="E189" s="7" t="n"/>
      <c r="F189" s="8" t="n"/>
      <c r="G189" s="8" t="n"/>
      <c r="H189" s="8" t="n"/>
      <c r="J189" s="7" t="n"/>
      <c r="K189" s="8" t="n"/>
      <c r="L189" s="7" t="n"/>
      <c r="M189" s="8" t="n"/>
      <c r="N189" s="7" t="n"/>
      <c r="O189" s="8" t="n"/>
      <c r="P189" s="6" t="n"/>
      <c r="Q189" s="8" t="n"/>
      <c r="S189" s="8">
        <f>IF(B189="","",E189*F189)</f>
        <v/>
      </c>
      <c r="T189" s="8">
        <f>IF(OR(B189="",N(G189)=0),"",ABS(F189-G189)*E189)</f>
        <v/>
      </c>
      <c r="U189" s="8">
        <f>IF(OR(B189="",P189=""),"",IF(D189="Venda",-1,1)*((N(J189)*N(K189)+N(L189)*N(M189)+N(N189)*N(O189))-(N(J189)+N(L189)+N(N189))*F189)-N(Q189))</f>
        <v/>
      </c>
      <c r="V189" s="9">
        <f>IF(OR(B189="",P189=""),"",U189/S189)</f>
        <v/>
      </c>
      <c r="W189">
        <f>IF(OR(B189="",P189=""),"",NETWORKDAYS(C189,P189)-1)</f>
        <v/>
      </c>
      <c r="X189">
        <f>IF(B189="","",IF(P189="","Aberto","Fechado"))</f>
        <v/>
      </c>
    </row>
    <row r="190">
      <c r="C190" s="6" t="n"/>
      <c r="E190" s="7" t="n"/>
      <c r="F190" s="8" t="n"/>
      <c r="G190" s="8" t="n"/>
      <c r="H190" s="8" t="n"/>
      <c r="J190" s="7" t="n"/>
      <c r="K190" s="8" t="n"/>
      <c r="L190" s="7" t="n"/>
      <c r="M190" s="8" t="n"/>
      <c r="N190" s="7" t="n"/>
      <c r="O190" s="8" t="n"/>
      <c r="P190" s="6" t="n"/>
      <c r="Q190" s="8" t="n"/>
      <c r="S190" s="8">
        <f>IF(B190="","",E190*F190)</f>
        <v/>
      </c>
      <c r="T190" s="8">
        <f>IF(OR(B190="",N(G190)=0),"",ABS(F190-G190)*E190)</f>
        <v/>
      </c>
      <c r="U190" s="8">
        <f>IF(OR(B190="",P190=""),"",IF(D190="Venda",-1,1)*((N(J190)*N(K190)+N(L190)*N(M190)+N(N190)*N(O190))-(N(J190)+N(L190)+N(N190))*F190)-N(Q190))</f>
        <v/>
      </c>
      <c r="V190" s="9">
        <f>IF(OR(B190="",P190=""),"",U190/S190)</f>
        <v/>
      </c>
      <c r="W190">
        <f>IF(OR(B190="",P190=""),"",NETWORKDAYS(C190,P190)-1)</f>
        <v/>
      </c>
      <c r="X190">
        <f>IF(B190="","",IF(P190="","Aberto","Fechado"))</f>
        <v/>
      </c>
    </row>
    <row r="191">
      <c r="C191" s="6" t="n"/>
      <c r="E191" s="7" t="n"/>
      <c r="F191" s="8" t="n"/>
      <c r="G191" s="8" t="n"/>
      <c r="H191" s="8" t="n"/>
      <c r="J191" s="7" t="n"/>
      <c r="K191" s="8" t="n"/>
      <c r="L191" s="7" t="n"/>
      <c r="M191" s="8" t="n"/>
      <c r="N191" s="7" t="n"/>
      <c r="O191" s="8" t="n"/>
      <c r="P191" s="6" t="n"/>
      <c r="Q191" s="8" t="n"/>
      <c r="S191" s="8">
        <f>IF(B191="","",E191*F191)</f>
        <v/>
      </c>
      <c r="T191" s="8">
        <f>IF(OR(B191="",N(G191)=0),"",ABS(F191-G191)*E191)</f>
        <v/>
      </c>
      <c r="U191" s="8">
        <f>IF(OR(B191="",P191=""),"",IF(D191="Venda",-1,1)*((N(J191)*N(K191)+N(L191)*N(M191)+N(N191)*N(O191))-(N(J191)+N(L191)+N(N191))*F191)-N(Q191))</f>
        <v/>
      </c>
      <c r="V191" s="9">
        <f>IF(OR(B191="",P191=""),"",U191/S191)</f>
        <v/>
      </c>
      <c r="W191">
        <f>IF(OR(B191="",P191=""),"",NETWORKDAYS(C191,P191)-1)</f>
        <v/>
      </c>
      <c r="X191">
        <f>IF(B191="","",IF(P191="","Aberto","Fechado"))</f>
        <v/>
      </c>
    </row>
    <row r="192">
      <c r="C192" s="6" t="n"/>
      <c r="E192" s="7" t="n"/>
      <c r="F192" s="8" t="n"/>
      <c r="G192" s="8" t="n"/>
      <c r="H192" s="8" t="n"/>
      <c r="J192" s="7" t="n"/>
      <c r="K192" s="8" t="n"/>
      <c r="L192" s="7" t="n"/>
      <c r="M192" s="8" t="n"/>
      <c r="N192" s="7" t="n"/>
      <c r="O192" s="8" t="n"/>
      <c r="P192" s="6" t="n"/>
      <c r="Q192" s="8" t="n"/>
      <c r="S192" s="8">
        <f>IF(B192="","",E192*F192)</f>
        <v/>
      </c>
      <c r="T192" s="8">
        <f>IF(OR(B192="",N(G192)=0),"",ABS(F192-G192)*E192)</f>
        <v/>
      </c>
      <c r="U192" s="8">
        <f>IF(OR(B192="",P192=""),"",IF(D192="Venda",-1,1)*((N(J192)*N(K192)+N(L192)*N(M192)+N(N192)*N(O192))-(N(J192)+N(L192)+N(N192))*F192)-N(Q192))</f>
        <v/>
      </c>
      <c r="V192" s="9">
        <f>IF(OR(B192="",P192=""),"",U192/S192)</f>
        <v/>
      </c>
      <c r="W192">
        <f>IF(OR(B192="",P192=""),"",NETWORKDAYS(C192,P192)-1)</f>
        <v/>
      </c>
      <c r="X192">
        <f>IF(B192="","",IF(P192="","Aberto","Fechado"))</f>
        <v/>
      </c>
    </row>
    <row r="193">
      <c r="C193" s="6" t="n"/>
      <c r="E193" s="7" t="n"/>
      <c r="F193" s="8" t="n"/>
      <c r="G193" s="8" t="n"/>
      <c r="H193" s="8" t="n"/>
      <c r="J193" s="7" t="n"/>
      <c r="K193" s="8" t="n"/>
      <c r="L193" s="7" t="n"/>
      <c r="M193" s="8" t="n"/>
      <c r="N193" s="7" t="n"/>
      <c r="O193" s="8" t="n"/>
      <c r="P193" s="6" t="n"/>
      <c r="Q193" s="8" t="n"/>
      <c r="S193" s="8">
        <f>IF(B193="","",E193*F193)</f>
        <v/>
      </c>
      <c r="T193" s="8">
        <f>IF(OR(B193="",N(G193)=0),"",ABS(F193-G193)*E193)</f>
        <v/>
      </c>
      <c r="U193" s="8">
        <f>IF(OR(B193="",P193=""),"",IF(D193="Venda",-1,1)*((N(J193)*N(K193)+N(L193)*N(M193)+N(N193)*N(O193))-(N(J193)+N(L193)+N(N193))*F193)-N(Q193))</f>
        <v/>
      </c>
      <c r="V193" s="9">
        <f>IF(OR(B193="",P193=""),"",U193/S193)</f>
        <v/>
      </c>
      <c r="W193">
        <f>IF(OR(B193="",P193=""),"",NETWORKDAYS(C193,P193)-1)</f>
        <v/>
      </c>
      <c r="X193">
        <f>IF(B193="","",IF(P193="","Aberto","Fechado"))</f>
        <v/>
      </c>
    </row>
    <row r="194">
      <c r="C194" s="6" t="n"/>
      <c r="E194" s="7" t="n"/>
      <c r="F194" s="8" t="n"/>
      <c r="G194" s="8" t="n"/>
      <c r="H194" s="8" t="n"/>
      <c r="J194" s="7" t="n"/>
      <c r="K194" s="8" t="n"/>
      <c r="L194" s="7" t="n"/>
      <c r="M194" s="8" t="n"/>
      <c r="N194" s="7" t="n"/>
      <c r="O194" s="8" t="n"/>
      <c r="P194" s="6" t="n"/>
      <c r="Q194" s="8" t="n"/>
      <c r="S194" s="8">
        <f>IF(B194="","",E194*F194)</f>
        <v/>
      </c>
      <c r="T194" s="8">
        <f>IF(OR(B194="",N(G194)=0),"",ABS(F194-G194)*E194)</f>
        <v/>
      </c>
      <c r="U194" s="8">
        <f>IF(OR(B194="",P194=""),"",IF(D194="Venda",-1,1)*((N(J194)*N(K194)+N(L194)*N(M194)+N(N194)*N(O194))-(N(J194)+N(L194)+N(N194))*F194)-N(Q194))</f>
        <v/>
      </c>
      <c r="V194" s="9">
        <f>IF(OR(B194="",P194=""),"",U194/S194)</f>
        <v/>
      </c>
      <c r="W194">
        <f>IF(OR(B194="",P194=""),"",NETWORKDAYS(C194,P194)-1)</f>
        <v/>
      </c>
      <c r="X194">
        <f>IF(B194="","",IF(P194="","Aberto","Fechado"))</f>
        <v/>
      </c>
    </row>
    <row r="195">
      <c r="C195" s="6" t="n"/>
      <c r="E195" s="7" t="n"/>
      <c r="F195" s="8" t="n"/>
      <c r="G195" s="8" t="n"/>
      <c r="H195" s="8" t="n"/>
      <c r="J195" s="7" t="n"/>
      <c r="K195" s="8" t="n"/>
      <c r="L195" s="7" t="n"/>
      <c r="M195" s="8" t="n"/>
      <c r="N195" s="7" t="n"/>
      <c r="O195" s="8" t="n"/>
      <c r="P195" s="6" t="n"/>
      <c r="Q195" s="8" t="n"/>
      <c r="S195" s="8">
        <f>IF(B195="","",E195*F195)</f>
        <v/>
      </c>
      <c r="T195" s="8">
        <f>IF(OR(B195="",N(G195)=0),"",ABS(F195-G195)*E195)</f>
        <v/>
      </c>
      <c r="U195" s="8">
        <f>IF(OR(B195="",P195=""),"",IF(D195="Venda",-1,1)*((N(J195)*N(K195)+N(L195)*N(M195)+N(N195)*N(O195))-(N(J195)+N(L195)+N(N195))*F195)-N(Q195))</f>
        <v/>
      </c>
      <c r="V195" s="9">
        <f>IF(OR(B195="",P195=""),"",U195/S195)</f>
        <v/>
      </c>
      <c r="W195">
        <f>IF(OR(B195="",P195=""),"",NETWORKDAYS(C195,P195)-1)</f>
        <v/>
      </c>
      <c r="X195">
        <f>IF(B195="","",IF(P195="","Aberto","Fechado"))</f>
        <v/>
      </c>
    </row>
    <row r="196">
      <c r="C196" s="6" t="n"/>
      <c r="E196" s="7" t="n"/>
      <c r="F196" s="8" t="n"/>
      <c r="G196" s="8" t="n"/>
      <c r="H196" s="8" t="n"/>
      <c r="J196" s="7" t="n"/>
      <c r="K196" s="8" t="n"/>
      <c r="L196" s="7" t="n"/>
      <c r="M196" s="8" t="n"/>
      <c r="N196" s="7" t="n"/>
      <c r="O196" s="8" t="n"/>
      <c r="P196" s="6" t="n"/>
      <c r="Q196" s="8" t="n"/>
      <c r="S196" s="8">
        <f>IF(B196="","",E196*F196)</f>
        <v/>
      </c>
      <c r="T196" s="8">
        <f>IF(OR(B196="",N(G196)=0),"",ABS(F196-G196)*E196)</f>
        <v/>
      </c>
      <c r="U196" s="8">
        <f>IF(OR(B196="",P196=""),"",IF(D196="Venda",-1,1)*((N(J196)*N(K196)+N(L196)*N(M196)+N(N196)*N(O196))-(N(J196)+N(L196)+N(N196))*F196)-N(Q196))</f>
        <v/>
      </c>
      <c r="V196" s="9">
        <f>IF(OR(B196="",P196=""),"",U196/S196)</f>
        <v/>
      </c>
      <c r="W196">
        <f>IF(OR(B196="",P196=""),"",NETWORKDAYS(C196,P196)-1)</f>
        <v/>
      </c>
      <c r="X196">
        <f>IF(B196="","",IF(P196="","Aberto","Fechado"))</f>
        <v/>
      </c>
    </row>
    <row r="197">
      <c r="C197" s="6" t="n"/>
      <c r="E197" s="7" t="n"/>
      <c r="F197" s="8" t="n"/>
      <c r="G197" s="8" t="n"/>
      <c r="H197" s="8" t="n"/>
      <c r="J197" s="7" t="n"/>
      <c r="K197" s="8" t="n"/>
      <c r="L197" s="7" t="n"/>
      <c r="M197" s="8" t="n"/>
      <c r="N197" s="7" t="n"/>
      <c r="O197" s="8" t="n"/>
      <c r="P197" s="6" t="n"/>
      <c r="Q197" s="8" t="n"/>
      <c r="S197" s="8">
        <f>IF(B197="","",E197*F197)</f>
        <v/>
      </c>
      <c r="T197" s="8">
        <f>IF(OR(B197="",N(G197)=0),"",ABS(F197-G197)*E197)</f>
        <v/>
      </c>
      <c r="U197" s="8">
        <f>IF(OR(B197="",P197=""),"",IF(D197="Venda",-1,1)*((N(J197)*N(K197)+N(L197)*N(M197)+N(N197)*N(O197))-(N(J197)+N(L197)+N(N197))*F197)-N(Q197))</f>
        <v/>
      </c>
      <c r="V197" s="9">
        <f>IF(OR(B197="",P197=""),"",U197/S197)</f>
        <v/>
      </c>
      <c r="W197">
        <f>IF(OR(B197="",P197=""),"",NETWORKDAYS(C197,P197)-1)</f>
        <v/>
      </c>
      <c r="X197">
        <f>IF(B197="","",IF(P197="","Aberto","Fechado"))</f>
        <v/>
      </c>
    </row>
    <row r="198">
      <c r="C198" s="6" t="n"/>
      <c r="E198" s="7" t="n"/>
      <c r="F198" s="8" t="n"/>
      <c r="G198" s="8" t="n"/>
      <c r="H198" s="8" t="n"/>
      <c r="J198" s="7" t="n"/>
      <c r="K198" s="8" t="n"/>
      <c r="L198" s="7" t="n"/>
      <c r="M198" s="8" t="n"/>
      <c r="N198" s="7" t="n"/>
      <c r="O198" s="8" t="n"/>
      <c r="P198" s="6" t="n"/>
      <c r="Q198" s="8" t="n"/>
      <c r="S198" s="8">
        <f>IF(B198="","",E198*F198)</f>
        <v/>
      </c>
      <c r="T198" s="8">
        <f>IF(OR(B198="",N(G198)=0),"",ABS(F198-G198)*E198)</f>
        <v/>
      </c>
      <c r="U198" s="8">
        <f>IF(OR(B198="",P198=""),"",IF(D198="Venda",-1,1)*((N(J198)*N(K198)+N(L198)*N(M198)+N(N198)*N(O198))-(N(J198)+N(L198)+N(N198))*F198)-N(Q198))</f>
        <v/>
      </c>
      <c r="V198" s="9">
        <f>IF(OR(B198="",P198=""),"",U198/S198)</f>
        <v/>
      </c>
      <c r="W198">
        <f>IF(OR(B198="",P198=""),"",NETWORKDAYS(C198,P198)-1)</f>
        <v/>
      </c>
      <c r="X198">
        <f>IF(B198="","",IF(P198="","Aberto","Fechado"))</f>
        <v/>
      </c>
    </row>
    <row r="199">
      <c r="C199" s="6" t="n"/>
      <c r="E199" s="7" t="n"/>
      <c r="F199" s="8" t="n"/>
      <c r="G199" s="8" t="n"/>
      <c r="H199" s="8" t="n"/>
      <c r="J199" s="7" t="n"/>
      <c r="K199" s="8" t="n"/>
      <c r="L199" s="7" t="n"/>
      <c r="M199" s="8" t="n"/>
      <c r="N199" s="7" t="n"/>
      <c r="O199" s="8" t="n"/>
      <c r="P199" s="6" t="n"/>
      <c r="Q199" s="8" t="n"/>
      <c r="S199" s="8">
        <f>IF(B199="","",E199*F199)</f>
        <v/>
      </c>
      <c r="T199" s="8">
        <f>IF(OR(B199="",N(G199)=0),"",ABS(F199-G199)*E199)</f>
        <v/>
      </c>
      <c r="U199" s="8">
        <f>IF(OR(B199="",P199=""),"",IF(D199="Venda",-1,1)*((N(J199)*N(K199)+N(L199)*N(M199)+N(N199)*N(O199))-(N(J199)+N(L199)+N(N199))*F199)-N(Q199))</f>
        <v/>
      </c>
      <c r="V199" s="9">
        <f>IF(OR(B199="",P199=""),"",U199/S199)</f>
        <v/>
      </c>
      <c r="W199">
        <f>IF(OR(B199="",P199=""),"",NETWORKDAYS(C199,P199)-1)</f>
        <v/>
      </c>
      <c r="X199">
        <f>IF(B199="","",IF(P199="","Aberto","Fechado"))</f>
        <v/>
      </c>
    </row>
    <row r="200">
      <c r="C200" s="6" t="n"/>
      <c r="E200" s="7" t="n"/>
      <c r="F200" s="8" t="n"/>
      <c r="G200" s="8" t="n"/>
      <c r="H200" s="8" t="n"/>
      <c r="J200" s="7" t="n"/>
      <c r="K200" s="8" t="n"/>
      <c r="L200" s="7" t="n"/>
      <c r="M200" s="8" t="n"/>
      <c r="N200" s="7" t="n"/>
      <c r="O200" s="8" t="n"/>
      <c r="P200" s="6" t="n"/>
      <c r="Q200" s="8" t="n"/>
      <c r="S200" s="8">
        <f>IF(B200="","",E200*F200)</f>
        <v/>
      </c>
      <c r="T200" s="8">
        <f>IF(OR(B200="",N(G200)=0),"",ABS(F200-G200)*E200)</f>
        <v/>
      </c>
      <c r="U200" s="8">
        <f>IF(OR(B200="",P200=""),"",IF(D200="Venda",-1,1)*((N(J200)*N(K200)+N(L200)*N(M200)+N(N200)*N(O200))-(N(J200)+N(L200)+N(N200))*F200)-N(Q200))</f>
        <v/>
      </c>
      <c r="V200" s="9">
        <f>IF(OR(B200="",P200=""),"",U200/S200)</f>
        <v/>
      </c>
      <c r="W200">
        <f>IF(OR(B200="",P200=""),"",NETWORKDAYS(C200,P200)-1)</f>
        <v/>
      </c>
      <c r="X200">
        <f>IF(B200="","",IF(P200="","Aberto","Fechado"))</f>
        <v/>
      </c>
    </row>
    <row r="201">
      <c r="C201" s="6" t="n"/>
      <c r="E201" s="7" t="n"/>
      <c r="F201" s="8" t="n"/>
      <c r="G201" s="8" t="n"/>
      <c r="H201" s="8" t="n"/>
      <c r="J201" s="7" t="n"/>
      <c r="K201" s="8" t="n"/>
      <c r="L201" s="7" t="n"/>
      <c r="M201" s="8" t="n"/>
      <c r="N201" s="7" t="n"/>
      <c r="O201" s="8" t="n"/>
      <c r="P201" s="6" t="n"/>
      <c r="Q201" s="8" t="n"/>
      <c r="S201" s="8">
        <f>IF(B201="","",E201*F201)</f>
        <v/>
      </c>
      <c r="T201" s="8">
        <f>IF(OR(B201="",N(G201)=0),"",ABS(F201-G201)*E201)</f>
        <v/>
      </c>
      <c r="U201" s="8">
        <f>IF(OR(B201="",P201=""),"",IF(D201="Venda",-1,1)*((N(J201)*N(K201)+N(L201)*N(M201)+N(N201)*N(O201))-(N(J201)+N(L201)+N(N201))*F201)-N(Q201))</f>
        <v/>
      </c>
      <c r="V201" s="9">
        <f>IF(OR(B201="",P201=""),"",U201/S201)</f>
        <v/>
      </c>
      <c r="W201">
        <f>IF(OR(B201="",P201=""),"",NETWORKDAYS(C201,P201)-1)</f>
        <v/>
      </c>
      <c r="X201">
        <f>IF(B201="","",IF(P201="","Aberto","Fechado"))</f>
        <v/>
      </c>
    </row>
    <row r="202">
      <c r="C202" s="6" t="n"/>
      <c r="E202" s="7" t="n"/>
      <c r="F202" s="8" t="n"/>
      <c r="G202" s="8" t="n"/>
      <c r="H202" s="8" t="n"/>
      <c r="J202" s="7" t="n"/>
      <c r="K202" s="8" t="n"/>
      <c r="L202" s="7" t="n"/>
      <c r="M202" s="8" t="n"/>
      <c r="N202" s="7" t="n"/>
      <c r="O202" s="8" t="n"/>
      <c r="P202" s="6" t="n"/>
      <c r="Q202" s="8" t="n"/>
      <c r="S202" s="8">
        <f>IF(B202="","",E202*F202)</f>
        <v/>
      </c>
      <c r="T202" s="8">
        <f>IF(OR(B202="",N(G202)=0),"",ABS(F202-G202)*E202)</f>
        <v/>
      </c>
      <c r="U202" s="8">
        <f>IF(OR(B202="",P202=""),"",IF(D202="Venda",-1,1)*((N(J202)*N(K202)+N(L202)*N(M202)+N(N202)*N(O202))-(N(J202)+N(L202)+N(N202))*F202)-N(Q202))</f>
        <v/>
      </c>
      <c r="V202" s="9">
        <f>IF(OR(B202="",P202=""),"",U202/S202)</f>
        <v/>
      </c>
      <c r="W202">
        <f>IF(OR(B202="",P202=""),"",NETWORKDAYS(C202,P202)-1)</f>
        <v/>
      </c>
      <c r="X202">
        <f>IF(B202="","",IF(P202="","Aberto","Fechado"))</f>
        <v/>
      </c>
    </row>
    <row r="203">
      <c r="C203" s="6" t="n"/>
      <c r="E203" s="7" t="n"/>
      <c r="F203" s="8" t="n"/>
      <c r="G203" s="8" t="n"/>
      <c r="H203" s="8" t="n"/>
      <c r="J203" s="7" t="n"/>
      <c r="K203" s="8" t="n"/>
      <c r="L203" s="7" t="n"/>
      <c r="M203" s="8" t="n"/>
      <c r="N203" s="7" t="n"/>
      <c r="O203" s="8" t="n"/>
      <c r="P203" s="6" t="n"/>
      <c r="Q203" s="8" t="n"/>
      <c r="S203" s="8">
        <f>IF(B203="","",E203*F203)</f>
        <v/>
      </c>
      <c r="T203" s="8">
        <f>IF(OR(B203="",N(G203)=0),"",ABS(F203-G203)*E203)</f>
        <v/>
      </c>
      <c r="U203" s="8">
        <f>IF(OR(B203="",P203=""),"",IF(D203="Venda",-1,1)*((N(J203)*N(K203)+N(L203)*N(M203)+N(N203)*N(O203))-(N(J203)+N(L203)+N(N203))*F203)-N(Q203))</f>
        <v/>
      </c>
      <c r="V203" s="9">
        <f>IF(OR(B203="",P203=""),"",U203/S203)</f>
        <v/>
      </c>
      <c r="W203">
        <f>IF(OR(B203="",P203=""),"",NETWORKDAYS(C203,P203)-1)</f>
        <v/>
      </c>
      <c r="X203">
        <f>IF(B203="","",IF(P203="","Aberto","Fechado"))</f>
        <v/>
      </c>
    </row>
    <row r="204">
      <c r="C204" s="6" t="n"/>
      <c r="E204" s="7" t="n"/>
      <c r="F204" s="8" t="n"/>
      <c r="G204" s="8" t="n"/>
      <c r="H204" s="8" t="n"/>
      <c r="J204" s="7" t="n"/>
      <c r="K204" s="8" t="n"/>
      <c r="L204" s="7" t="n"/>
      <c r="M204" s="8" t="n"/>
      <c r="N204" s="7" t="n"/>
      <c r="O204" s="8" t="n"/>
      <c r="P204" s="6" t="n"/>
      <c r="Q204" s="8" t="n"/>
      <c r="S204" s="8">
        <f>IF(B204="","",E204*F204)</f>
        <v/>
      </c>
      <c r="T204" s="8">
        <f>IF(OR(B204="",N(G204)=0),"",ABS(F204-G204)*E204)</f>
        <v/>
      </c>
      <c r="U204" s="8">
        <f>IF(OR(B204="",P204=""),"",IF(D204="Venda",-1,1)*((N(J204)*N(K204)+N(L204)*N(M204)+N(N204)*N(O204))-(N(J204)+N(L204)+N(N204))*F204)-N(Q204))</f>
        <v/>
      </c>
      <c r="V204" s="9">
        <f>IF(OR(B204="",P204=""),"",U204/S204)</f>
        <v/>
      </c>
      <c r="W204">
        <f>IF(OR(B204="",P204=""),"",NETWORKDAYS(C204,P204)-1)</f>
        <v/>
      </c>
      <c r="X204">
        <f>IF(B204="","",IF(P204="","Aberto","Fechado"))</f>
        <v/>
      </c>
    </row>
    <row r="205">
      <c r="C205" s="6" t="n"/>
      <c r="E205" s="7" t="n"/>
      <c r="F205" s="8" t="n"/>
      <c r="G205" s="8" t="n"/>
      <c r="H205" s="8" t="n"/>
      <c r="J205" s="7" t="n"/>
      <c r="K205" s="8" t="n"/>
      <c r="L205" s="7" t="n"/>
      <c r="M205" s="8" t="n"/>
      <c r="N205" s="7" t="n"/>
      <c r="O205" s="8" t="n"/>
      <c r="P205" s="6" t="n"/>
      <c r="Q205" s="8" t="n"/>
      <c r="S205" s="8">
        <f>IF(B205="","",E205*F205)</f>
        <v/>
      </c>
      <c r="T205" s="8">
        <f>IF(OR(B205="",N(G205)=0),"",ABS(F205-G205)*E205)</f>
        <v/>
      </c>
      <c r="U205" s="8">
        <f>IF(OR(B205="",P205=""),"",IF(D205="Venda",-1,1)*((N(J205)*N(K205)+N(L205)*N(M205)+N(N205)*N(O205))-(N(J205)+N(L205)+N(N205))*F205)-N(Q205))</f>
        <v/>
      </c>
      <c r="V205" s="9">
        <f>IF(OR(B205="",P205=""),"",U205/S205)</f>
        <v/>
      </c>
      <c r="W205">
        <f>IF(OR(B205="",P205=""),"",NETWORKDAYS(C205,P205)-1)</f>
        <v/>
      </c>
      <c r="X205">
        <f>IF(B205="","",IF(P205="","Aberto","Fechado"))</f>
        <v/>
      </c>
    </row>
    <row r="206">
      <c r="C206" s="6" t="n"/>
      <c r="E206" s="7" t="n"/>
      <c r="F206" s="8" t="n"/>
      <c r="G206" s="8" t="n"/>
      <c r="H206" s="8" t="n"/>
      <c r="J206" s="7" t="n"/>
      <c r="K206" s="8" t="n"/>
      <c r="L206" s="7" t="n"/>
      <c r="M206" s="8" t="n"/>
      <c r="N206" s="7" t="n"/>
      <c r="O206" s="8" t="n"/>
      <c r="P206" s="6" t="n"/>
      <c r="Q206" s="8" t="n"/>
      <c r="S206" s="8">
        <f>IF(B206="","",E206*F206)</f>
        <v/>
      </c>
      <c r="T206" s="8">
        <f>IF(OR(B206="",N(G206)=0),"",ABS(F206-G206)*E206)</f>
        <v/>
      </c>
      <c r="U206" s="8">
        <f>IF(OR(B206="",P206=""),"",IF(D206="Venda",-1,1)*((N(J206)*N(K206)+N(L206)*N(M206)+N(N206)*N(O206))-(N(J206)+N(L206)+N(N206))*F206)-N(Q206))</f>
        <v/>
      </c>
      <c r="V206" s="9">
        <f>IF(OR(B206="",P206=""),"",U206/S206)</f>
        <v/>
      </c>
      <c r="W206">
        <f>IF(OR(B206="",P206=""),"",NETWORKDAYS(C206,P206)-1)</f>
        <v/>
      </c>
      <c r="X206">
        <f>IF(B206="","",IF(P206="","Aberto","Fechado"))</f>
        <v/>
      </c>
    </row>
    <row r="207">
      <c r="C207" s="6" t="n"/>
      <c r="E207" s="7" t="n"/>
      <c r="F207" s="8" t="n"/>
      <c r="G207" s="8" t="n"/>
      <c r="H207" s="8" t="n"/>
      <c r="J207" s="7" t="n"/>
      <c r="K207" s="8" t="n"/>
      <c r="L207" s="7" t="n"/>
      <c r="M207" s="8" t="n"/>
      <c r="N207" s="7" t="n"/>
      <c r="O207" s="8" t="n"/>
      <c r="P207" s="6" t="n"/>
      <c r="Q207" s="8" t="n"/>
      <c r="S207" s="8">
        <f>IF(B207="","",E207*F207)</f>
        <v/>
      </c>
      <c r="T207" s="8">
        <f>IF(OR(B207="",N(G207)=0),"",ABS(F207-G207)*E207)</f>
        <v/>
      </c>
      <c r="U207" s="8">
        <f>IF(OR(B207="",P207=""),"",IF(D207="Venda",-1,1)*((N(J207)*N(K207)+N(L207)*N(M207)+N(N207)*N(O207))-(N(J207)+N(L207)+N(N207))*F207)-N(Q207))</f>
        <v/>
      </c>
      <c r="V207" s="9">
        <f>IF(OR(B207="",P207=""),"",U207/S207)</f>
        <v/>
      </c>
      <c r="W207">
        <f>IF(OR(B207="",P207=""),"",NETWORKDAYS(C207,P207)-1)</f>
        <v/>
      </c>
      <c r="X207">
        <f>IF(B207="","",IF(P207="","Aberto","Fechado"))</f>
        <v/>
      </c>
    </row>
    <row r="208">
      <c r="C208" s="6" t="n"/>
      <c r="E208" s="7" t="n"/>
      <c r="F208" s="8" t="n"/>
      <c r="G208" s="8" t="n"/>
      <c r="H208" s="8" t="n"/>
      <c r="J208" s="7" t="n"/>
      <c r="K208" s="8" t="n"/>
      <c r="L208" s="7" t="n"/>
      <c r="M208" s="8" t="n"/>
      <c r="N208" s="7" t="n"/>
      <c r="O208" s="8" t="n"/>
      <c r="P208" s="6" t="n"/>
      <c r="Q208" s="8" t="n"/>
      <c r="S208" s="8">
        <f>IF(B208="","",E208*F208)</f>
        <v/>
      </c>
      <c r="T208" s="8">
        <f>IF(OR(B208="",N(G208)=0),"",ABS(F208-G208)*E208)</f>
        <v/>
      </c>
      <c r="U208" s="8">
        <f>IF(OR(B208="",P208=""),"",IF(D208="Venda",-1,1)*((N(J208)*N(K208)+N(L208)*N(M208)+N(N208)*N(O208))-(N(J208)+N(L208)+N(N208))*F208)-N(Q208))</f>
        <v/>
      </c>
      <c r="V208" s="9">
        <f>IF(OR(B208="",P208=""),"",U208/S208)</f>
        <v/>
      </c>
      <c r="W208">
        <f>IF(OR(B208="",P208=""),"",NETWORKDAYS(C208,P208)-1)</f>
        <v/>
      </c>
      <c r="X208">
        <f>IF(B208="","",IF(P208="","Aberto","Fechado"))</f>
        <v/>
      </c>
    </row>
    <row r="209">
      <c r="C209" s="6" t="n"/>
      <c r="E209" s="7" t="n"/>
      <c r="F209" s="8" t="n"/>
      <c r="G209" s="8" t="n"/>
      <c r="H209" s="8" t="n"/>
      <c r="J209" s="7" t="n"/>
      <c r="K209" s="8" t="n"/>
      <c r="L209" s="7" t="n"/>
      <c r="M209" s="8" t="n"/>
      <c r="N209" s="7" t="n"/>
      <c r="O209" s="8" t="n"/>
      <c r="P209" s="6" t="n"/>
      <c r="Q209" s="8" t="n"/>
      <c r="S209" s="8">
        <f>IF(B209="","",E209*F209)</f>
        <v/>
      </c>
      <c r="T209" s="8">
        <f>IF(OR(B209="",N(G209)=0),"",ABS(F209-G209)*E209)</f>
        <v/>
      </c>
      <c r="U209" s="8">
        <f>IF(OR(B209="",P209=""),"",IF(D209="Venda",-1,1)*((N(J209)*N(K209)+N(L209)*N(M209)+N(N209)*N(O209))-(N(J209)+N(L209)+N(N209))*F209)-N(Q209))</f>
        <v/>
      </c>
      <c r="V209" s="9">
        <f>IF(OR(B209="",P209=""),"",U209/S209)</f>
        <v/>
      </c>
      <c r="W209">
        <f>IF(OR(B209="",P209=""),"",NETWORKDAYS(C209,P209)-1)</f>
        <v/>
      </c>
      <c r="X209">
        <f>IF(B209="","",IF(P209="","Aberto","Fechado"))</f>
        <v/>
      </c>
    </row>
    <row r="210">
      <c r="C210" s="6" t="n"/>
      <c r="E210" s="7" t="n"/>
      <c r="F210" s="8" t="n"/>
      <c r="G210" s="8" t="n"/>
      <c r="H210" s="8" t="n"/>
      <c r="J210" s="7" t="n"/>
      <c r="K210" s="8" t="n"/>
      <c r="L210" s="7" t="n"/>
      <c r="M210" s="8" t="n"/>
      <c r="N210" s="7" t="n"/>
      <c r="O210" s="8" t="n"/>
      <c r="P210" s="6" t="n"/>
      <c r="Q210" s="8" t="n"/>
      <c r="S210" s="8">
        <f>IF(B210="","",E210*F210)</f>
        <v/>
      </c>
      <c r="T210" s="8">
        <f>IF(OR(B210="",N(G210)=0),"",ABS(F210-G210)*E210)</f>
        <v/>
      </c>
      <c r="U210" s="8">
        <f>IF(OR(B210="",P210=""),"",IF(D210="Venda",-1,1)*((N(J210)*N(K210)+N(L210)*N(M210)+N(N210)*N(O210))-(N(J210)+N(L210)+N(N210))*F210)-N(Q210))</f>
        <v/>
      </c>
      <c r="V210" s="9">
        <f>IF(OR(B210="",P210=""),"",U210/S210)</f>
        <v/>
      </c>
      <c r="W210">
        <f>IF(OR(B210="",P210=""),"",NETWORKDAYS(C210,P210)-1)</f>
        <v/>
      </c>
      <c r="X210">
        <f>IF(B210="","",IF(P210="","Aberto","Fechado"))</f>
        <v/>
      </c>
    </row>
    <row r="211">
      <c r="C211" s="6" t="n"/>
      <c r="E211" s="7" t="n"/>
      <c r="F211" s="8" t="n"/>
      <c r="G211" s="8" t="n"/>
      <c r="H211" s="8" t="n"/>
      <c r="J211" s="7" t="n"/>
      <c r="K211" s="8" t="n"/>
      <c r="L211" s="7" t="n"/>
      <c r="M211" s="8" t="n"/>
      <c r="N211" s="7" t="n"/>
      <c r="O211" s="8" t="n"/>
      <c r="P211" s="6" t="n"/>
      <c r="Q211" s="8" t="n"/>
      <c r="S211" s="8">
        <f>IF(B211="","",E211*F211)</f>
        <v/>
      </c>
      <c r="T211" s="8">
        <f>IF(OR(B211="",N(G211)=0),"",ABS(F211-G211)*E211)</f>
        <v/>
      </c>
      <c r="U211" s="8">
        <f>IF(OR(B211="",P211=""),"",IF(D211="Venda",-1,1)*((N(J211)*N(K211)+N(L211)*N(M211)+N(N211)*N(O211))-(N(J211)+N(L211)+N(N211))*F211)-N(Q211))</f>
        <v/>
      </c>
      <c r="V211" s="9">
        <f>IF(OR(B211="",P211=""),"",U211/S211)</f>
        <v/>
      </c>
      <c r="W211">
        <f>IF(OR(B211="",P211=""),"",NETWORKDAYS(C211,P211)-1)</f>
        <v/>
      </c>
      <c r="X211">
        <f>IF(B211="","",IF(P211="","Aberto","Fechado"))</f>
        <v/>
      </c>
    </row>
    <row r="212">
      <c r="C212" s="6" t="n"/>
      <c r="E212" s="7" t="n"/>
      <c r="F212" s="8" t="n"/>
      <c r="G212" s="8" t="n"/>
      <c r="H212" s="8" t="n"/>
      <c r="J212" s="7" t="n"/>
      <c r="K212" s="8" t="n"/>
      <c r="L212" s="7" t="n"/>
      <c r="M212" s="8" t="n"/>
      <c r="N212" s="7" t="n"/>
      <c r="O212" s="8" t="n"/>
      <c r="P212" s="6" t="n"/>
      <c r="Q212" s="8" t="n"/>
      <c r="S212" s="8">
        <f>IF(B212="","",E212*F212)</f>
        <v/>
      </c>
      <c r="T212" s="8">
        <f>IF(OR(B212="",N(G212)=0),"",ABS(F212-G212)*E212)</f>
        <v/>
      </c>
      <c r="U212" s="8">
        <f>IF(OR(B212="",P212=""),"",IF(D212="Venda",-1,1)*((N(J212)*N(K212)+N(L212)*N(M212)+N(N212)*N(O212))-(N(J212)+N(L212)+N(N212))*F212)-N(Q212))</f>
        <v/>
      </c>
      <c r="V212" s="9">
        <f>IF(OR(B212="",P212=""),"",U212/S212)</f>
        <v/>
      </c>
      <c r="W212">
        <f>IF(OR(B212="",P212=""),"",NETWORKDAYS(C212,P212)-1)</f>
        <v/>
      </c>
      <c r="X212">
        <f>IF(B212="","",IF(P212="","Aberto","Fechado"))</f>
        <v/>
      </c>
    </row>
    <row r="213">
      <c r="C213" s="6" t="n"/>
      <c r="E213" s="7" t="n"/>
      <c r="F213" s="8" t="n"/>
      <c r="G213" s="8" t="n"/>
      <c r="H213" s="8" t="n"/>
      <c r="J213" s="7" t="n"/>
      <c r="K213" s="8" t="n"/>
      <c r="L213" s="7" t="n"/>
      <c r="M213" s="8" t="n"/>
      <c r="N213" s="7" t="n"/>
      <c r="O213" s="8" t="n"/>
      <c r="P213" s="6" t="n"/>
      <c r="Q213" s="8" t="n"/>
      <c r="S213" s="8">
        <f>IF(B213="","",E213*F213)</f>
        <v/>
      </c>
      <c r="T213" s="8">
        <f>IF(OR(B213="",N(G213)=0),"",ABS(F213-G213)*E213)</f>
        <v/>
      </c>
      <c r="U213" s="8">
        <f>IF(OR(B213="",P213=""),"",IF(D213="Venda",-1,1)*((N(J213)*N(K213)+N(L213)*N(M213)+N(N213)*N(O213))-(N(J213)+N(L213)+N(N213))*F213)-N(Q213))</f>
        <v/>
      </c>
      <c r="V213" s="9">
        <f>IF(OR(B213="",P213=""),"",U213/S213)</f>
        <v/>
      </c>
      <c r="W213">
        <f>IF(OR(B213="",P213=""),"",NETWORKDAYS(C213,P213)-1)</f>
        <v/>
      </c>
      <c r="X213">
        <f>IF(B213="","",IF(P213="","Aberto","Fechado"))</f>
        <v/>
      </c>
    </row>
    <row r="214">
      <c r="C214" s="6" t="n"/>
      <c r="E214" s="7" t="n"/>
      <c r="F214" s="8" t="n"/>
      <c r="G214" s="8" t="n"/>
      <c r="H214" s="8" t="n"/>
      <c r="J214" s="7" t="n"/>
      <c r="K214" s="8" t="n"/>
      <c r="L214" s="7" t="n"/>
      <c r="M214" s="8" t="n"/>
      <c r="N214" s="7" t="n"/>
      <c r="O214" s="8" t="n"/>
      <c r="P214" s="6" t="n"/>
      <c r="Q214" s="8" t="n"/>
      <c r="S214" s="8">
        <f>IF(B214="","",E214*F214)</f>
        <v/>
      </c>
      <c r="T214" s="8">
        <f>IF(OR(B214="",N(G214)=0),"",ABS(F214-G214)*E214)</f>
        <v/>
      </c>
      <c r="U214" s="8">
        <f>IF(OR(B214="",P214=""),"",IF(D214="Venda",-1,1)*((N(J214)*N(K214)+N(L214)*N(M214)+N(N214)*N(O214))-(N(J214)+N(L214)+N(N214))*F214)-N(Q214))</f>
        <v/>
      </c>
      <c r="V214" s="9">
        <f>IF(OR(B214="",P214=""),"",U214/S214)</f>
        <v/>
      </c>
      <c r="W214">
        <f>IF(OR(B214="",P214=""),"",NETWORKDAYS(C214,P214)-1)</f>
        <v/>
      </c>
      <c r="X214">
        <f>IF(B214="","",IF(P214="","Aberto","Fechado"))</f>
        <v/>
      </c>
    </row>
    <row r="215">
      <c r="C215" s="6" t="n"/>
      <c r="E215" s="7" t="n"/>
      <c r="F215" s="8" t="n"/>
      <c r="G215" s="8" t="n"/>
      <c r="H215" s="8" t="n"/>
      <c r="J215" s="7" t="n"/>
      <c r="K215" s="8" t="n"/>
      <c r="L215" s="7" t="n"/>
      <c r="M215" s="8" t="n"/>
      <c r="N215" s="7" t="n"/>
      <c r="O215" s="8" t="n"/>
      <c r="P215" s="6" t="n"/>
      <c r="Q215" s="8" t="n"/>
      <c r="S215" s="8">
        <f>IF(B215="","",E215*F215)</f>
        <v/>
      </c>
      <c r="T215" s="8">
        <f>IF(OR(B215="",N(G215)=0),"",ABS(F215-G215)*E215)</f>
        <v/>
      </c>
      <c r="U215" s="8">
        <f>IF(OR(B215="",P215=""),"",IF(D215="Venda",-1,1)*((N(J215)*N(K215)+N(L215)*N(M215)+N(N215)*N(O215))-(N(J215)+N(L215)+N(N215))*F215)-N(Q215))</f>
        <v/>
      </c>
      <c r="V215" s="9">
        <f>IF(OR(B215="",P215=""),"",U215/S215)</f>
        <v/>
      </c>
      <c r="W215">
        <f>IF(OR(B215="",P215=""),"",NETWORKDAYS(C215,P215)-1)</f>
        <v/>
      </c>
      <c r="X215">
        <f>IF(B215="","",IF(P215="","Aberto","Fechado"))</f>
        <v/>
      </c>
    </row>
    <row r="216">
      <c r="C216" s="6" t="n"/>
      <c r="E216" s="7" t="n"/>
      <c r="F216" s="8" t="n"/>
      <c r="G216" s="8" t="n"/>
      <c r="H216" s="8" t="n"/>
      <c r="J216" s="7" t="n"/>
      <c r="K216" s="8" t="n"/>
      <c r="L216" s="7" t="n"/>
      <c r="M216" s="8" t="n"/>
      <c r="N216" s="7" t="n"/>
      <c r="O216" s="8" t="n"/>
      <c r="P216" s="6" t="n"/>
      <c r="Q216" s="8" t="n"/>
      <c r="S216" s="8">
        <f>IF(B216="","",E216*F216)</f>
        <v/>
      </c>
      <c r="T216" s="8">
        <f>IF(OR(B216="",N(G216)=0),"",ABS(F216-G216)*E216)</f>
        <v/>
      </c>
      <c r="U216" s="8">
        <f>IF(OR(B216="",P216=""),"",IF(D216="Venda",-1,1)*((N(J216)*N(K216)+N(L216)*N(M216)+N(N216)*N(O216))-(N(J216)+N(L216)+N(N216))*F216)-N(Q216))</f>
        <v/>
      </c>
      <c r="V216" s="9">
        <f>IF(OR(B216="",P216=""),"",U216/S216)</f>
        <v/>
      </c>
      <c r="W216">
        <f>IF(OR(B216="",P216=""),"",NETWORKDAYS(C216,P216)-1)</f>
        <v/>
      </c>
      <c r="X216">
        <f>IF(B216="","",IF(P216="","Aberto","Fechado"))</f>
        <v/>
      </c>
    </row>
    <row r="217">
      <c r="C217" s="6" t="n"/>
      <c r="E217" s="7" t="n"/>
      <c r="F217" s="8" t="n"/>
      <c r="G217" s="8" t="n"/>
      <c r="H217" s="8" t="n"/>
      <c r="J217" s="7" t="n"/>
      <c r="K217" s="8" t="n"/>
      <c r="L217" s="7" t="n"/>
      <c r="M217" s="8" t="n"/>
      <c r="N217" s="7" t="n"/>
      <c r="O217" s="8" t="n"/>
      <c r="P217" s="6" t="n"/>
      <c r="Q217" s="8" t="n"/>
      <c r="S217" s="8">
        <f>IF(B217="","",E217*F217)</f>
        <v/>
      </c>
      <c r="T217" s="8">
        <f>IF(OR(B217="",N(G217)=0),"",ABS(F217-G217)*E217)</f>
        <v/>
      </c>
      <c r="U217" s="8">
        <f>IF(OR(B217="",P217=""),"",IF(D217="Venda",-1,1)*((N(J217)*N(K217)+N(L217)*N(M217)+N(N217)*N(O217))-(N(J217)+N(L217)+N(N217))*F217)-N(Q217))</f>
        <v/>
      </c>
      <c r="V217" s="9">
        <f>IF(OR(B217="",P217=""),"",U217/S217)</f>
        <v/>
      </c>
      <c r="W217">
        <f>IF(OR(B217="",P217=""),"",NETWORKDAYS(C217,P217)-1)</f>
        <v/>
      </c>
      <c r="X217">
        <f>IF(B217="","",IF(P217="","Aberto","Fechado"))</f>
        <v/>
      </c>
    </row>
    <row r="218">
      <c r="C218" s="6" t="n"/>
      <c r="E218" s="7" t="n"/>
      <c r="F218" s="8" t="n"/>
      <c r="G218" s="8" t="n"/>
      <c r="H218" s="8" t="n"/>
      <c r="J218" s="7" t="n"/>
      <c r="K218" s="8" t="n"/>
      <c r="L218" s="7" t="n"/>
      <c r="M218" s="8" t="n"/>
      <c r="N218" s="7" t="n"/>
      <c r="O218" s="8" t="n"/>
      <c r="P218" s="6" t="n"/>
      <c r="Q218" s="8" t="n"/>
      <c r="S218" s="8">
        <f>IF(B218="","",E218*F218)</f>
        <v/>
      </c>
      <c r="T218" s="8">
        <f>IF(OR(B218="",N(G218)=0),"",ABS(F218-G218)*E218)</f>
        <v/>
      </c>
      <c r="U218" s="8">
        <f>IF(OR(B218="",P218=""),"",IF(D218="Venda",-1,1)*((N(J218)*N(K218)+N(L218)*N(M218)+N(N218)*N(O218))-(N(J218)+N(L218)+N(N218))*F218)-N(Q218))</f>
        <v/>
      </c>
      <c r="V218" s="9">
        <f>IF(OR(B218="",P218=""),"",U218/S218)</f>
        <v/>
      </c>
      <c r="W218">
        <f>IF(OR(B218="",P218=""),"",NETWORKDAYS(C218,P218)-1)</f>
        <v/>
      </c>
      <c r="X218">
        <f>IF(B218="","",IF(P218="","Aberto","Fechado"))</f>
        <v/>
      </c>
    </row>
    <row r="219">
      <c r="C219" s="6" t="n"/>
      <c r="E219" s="7" t="n"/>
      <c r="F219" s="8" t="n"/>
      <c r="G219" s="8" t="n"/>
      <c r="H219" s="8" t="n"/>
      <c r="J219" s="7" t="n"/>
      <c r="K219" s="8" t="n"/>
      <c r="L219" s="7" t="n"/>
      <c r="M219" s="8" t="n"/>
      <c r="N219" s="7" t="n"/>
      <c r="O219" s="8" t="n"/>
      <c r="P219" s="6" t="n"/>
      <c r="Q219" s="8" t="n"/>
      <c r="S219" s="8">
        <f>IF(B219="","",E219*F219)</f>
        <v/>
      </c>
      <c r="T219" s="8">
        <f>IF(OR(B219="",N(G219)=0),"",ABS(F219-G219)*E219)</f>
        <v/>
      </c>
      <c r="U219" s="8">
        <f>IF(OR(B219="",P219=""),"",IF(D219="Venda",-1,1)*((N(J219)*N(K219)+N(L219)*N(M219)+N(N219)*N(O219))-(N(J219)+N(L219)+N(N219))*F219)-N(Q219))</f>
        <v/>
      </c>
      <c r="V219" s="9">
        <f>IF(OR(B219="",P219=""),"",U219/S219)</f>
        <v/>
      </c>
      <c r="W219">
        <f>IF(OR(B219="",P219=""),"",NETWORKDAYS(C219,P219)-1)</f>
        <v/>
      </c>
      <c r="X219">
        <f>IF(B219="","",IF(P219="","Aberto","Fechado"))</f>
        <v/>
      </c>
    </row>
    <row r="220">
      <c r="C220" s="6" t="n"/>
      <c r="E220" s="7" t="n"/>
      <c r="F220" s="8" t="n"/>
      <c r="G220" s="8" t="n"/>
      <c r="H220" s="8" t="n"/>
      <c r="J220" s="7" t="n"/>
      <c r="K220" s="8" t="n"/>
      <c r="L220" s="7" t="n"/>
      <c r="M220" s="8" t="n"/>
      <c r="N220" s="7" t="n"/>
      <c r="O220" s="8" t="n"/>
      <c r="P220" s="6" t="n"/>
      <c r="Q220" s="8" t="n"/>
      <c r="S220" s="8">
        <f>IF(B220="","",E220*F220)</f>
        <v/>
      </c>
      <c r="T220" s="8">
        <f>IF(OR(B220="",N(G220)=0),"",ABS(F220-G220)*E220)</f>
        <v/>
      </c>
      <c r="U220" s="8">
        <f>IF(OR(B220="",P220=""),"",IF(D220="Venda",-1,1)*((N(J220)*N(K220)+N(L220)*N(M220)+N(N220)*N(O220))-(N(J220)+N(L220)+N(N220))*F220)-N(Q220))</f>
        <v/>
      </c>
      <c r="V220" s="9">
        <f>IF(OR(B220="",P220=""),"",U220/S220)</f>
        <v/>
      </c>
      <c r="W220">
        <f>IF(OR(B220="",P220=""),"",NETWORKDAYS(C220,P220)-1)</f>
        <v/>
      </c>
      <c r="X220">
        <f>IF(B220="","",IF(P220="","Aberto","Fechado"))</f>
        <v/>
      </c>
    </row>
    <row r="221">
      <c r="C221" s="6" t="n"/>
      <c r="E221" s="7" t="n"/>
      <c r="F221" s="8" t="n"/>
      <c r="G221" s="8" t="n"/>
      <c r="H221" s="8" t="n"/>
      <c r="J221" s="7" t="n"/>
      <c r="K221" s="8" t="n"/>
      <c r="L221" s="7" t="n"/>
      <c r="M221" s="8" t="n"/>
      <c r="N221" s="7" t="n"/>
      <c r="O221" s="8" t="n"/>
      <c r="P221" s="6" t="n"/>
      <c r="Q221" s="8" t="n"/>
      <c r="S221" s="8">
        <f>IF(B221="","",E221*F221)</f>
        <v/>
      </c>
      <c r="T221" s="8">
        <f>IF(OR(B221="",N(G221)=0),"",ABS(F221-G221)*E221)</f>
        <v/>
      </c>
      <c r="U221" s="8">
        <f>IF(OR(B221="",P221=""),"",IF(D221="Venda",-1,1)*((N(J221)*N(K221)+N(L221)*N(M221)+N(N221)*N(O221))-(N(J221)+N(L221)+N(N221))*F221)-N(Q221))</f>
        <v/>
      </c>
      <c r="V221" s="9">
        <f>IF(OR(B221="",P221=""),"",U221/S221)</f>
        <v/>
      </c>
      <c r="W221">
        <f>IF(OR(B221="",P221=""),"",NETWORKDAYS(C221,P221)-1)</f>
        <v/>
      </c>
      <c r="X221">
        <f>IF(B221="","",IF(P221="","Aberto","Fechado"))</f>
        <v/>
      </c>
    </row>
    <row r="222">
      <c r="C222" s="6" t="n"/>
      <c r="E222" s="7" t="n"/>
      <c r="F222" s="8" t="n"/>
      <c r="G222" s="8" t="n"/>
      <c r="H222" s="8" t="n"/>
      <c r="J222" s="7" t="n"/>
      <c r="K222" s="8" t="n"/>
      <c r="L222" s="7" t="n"/>
      <c r="M222" s="8" t="n"/>
      <c r="N222" s="7" t="n"/>
      <c r="O222" s="8" t="n"/>
      <c r="P222" s="6" t="n"/>
      <c r="Q222" s="8" t="n"/>
      <c r="S222" s="8">
        <f>IF(B222="","",E222*F222)</f>
        <v/>
      </c>
      <c r="T222" s="8">
        <f>IF(OR(B222="",N(G222)=0),"",ABS(F222-G222)*E222)</f>
        <v/>
      </c>
      <c r="U222" s="8">
        <f>IF(OR(B222="",P222=""),"",IF(D222="Venda",-1,1)*((N(J222)*N(K222)+N(L222)*N(M222)+N(N222)*N(O222))-(N(J222)+N(L222)+N(N222))*F222)-N(Q222))</f>
        <v/>
      </c>
      <c r="V222" s="9">
        <f>IF(OR(B222="",P222=""),"",U222/S222)</f>
        <v/>
      </c>
      <c r="W222">
        <f>IF(OR(B222="",P222=""),"",NETWORKDAYS(C222,P222)-1)</f>
        <v/>
      </c>
      <c r="X222">
        <f>IF(B222="","",IF(P222="","Aberto","Fechado"))</f>
        <v/>
      </c>
    </row>
    <row r="223">
      <c r="C223" s="6" t="n"/>
      <c r="E223" s="7" t="n"/>
      <c r="F223" s="8" t="n"/>
      <c r="G223" s="8" t="n"/>
      <c r="H223" s="8" t="n"/>
      <c r="J223" s="7" t="n"/>
      <c r="K223" s="8" t="n"/>
      <c r="L223" s="7" t="n"/>
      <c r="M223" s="8" t="n"/>
      <c r="N223" s="7" t="n"/>
      <c r="O223" s="8" t="n"/>
      <c r="P223" s="6" t="n"/>
      <c r="Q223" s="8" t="n"/>
      <c r="S223" s="8">
        <f>IF(B223="","",E223*F223)</f>
        <v/>
      </c>
      <c r="T223" s="8">
        <f>IF(OR(B223="",N(G223)=0),"",ABS(F223-G223)*E223)</f>
        <v/>
      </c>
      <c r="U223" s="8">
        <f>IF(OR(B223="",P223=""),"",IF(D223="Venda",-1,1)*((N(J223)*N(K223)+N(L223)*N(M223)+N(N223)*N(O223))-(N(J223)+N(L223)+N(N223))*F223)-N(Q223))</f>
        <v/>
      </c>
      <c r="V223" s="9">
        <f>IF(OR(B223="",P223=""),"",U223/S223)</f>
        <v/>
      </c>
      <c r="W223">
        <f>IF(OR(B223="",P223=""),"",NETWORKDAYS(C223,P223)-1)</f>
        <v/>
      </c>
      <c r="X223">
        <f>IF(B223="","",IF(P223="","Aberto","Fechado"))</f>
        <v/>
      </c>
    </row>
    <row r="224">
      <c r="C224" s="6" t="n"/>
      <c r="E224" s="7" t="n"/>
      <c r="F224" s="8" t="n"/>
      <c r="G224" s="8" t="n"/>
      <c r="H224" s="8" t="n"/>
      <c r="J224" s="7" t="n"/>
      <c r="K224" s="8" t="n"/>
      <c r="L224" s="7" t="n"/>
      <c r="M224" s="8" t="n"/>
      <c r="N224" s="7" t="n"/>
      <c r="O224" s="8" t="n"/>
      <c r="P224" s="6" t="n"/>
      <c r="Q224" s="8" t="n"/>
      <c r="S224" s="8">
        <f>IF(B224="","",E224*F224)</f>
        <v/>
      </c>
      <c r="T224" s="8">
        <f>IF(OR(B224="",N(G224)=0),"",ABS(F224-G224)*E224)</f>
        <v/>
      </c>
      <c r="U224" s="8">
        <f>IF(OR(B224="",P224=""),"",IF(D224="Venda",-1,1)*((N(J224)*N(K224)+N(L224)*N(M224)+N(N224)*N(O224))-(N(J224)+N(L224)+N(N224))*F224)-N(Q224))</f>
        <v/>
      </c>
      <c r="V224" s="9">
        <f>IF(OR(B224="",P224=""),"",U224/S224)</f>
        <v/>
      </c>
      <c r="W224">
        <f>IF(OR(B224="",P224=""),"",NETWORKDAYS(C224,P224)-1)</f>
        <v/>
      </c>
      <c r="X224">
        <f>IF(B224="","",IF(P224="","Aberto","Fechado"))</f>
        <v/>
      </c>
    </row>
    <row r="225">
      <c r="C225" s="6" t="n"/>
      <c r="E225" s="7" t="n"/>
      <c r="F225" s="8" t="n"/>
      <c r="G225" s="8" t="n"/>
      <c r="H225" s="8" t="n"/>
      <c r="J225" s="7" t="n"/>
      <c r="K225" s="8" t="n"/>
      <c r="L225" s="7" t="n"/>
      <c r="M225" s="8" t="n"/>
      <c r="N225" s="7" t="n"/>
      <c r="O225" s="8" t="n"/>
      <c r="P225" s="6" t="n"/>
      <c r="Q225" s="8" t="n"/>
      <c r="S225" s="8">
        <f>IF(B225="","",E225*F225)</f>
        <v/>
      </c>
      <c r="T225" s="8">
        <f>IF(OR(B225="",N(G225)=0),"",ABS(F225-G225)*E225)</f>
        <v/>
      </c>
      <c r="U225" s="8">
        <f>IF(OR(B225="",P225=""),"",IF(D225="Venda",-1,1)*((N(J225)*N(K225)+N(L225)*N(M225)+N(N225)*N(O225))-(N(J225)+N(L225)+N(N225))*F225)-N(Q225))</f>
        <v/>
      </c>
      <c r="V225" s="9">
        <f>IF(OR(B225="",P225=""),"",U225/S225)</f>
        <v/>
      </c>
      <c r="W225">
        <f>IF(OR(B225="",P225=""),"",NETWORKDAYS(C225,P225)-1)</f>
        <v/>
      </c>
      <c r="X225">
        <f>IF(B225="","",IF(P225="","Aberto","Fechado"))</f>
        <v/>
      </c>
    </row>
    <row r="226">
      <c r="C226" s="6" t="n"/>
      <c r="E226" s="7" t="n"/>
      <c r="F226" s="8" t="n"/>
      <c r="G226" s="8" t="n"/>
      <c r="H226" s="8" t="n"/>
      <c r="J226" s="7" t="n"/>
      <c r="K226" s="8" t="n"/>
      <c r="L226" s="7" t="n"/>
      <c r="M226" s="8" t="n"/>
      <c r="N226" s="7" t="n"/>
      <c r="O226" s="8" t="n"/>
      <c r="P226" s="6" t="n"/>
      <c r="Q226" s="8" t="n"/>
      <c r="S226" s="8">
        <f>IF(B226="","",E226*F226)</f>
        <v/>
      </c>
      <c r="T226" s="8">
        <f>IF(OR(B226="",N(G226)=0),"",ABS(F226-G226)*E226)</f>
        <v/>
      </c>
      <c r="U226" s="8">
        <f>IF(OR(B226="",P226=""),"",IF(D226="Venda",-1,1)*((N(J226)*N(K226)+N(L226)*N(M226)+N(N226)*N(O226))-(N(J226)+N(L226)+N(N226))*F226)-N(Q226))</f>
        <v/>
      </c>
      <c r="V226" s="9">
        <f>IF(OR(B226="",P226=""),"",U226/S226)</f>
        <v/>
      </c>
      <c r="W226">
        <f>IF(OR(B226="",P226=""),"",NETWORKDAYS(C226,P226)-1)</f>
        <v/>
      </c>
      <c r="X226">
        <f>IF(B226="","",IF(P226="","Aberto","Fechado"))</f>
        <v/>
      </c>
    </row>
    <row r="227">
      <c r="C227" s="6" t="n"/>
      <c r="E227" s="7" t="n"/>
      <c r="F227" s="8" t="n"/>
      <c r="G227" s="8" t="n"/>
      <c r="H227" s="8" t="n"/>
      <c r="J227" s="7" t="n"/>
      <c r="K227" s="8" t="n"/>
      <c r="L227" s="7" t="n"/>
      <c r="M227" s="8" t="n"/>
      <c r="N227" s="7" t="n"/>
      <c r="O227" s="8" t="n"/>
      <c r="P227" s="6" t="n"/>
      <c r="Q227" s="8" t="n"/>
      <c r="S227" s="8">
        <f>IF(B227="","",E227*F227)</f>
        <v/>
      </c>
      <c r="T227" s="8">
        <f>IF(OR(B227="",N(G227)=0),"",ABS(F227-G227)*E227)</f>
        <v/>
      </c>
      <c r="U227" s="8">
        <f>IF(OR(B227="",P227=""),"",IF(D227="Venda",-1,1)*((N(J227)*N(K227)+N(L227)*N(M227)+N(N227)*N(O227))-(N(J227)+N(L227)+N(N227))*F227)-N(Q227))</f>
        <v/>
      </c>
      <c r="V227" s="9">
        <f>IF(OR(B227="",P227=""),"",U227/S227)</f>
        <v/>
      </c>
      <c r="W227">
        <f>IF(OR(B227="",P227=""),"",NETWORKDAYS(C227,P227)-1)</f>
        <v/>
      </c>
      <c r="X227">
        <f>IF(B227="","",IF(P227="","Aberto","Fechado"))</f>
        <v/>
      </c>
    </row>
    <row r="228">
      <c r="C228" s="6" t="n"/>
      <c r="E228" s="7" t="n"/>
      <c r="F228" s="8" t="n"/>
      <c r="G228" s="8" t="n"/>
      <c r="H228" s="8" t="n"/>
      <c r="J228" s="7" t="n"/>
      <c r="K228" s="8" t="n"/>
      <c r="L228" s="7" t="n"/>
      <c r="M228" s="8" t="n"/>
      <c r="N228" s="7" t="n"/>
      <c r="O228" s="8" t="n"/>
      <c r="P228" s="6" t="n"/>
      <c r="Q228" s="8" t="n"/>
      <c r="S228" s="8">
        <f>IF(B228="","",E228*F228)</f>
        <v/>
      </c>
      <c r="T228" s="8">
        <f>IF(OR(B228="",N(G228)=0),"",ABS(F228-G228)*E228)</f>
        <v/>
      </c>
      <c r="U228" s="8">
        <f>IF(OR(B228="",P228=""),"",IF(D228="Venda",-1,1)*((N(J228)*N(K228)+N(L228)*N(M228)+N(N228)*N(O228))-(N(J228)+N(L228)+N(N228))*F228)-N(Q228))</f>
        <v/>
      </c>
      <c r="V228" s="9">
        <f>IF(OR(B228="",P228=""),"",U228/S228)</f>
        <v/>
      </c>
      <c r="W228">
        <f>IF(OR(B228="",P228=""),"",NETWORKDAYS(C228,P228)-1)</f>
        <v/>
      </c>
      <c r="X228">
        <f>IF(B228="","",IF(P228="","Aberto","Fechado"))</f>
        <v/>
      </c>
    </row>
    <row r="229">
      <c r="C229" s="6" t="n"/>
      <c r="E229" s="7" t="n"/>
      <c r="F229" s="8" t="n"/>
      <c r="G229" s="8" t="n"/>
      <c r="H229" s="8" t="n"/>
      <c r="J229" s="7" t="n"/>
      <c r="K229" s="8" t="n"/>
      <c r="L229" s="7" t="n"/>
      <c r="M229" s="8" t="n"/>
      <c r="N229" s="7" t="n"/>
      <c r="O229" s="8" t="n"/>
      <c r="P229" s="6" t="n"/>
      <c r="Q229" s="8" t="n"/>
      <c r="S229" s="8">
        <f>IF(B229="","",E229*F229)</f>
        <v/>
      </c>
      <c r="T229" s="8">
        <f>IF(OR(B229="",N(G229)=0),"",ABS(F229-G229)*E229)</f>
        <v/>
      </c>
      <c r="U229" s="8">
        <f>IF(OR(B229="",P229=""),"",IF(D229="Venda",-1,1)*((N(J229)*N(K229)+N(L229)*N(M229)+N(N229)*N(O229))-(N(J229)+N(L229)+N(N229))*F229)-N(Q229))</f>
        <v/>
      </c>
      <c r="V229" s="9">
        <f>IF(OR(B229="",P229=""),"",U229/S229)</f>
        <v/>
      </c>
      <c r="W229">
        <f>IF(OR(B229="",P229=""),"",NETWORKDAYS(C229,P229)-1)</f>
        <v/>
      </c>
      <c r="X229">
        <f>IF(B229="","",IF(P229="","Aberto","Fechado"))</f>
        <v/>
      </c>
    </row>
    <row r="230">
      <c r="C230" s="6" t="n"/>
      <c r="E230" s="7" t="n"/>
      <c r="F230" s="8" t="n"/>
      <c r="G230" s="8" t="n"/>
      <c r="H230" s="8" t="n"/>
      <c r="J230" s="7" t="n"/>
      <c r="K230" s="8" t="n"/>
      <c r="L230" s="7" t="n"/>
      <c r="M230" s="8" t="n"/>
      <c r="N230" s="7" t="n"/>
      <c r="O230" s="8" t="n"/>
      <c r="P230" s="6" t="n"/>
      <c r="Q230" s="8" t="n"/>
      <c r="S230" s="8">
        <f>IF(B230="","",E230*F230)</f>
        <v/>
      </c>
      <c r="T230" s="8">
        <f>IF(OR(B230="",N(G230)=0),"",ABS(F230-G230)*E230)</f>
        <v/>
      </c>
      <c r="U230" s="8">
        <f>IF(OR(B230="",P230=""),"",IF(D230="Venda",-1,1)*((N(J230)*N(K230)+N(L230)*N(M230)+N(N230)*N(O230))-(N(J230)+N(L230)+N(N230))*F230)-N(Q230))</f>
        <v/>
      </c>
      <c r="V230" s="9">
        <f>IF(OR(B230="",P230=""),"",U230/S230)</f>
        <v/>
      </c>
      <c r="W230">
        <f>IF(OR(B230="",P230=""),"",NETWORKDAYS(C230,P230)-1)</f>
        <v/>
      </c>
      <c r="X230">
        <f>IF(B230="","",IF(P230="","Aberto","Fechado"))</f>
        <v/>
      </c>
    </row>
    <row r="231">
      <c r="C231" s="6" t="n"/>
      <c r="E231" s="7" t="n"/>
      <c r="F231" s="8" t="n"/>
      <c r="G231" s="8" t="n"/>
      <c r="H231" s="8" t="n"/>
      <c r="J231" s="7" t="n"/>
      <c r="K231" s="8" t="n"/>
      <c r="L231" s="7" t="n"/>
      <c r="M231" s="8" t="n"/>
      <c r="N231" s="7" t="n"/>
      <c r="O231" s="8" t="n"/>
      <c r="P231" s="6" t="n"/>
      <c r="Q231" s="8" t="n"/>
      <c r="S231" s="8">
        <f>IF(B231="","",E231*F231)</f>
        <v/>
      </c>
      <c r="T231" s="8">
        <f>IF(OR(B231="",N(G231)=0),"",ABS(F231-G231)*E231)</f>
        <v/>
      </c>
      <c r="U231" s="8">
        <f>IF(OR(B231="",P231=""),"",IF(D231="Venda",-1,1)*((N(J231)*N(K231)+N(L231)*N(M231)+N(N231)*N(O231))-(N(J231)+N(L231)+N(N231))*F231)-N(Q231))</f>
        <v/>
      </c>
      <c r="V231" s="9">
        <f>IF(OR(B231="",P231=""),"",U231/S231)</f>
        <v/>
      </c>
      <c r="W231">
        <f>IF(OR(B231="",P231=""),"",NETWORKDAYS(C231,P231)-1)</f>
        <v/>
      </c>
      <c r="X231">
        <f>IF(B231="","",IF(P231="","Aberto","Fechado"))</f>
        <v/>
      </c>
    </row>
    <row r="232">
      <c r="C232" s="6" t="n"/>
      <c r="E232" s="7" t="n"/>
      <c r="F232" s="8" t="n"/>
      <c r="G232" s="8" t="n"/>
      <c r="H232" s="8" t="n"/>
      <c r="J232" s="7" t="n"/>
      <c r="K232" s="8" t="n"/>
      <c r="L232" s="7" t="n"/>
      <c r="M232" s="8" t="n"/>
      <c r="N232" s="7" t="n"/>
      <c r="O232" s="8" t="n"/>
      <c r="P232" s="6" t="n"/>
      <c r="Q232" s="8" t="n"/>
      <c r="S232" s="8">
        <f>IF(B232="","",E232*F232)</f>
        <v/>
      </c>
      <c r="T232" s="8">
        <f>IF(OR(B232="",N(G232)=0),"",ABS(F232-G232)*E232)</f>
        <v/>
      </c>
      <c r="U232" s="8">
        <f>IF(OR(B232="",P232=""),"",IF(D232="Venda",-1,1)*((N(J232)*N(K232)+N(L232)*N(M232)+N(N232)*N(O232))-(N(J232)+N(L232)+N(N232))*F232)-N(Q232))</f>
        <v/>
      </c>
      <c r="V232" s="9">
        <f>IF(OR(B232="",P232=""),"",U232/S232)</f>
        <v/>
      </c>
      <c r="W232">
        <f>IF(OR(B232="",P232=""),"",NETWORKDAYS(C232,P232)-1)</f>
        <v/>
      </c>
      <c r="X232">
        <f>IF(B232="","",IF(P232="","Aberto","Fechado"))</f>
        <v/>
      </c>
    </row>
    <row r="233">
      <c r="C233" s="6" t="n"/>
      <c r="E233" s="7" t="n"/>
      <c r="F233" s="8" t="n"/>
      <c r="G233" s="8" t="n"/>
      <c r="H233" s="8" t="n"/>
      <c r="J233" s="7" t="n"/>
      <c r="K233" s="8" t="n"/>
      <c r="L233" s="7" t="n"/>
      <c r="M233" s="8" t="n"/>
      <c r="N233" s="7" t="n"/>
      <c r="O233" s="8" t="n"/>
      <c r="P233" s="6" t="n"/>
      <c r="Q233" s="8" t="n"/>
      <c r="S233" s="8">
        <f>IF(B233="","",E233*F233)</f>
        <v/>
      </c>
      <c r="T233" s="8">
        <f>IF(OR(B233="",N(G233)=0),"",ABS(F233-G233)*E233)</f>
        <v/>
      </c>
      <c r="U233" s="8">
        <f>IF(OR(B233="",P233=""),"",IF(D233="Venda",-1,1)*((N(J233)*N(K233)+N(L233)*N(M233)+N(N233)*N(O233))-(N(J233)+N(L233)+N(N233))*F233)-N(Q233))</f>
        <v/>
      </c>
      <c r="V233" s="9">
        <f>IF(OR(B233="",P233=""),"",U233/S233)</f>
        <v/>
      </c>
      <c r="W233">
        <f>IF(OR(B233="",P233=""),"",NETWORKDAYS(C233,P233)-1)</f>
        <v/>
      </c>
      <c r="X233">
        <f>IF(B233="","",IF(P233="","Aberto","Fechado"))</f>
        <v/>
      </c>
    </row>
    <row r="234">
      <c r="C234" s="6" t="n"/>
      <c r="E234" s="7" t="n"/>
      <c r="F234" s="8" t="n"/>
      <c r="G234" s="8" t="n"/>
      <c r="H234" s="8" t="n"/>
      <c r="J234" s="7" t="n"/>
      <c r="K234" s="8" t="n"/>
      <c r="L234" s="7" t="n"/>
      <c r="M234" s="8" t="n"/>
      <c r="N234" s="7" t="n"/>
      <c r="O234" s="8" t="n"/>
      <c r="P234" s="6" t="n"/>
      <c r="Q234" s="8" t="n"/>
      <c r="S234" s="8">
        <f>IF(B234="","",E234*F234)</f>
        <v/>
      </c>
      <c r="T234" s="8">
        <f>IF(OR(B234="",N(G234)=0),"",ABS(F234-G234)*E234)</f>
        <v/>
      </c>
      <c r="U234" s="8">
        <f>IF(OR(B234="",P234=""),"",IF(D234="Venda",-1,1)*((N(J234)*N(K234)+N(L234)*N(M234)+N(N234)*N(O234))-(N(J234)+N(L234)+N(N234))*F234)-N(Q234))</f>
        <v/>
      </c>
      <c r="V234" s="9">
        <f>IF(OR(B234="",P234=""),"",U234/S234)</f>
        <v/>
      </c>
      <c r="W234">
        <f>IF(OR(B234="",P234=""),"",NETWORKDAYS(C234,P234)-1)</f>
        <v/>
      </c>
      <c r="X234">
        <f>IF(B234="","",IF(P234="","Aberto","Fechado"))</f>
        <v/>
      </c>
    </row>
    <row r="235">
      <c r="C235" s="6" t="n"/>
      <c r="E235" s="7" t="n"/>
      <c r="F235" s="8" t="n"/>
      <c r="G235" s="8" t="n"/>
      <c r="H235" s="8" t="n"/>
      <c r="J235" s="7" t="n"/>
      <c r="K235" s="8" t="n"/>
      <c r="L235" s="7" t="n"/>
      <c r="M235" s="8" t="n"/>
      <c r="N235" s="7" t="n"/>
      <c r="O235" s="8" t="n"/>
      <c r="P235" s="6" t="n"/>
      <c r="Q235" s="8" t="n"/>
      <c r="S235" s="8">
        <f>IF(B235="","",E235*F235)</f>
        <v/>
      </c>
      <c r="T235" s="8">
        <f>IF(OR(B235="",N(G235)=0),"",ABS(F235-G235)*E235)</f>
        <v/>
      </c>
      <c r="U235" s="8">
        <f>IF(OR(B235="",P235=""),"",IF(D235="Venda",-1,1)*((N(J235)*N(K235)+N(L235)*N(M235)+N(N235)*N(O235))-(N(J235)+N(L235)+N(N235))*F235)-N(Q235))</f>
        <v/>
      </c>
      <c r="V235" s="9">
        <f>IF(OR(B235="",P235=""),"",U235/S235)</f>
        <v/>
      </c>
      <c r="W235">
        <f>IF(OR(B235="",P235=""),"",NETWORKDAYS(C235,P235)-1)</f>
        <v/>
      </c>
      <c r="X235">
        <f>IF(B235="","",IF(P235="","Aberto","Fechado"))</f>
        <v/>
      </c>
    </row>
    <row r="236">
      <c r="C236" s="6" t="n"/>
      <c r="E236" s="7" t="n"/>
      <c r="F236" s="8" t="n"/>
      <c r="G236" s="8" t="n"/>
      <c r="H236" s="8" t="n"/>
      <c r="J236" s="7" t="n"/>
      <c r="K236" s="8" t="n"/>
      <c r="L236" s="7" t="n"/>
      <c r="M236" s="8" t="n"/>
      <c r="N236" s="7" t="n"/>
      <c r="O236" s="8" t="n"/>
      <c r="P236" s="6" t="n"/>
      <c r="Q236" s="8" t="n"/>
      <c r="S236" s="8">
        <f>IF(B236="","",E236*F236)</f>
        <v/>
      </c>
      <c r="T236" s="8">
        <f>IF(OR(B236="",N(G236)=0),"",ABS(F236-G236)*E236)</f>
        <v/>
      </c>
      <c r="U236" s="8">
        <f>IF(OR(B236="",P236=""),"",IF(D236="Venda",-1,1)*((N(J236)*N(K236)+N(L236)*N(M236)+N(N236)*N(O236))-(N(J236)+N(L236)+N(N236))*F236)-N(Q236))</f>
        <v/>
      </c>
      <c r="V236" s="9">
        <f>IF(OR(B236="",P236=""),"",U236/S236)</f>
        <v/>
      </c>
      <c r="W236">
        <f>IF(OR(B236="",P236=""),"",NETWORKDAYS(C236,P236)-1)</f>
        <v/>
      </c>
      <c r="X236">
        <f>IF(B236="","",IF(P236="","Aberto","Fechado"))</f>
        <v/>
      </c>
    </row>
    <row r="237">
      <c r="C237" s="6" t="n"/>
      <c r="E237" s="7" t="n"/>
      <c r="F237" s="8" t="n"/>
      <c r="G237" s="8" t="n"/>
      <c r="H237" s="8" t="n"/>
      <c r="J237" s="7" t="n"/>
      <c r="K237" s="8" t="n"/>
      <c r="L237" s="7" t="n"/>
      <c r="M237" s="8" t="n"/>
      <c r="N237" s="7" t="n"/>
      <c r="O237" s="8" t="n"/>
      <c r="P237" s="6" t="n"/>
      <c r="Q237" s="8" t="n"/>
      <c r="S237" s="8">
        <f>IF(B237="","",E237*F237)</f>
        <v/>
      </c>
      <c r="T237" s="8">
        <f>IF(OR(B237="",N(G237)=0),"",ABS(F237-G237)*E237)</f>
        <v/>
      </c>
      <c r="U237" s="8">
        <f>IF(OR(B237="",P237=""),"",IF(D237="Venda",-1,1)*((N(J237)*N(K237)+N(L237)*N(M237)+N(N237)*N(O237))-(N(J237)+N(L237)+N(N237))*F237)-N(Q237))</f>
        <v/>
      </c>
      <c r="V237" s="9">
        <f>IF(OR(B237="",P237=""),"",U237/S237)</f>
        <v/>
      </c>
      <c r="W237">
        <f>IF(OR(B237="",P237=""),"",NETWORKDAYS(C237,P237)-1)</f>
        <v/>
      </c>
      <c r="X237">
        <f>IF(B237="","",IF(P237="","Aberto","Fechado"))</f>
        <v/>
      </c>
    </row>
    <row r="238">
      <c r="C238" s="6" t="n"/>
      <c r="E238" s="7" t="n"/>
      <c r="F238" s="8" t="n"/>
      <c r="G238" s="8" t="n"/>
      <c r="H238" s="8" t="n"/>
      <c r="J238" s="7" t="n"/>
      <c r="K238" s="8" t="n"/>
      <c r="L238" s="7" t="n"/>
      <c r="M238" s="8" t="n"/>
      <c r="N238" s="7" t="n"/>
      <c r="O238" s="8" t="n"/>
      <c r="P238" s="6" t="n"/>
      <c r="Q238" s="8" t="n"/>
      <c r="S238" s="8">
        <f>IF(B238="","",E238*F238)</f>
        <v/>
      </c>
      <c r="T238" s="8">
        <f>IF(OR(B238="",N(G238)=0),"",ABS(F238-G238)*E238)</f>
        <v/>
      </c>
      <c r="U238" s="8">
        <f>IF(OR(B238="",P238=""),"",IF(D238="Venda",-1,1)*((N(J238)*N(K238)+N(L238)*N(M238)+N(N238)*N(O238))-(N(J238)+N(L238)+N(N238))*F238)-N(Q238))</f>
        <v/>
      </c>
      <c r="V238" s="9">
        <f>IF(OR(B238="",P238=""),"",U238/S238)</f>
        <v/>
      </c>
      <c r="W238">
        <f>IF(OR(B238="",P238=""),"",NETWORKDAYS(C238,P238)-1)</f>
        <v/>
      </c>
      <c r="X238">
        <f>IF(B238="","",IF(P238="","Aberto","Fechado"))</f>
        <v/>
      </c>
    </row>
    <row r="239">
      <c r="C239" s="6" t="n"/>
      <c r="E239" s="7" t="n"/>
      <c r="F239" s="8" t="n"/>
      <c r="G239" s="8" t="n"/>
      <c r="H239" s="8" t="n"/>
      <c r="J239" s="7" t="n"/>
      <c r="K239" s="8" t="n"/>
      <c r="L239" s="7" t="n"/>
      <c r="M239" s="8" t="n"/>
      <c r="N239" s="7" t="n"/>
      <c r="O239" s="8" t="n"/>
      <c r="P239" s="6" t="n"/>
      <c r="Q239" s="8" t="n"/>
      <c r="S239" s="8">
        <f>IF(B239="","",E239*F239)</f>
        <v/>
      </c>
      <c r="T239" s="8">
        <f>IF(OR(B239="",N(G239)=0),"",ABS(F239-G239)*E239)</f>
        <v/>
      </c>
      <c r="U239" s="8">
        <f>IF(OR(B239="",P239=""),"",IF(D239="Venda",-1,1)*((N(J239)*N(K239)+N(L239)*N(M239)+N(N239)*N(O239))-(N(J239)+N(L239)+N(N239))*F239)-N(Q239))</f>
        <v/>
      </c>
      <c r="V239" s="9">
        <f>IF(OR(B239="",P239=""),"",U239/S239)</f>
        <v/>
      </c>
      <c r="W239">
        <f>IF(OR(B239="",P239=""),"",NETWORKDAYS(C239,P239)-1)</f>
        <v/>
      </c>
      <c r="X239">
        <f>IF(B239="","",IF(P239="","Aberto","Fechado"))</f>
        <v/>
      </c>
    </row>
    <row r="240">
      <c r="C240" s="6" t="n"/>
      <c r="E240" s="7" t="n"/>
      <c r="F240" s="8" t="n"/>
      <c r="G240" s="8" t="n"/>
      <c r="H240" s="8" t="n"/>
      <c r="J240" s="7" t="n"/>
      <c r="K240" s="8" t="n"/>
      <c r="L240" s="7" t="n"/>
      <c r="M240" s="8" t="n"/>
      <c r="N240" s="7" t="n"/>
      <c r="O240" s="8" t="n"/>
      <c r="P240" s="6" t="n"/>
      <c r="Q240" s="8" t="n"/>
      <c r="S240" s="8">
        <f>IF(B240="","",E240*F240)</f>
        <v/>
      </c>
      <c r="T240" s="8">
        <f>IF(OR(B240="",N(G240)=0),"",ABS(F240-G240)*E240)</f>
        <v/>
      </c>
      <c r="U240" s="8">
        <f>IF(OR(B240="",P240=""),"",IF(D240="Venda",-1,1)*((N(J240)*N(K240)+N(L240)*N(M240)+N(N240)*N(O240))-(N(J240)+N(L240)+N(N240))*F240)-N(Q240))</f>
        <v/>
      </c>
      <c r="V240" s="9">
        <f>IF(OR(B240="",P240=""),"",U240/S240)</f>
        <v/>
      </c>
      <c r="W240">
        <f>IF(OR(B240="",P240=""),"",NETWORKDAYS(C240,P240)-1)</f>
        <v/>
      </c>
      <c r="X240">
        <f>IF(B240="","",IF(P240="","Aberto","Fechado"))</f>
        <v/>
      </c>
    </row>
    <row r="241">
      <c r="C241" s="6" t="n"/>
      <c r="E241" s="7" t="n"/>
      <c r="F241" s="8" t="n"/>
      <c r="G241" s="8" t="n"/>
      <c r="H241" s="8" t="n"/>
      <c r="J241" s="7" t="n"/>
      <c r="K241" s="8" t="n"/>
      <c r="L241" s="7" t="n"/>
      <c r="M241" s="8" t="n"/>
      <c r="N241" s="7" t="n"/>
      <c r="O241" s="8" t="n"/>
      <c r="P241" s="6" t="n"/>
      <c r="Q241" s="8" t="n"/>
      <c r="S241" s="8">
        <f>IF(B241="","",E241*F241)</f>
        <v/>
      </c>
      <c r="T241" s="8">
        <f>IF(OR(B241="",N(G241)=0),"",ABS(F241-G241)*E241)</f>
        <v/>
      </c>
      <c r="U241" s="8">
        <f>IF(OR(B241="",P241=""),"",IF(D241="Venda",-1,1)*((N(J241)*N(K241)+N(L241)*N(M241)+N(N241)*N(O241))-(N(J241)+N(L241)+N(N241))*F241)-N(Q241))</f>
        <v/>
      </c>
      <c r="V241" s="9">
        <f>IF(OR(B241="",P241=""),"",U241/S241)</f>
        <v/>
      </c>
      <c r="W241">
        <f>IF(OR(B241="",P241=""),"",NETWORKDAYS(C241,P241)-1)</f>
        <v/>
      </c>
      <c r="X241">
        <f>IF(B241="","",IF(P241="","Aberto","Fechado"))</f>
        <v/>
      </c>
    </row>
    <row r="242">
      <c r="C242" s="6" t="n"/>
      <c r="E242" s="7" t="n"/>
      <c r="F242" s="8" t="n"/>
      <c r="G242" s="8" t="n"/>
      <c r="H242" s="8" t="n"/>
      <c r="J242" s="7" t="n"/>
      <c r="K242" s="8" t="n"/>
      <c r="L242" s="7" t="n"/>
      <c r="M242" s="8" t="n"/>
      <c r="N242" s="7" t="n"/>
      <c r="O242" s="8" t="n"/>
      <c r="P242" s="6" t="n"/>
      <c r="Q242" s="8" t="n"/>
      <c r="S242" s="8">
        <f>IF(B242="","",E242*F242)</f>
        <v/>
      </c>
      <c r="T242" s="8">
        <f>IF(OR(B242="",N(G242)=0),"",ABS(F242-G242)*E242)</f>
        <v/>
      </c>
      <c r="U242" s="8">
        <f>IF(OR(B242="",P242=""),"",IF(D242="Venda",-1,1)*((N(J242)*N(K242)+N(L242)*N(M242)+N(N242)*N(O242))-(N(J242)+N(L242)+N(N242))*F242)-N(Q242))</f>
        <v/>
      </c>
      <c r="V242" s="9">
        <f>IF(OR(B242="",P242=""),"",U242/S242)</f>
        <v/>
      </c>
      <c r="W242">
        <f>IF(OR(B242="",P242=""),"",NETWORKDAYS(C242,P242)-1)</f>
        <v/>
      </c>
      <c r="X242">
        <f>IF(B242="","",IF(P242="","Aberto","Fechado"))</f>
        <v/>
      </c>
    </row>
    <row r="243">
      <c r="C243" s="6" t="n"/>
      <c r="E243" s="7" t="n"/>
      <c r="F243" s="8" t="n"/>
      <c r="G243" s="8" t="n"/>
      <c r="H243" s="8" t="n"/>
      <c r="J243" s="7" t="n"/>
      <c r="K243" s="8" t="n"/>
      <c r="L243" s="7" t="n"/>
      <c r="M243" s="8" t="n"/>
      <c r="N243" s="7" t="n"/>
      <c r="O243" s="8" t="n"/>
      <c r="P243" s="6" t="n"/>
      <c r="Q243" s="8" t="n"/>
      <c r="S243" s="8">
        <f>IF(B243="","",E243*F243)</f>
        <v/>
      </c>
      <c r="T243" s="8">
        <f>IF(OR(B243="",N(G243)=0),"",ABS(F243-G243)*E243)</f>
        <v/>
      </c>
      <c r="U243" s="8">
        <f>IF(OR(B243="",P243=""),"",IF(D243="Venda",-1,1)*((N(J243)*N(K243)+N(L243)*N(M243)+N(N243)*N(O243))-(N(J243)+N(L243)+N(N243))*F243)-N(Q243))</f>
        <v/>
      </c>
      <c r="V243" s="9">
        <f>IF(OR(B243="",P243=""),"",U243/S243)</f>
        <v/>
      </c>
      <c r="W243">
        <f>IF(OR(B243="",P243=""),"",NETWORKDAYS(C243,P243)-1)</f>
        <v/>
      </c>
      <c r="X243">
        <f>IF(B243="","",IF(P243="","Aberto","Fechado"))</f>
        <v/>
      </c>
    </row>
    <row r="244">
      <c r="C244" s="6" t="n"/>
      <c r="E244" s="7" t="n"/>
      <c r="F244" s="8" t="n"/>
      <c r="G244" s="8" t="n"/>
      <c r="H244" s="8" t="n"/>
      <c r="J244" s="7" t="n"/>
      <c r="K244" s="8" t="n"/>
      <c r="L244" s="7" t="n"/>
      <c r="M244" s="8" t="n"/>
      <c r="N244" s="7" t="n"/>
      <c r="O244" s="8" t="n"/>
      <c r="P244" s="6" t="n"/>
      <c r="Q244" s="8" t="n"/>
      <c r="S244" s="8">
        <f>IF(B244="","",E244*F244)</f>
        <v/>
      </c>
      <c r="T244" s="8">
        <f>IF(OR(B244="",N(G244)=0),"",ABS(F244-G244)*E244)</f>
        <v/>
      </c>
      <c r="U244" s="8">
        <f>IF(OR(B244="",P244=""),"",IF(D244="Venda",-1,1)*((N(J244)*N(K244)+N(L244)*N(M244)+N(N244)*N(O244))-(N(J244)+N(L244)+N(N244))*F244)-N(Q244))</f>
        <v/>
      </c>
      <c r="V244" s="9">
        <f>IF(OR(B244="",P244=""),"",U244/S244)</f>
        <v/>
      </c>
      <c r="W244">
        <f>IF(OR(B244="",P244=""),"",NETWORKDAYS(C244,P244)-1)</f>
        <v/>
      </c>
      <c r="X244">
        <f>IF(B244="","",IF(P244="","Aberto","Fechado"))</f>
        <v/>
      </c>
    </row>
    <row r="245">
      <c r="C245" s="6" t="n"/>
      <c r="E245" s="7" t="n"/>
      <c r="F245" s="8" t="n"/>
      <c r="G245" s="8" t="n"/>
      <c r="H245" s="8" t="n"/>
      <c r="J245" s="7" t="n"/>
      <c r="K245" s="8" t="n"/>
      <c r="L245" s="7" t="n"/>
      <c r="M245" s="8" t="n"/>
      <c r="N245" s="7" t="n"/>
      <c r="O245" s="8" t="n"/>
      <c r="P245" s="6" t="n"/>
      <c r="Q245" s="8" t="n"/>
      <c r="S245" s="8">
        <f>IF(B245="","",E245*F245)</f>
        <v/>
      </c>
      <c r="T245" s="8">
        <f>IF(OR(B245="",N(G245)=0),"",ABS(F245-G245)*E245)</f>
        <v/>
      </c>
      <c r="U245" s="8">
        <f>IF(OR(B245="",P245=""),"",IF(D245="Venda",-1,1)*((N(J245)*N(K245)+N(L245)*N(M245)+N(N245)*N(O245))-(N(J245)+N(L245)+N(N245))*F245)-N(Q245))</f>
        <v/>
      </c>
      <c r="V245" s="9">
        <f>IF(OR(B245="",P245=""),"",U245/S245)</f>
        <v/>
      </c>
      <c r="W245">
        <f>IF(OR(B245="",P245=""),"",NETWORKDAYS(C245,P245)-1)</f>
        <v/>
      </c>
      <c r="X245">
        <f>IF(B245="","",IF(P245="","Aberto","Fechado"))</f>
        <v/>
      </c>
    </row>
    <row r="246">
      <c r="C246" s="6" t="n"/>
      <c r="E246" s="7" t="n"/>
      <c r="F246" s="8" t="n"/>
      <c r="G246" s="8" t="n"/>
      <c r="H246" s="8" t="n"/>
      <c r="J246" s="7" t="n"/>
      <c r="K246" s="8" t="n"/>
      <c r="L246" s="7" t="n"/>
      <c r="M246" s="8" t="n"/>
      <c r="N246" s="7" t="n"/>
      <c r="O246" s="8" t="n"/>
      <c r="P246" s="6" t="n"/>
      <c r="Q246" s="8" t="n"/>
      <c r="S246" s="8">
        <f>IF(B246="","",E246*F246)</f>
        <v/>
      </c>
      <c r="T246" s="8">
        <f>IF(OR(B246="",N(G246)=0),"",ABS(F246-G246)*E246)</f>
        <v/>
      </c>
      <c r="U246" s="8">
        <f>IF(OR(B246="",P246=""),"",IF(D246="Venda",-1,1)*((N(J246)*N(K246)+N(L246)*N(M246)+N(N246)*N(O246))-(N(J246)+N(L246)+N(N246))*F246)-N(Q246))</f>
        <v/>
      </c>
      <c r="V246" s="9">
        <f>IF(OR(B246="",P246=""),"",U246/S246)</f>
        <v/>
      </c>
      <c r="W246">
        <f>IF(OR(B246="",P246=""),"",NETWORKDAYS(C246,P246)-1)</f>
        <v/>
      </c>
      <c r="X246">
        <f>IF(B246="","",IF(P246="","Aberto","Fechado"))</f>
        <v/>
      </c>
    </row>
    <row r="247">
      <c r="C247" s="6" t="n"/>
      <c r="E247" s="7" t="n"/>
      <c r="F247" s="8" t="n"/>
      <c r="G247" s="8" t="n"/>
      <c r="H247" s="8" t="n"/>
      <c r="J247" s="7" t="n"/>
      <c r="K247" s="8" t="n"/>
      <c r="L247" s="7" t="n"/>
      <c r="M247" s="8" t="n"/>
      <c r="N247" s="7" t="n"/>
      <c r="O247" s="8" t="n"/>
      <c r="P247" s="6" t="n"/>
      <c r="Q247" s="8" t="n"/>
      <c r="S247" s="8">
        <f>IF(B247="","",E247*F247)</f>
        <v/>
      </c>
      <c r="T247" s="8">
        <f>IF(OR(B247="",N(G247)=0),"",ABS(F247-G247)*E247)</f>
        <v/>
      </c>
      <c r="U247" s="8">
        <f>IF(OR(B247="",P247=""),"",IF(D247="Venda",-1,1)*((N(J247)*N(K247)+N(L247)*N(M247)+N(N247)*N(O247))-(N(J247)+N(L247)+N(N247))*F247)-N(Q247))</f>
        <v/>
      </c>
      <c r="V247" s="9">
        <f>IF(OR(B247="",P247=""),"",U247/S247)</f>
        <v/>
      </c>
      <c r="W247">
        <f>IF(OR(B247="",P247=""),"",NETWORKDAYS(C247,P247)-1)</f>
        <v/>
      </c>
      <c r="X247">
        <f>IF(B247="","",IF(P247="","Aberto","Fechado"))</f>
        <v/>
      </c>
    </row>
    <row r="248">
      <c r="C248" s="6" t="n"/>
      <c r="E248" s="7" t="n"/>
      <c r="F248" s="8" t="n"/>
      <c r="G248" s="8" t="n"/>
      <c r="H248" s="8" t="n"/>
      <c r="J248" s="7" t="n"/>
      <c r="K248" s="8" t="n"/>
      <c r="L248" s="7" t="n"/>
      <c r="M248" s="8" t="n"/>
      <c r="N248" s="7" t="n"/>
      <c r="O248" s="8" t="n"/>
      <c r="P248" s="6" t="n"/>
      <c r="Q248" s="8" t="n"/>
      <c r="S248" s="8">
        <f>IF(B248="","",E248*F248)</f>
        <v/>
      </c>
      <c r="T248" s="8">
        <f>IF(OR(B248="",N(G248)=0),"",ABS(F248-G248)*E248)</f>
        <v/>
      </c>
      <c r="U248" s="8">
        <f>IF(OR(B248="",P248=""),"",IF(D248="Venda",-1,1)*((N(J248)*N(K248)+N(L248)*N(M248)+N(N248)*N(O248))-(N(J248)+N(L248)+N(N248))*F248)-N(Q248))</f>
        <v/>
      </c>
      <c r="V248" s="9">
        <f>IF(OR(B248="",P248=""),"",U248/S248)</f>
        <v/>
      </c>
      <c r="W248">
        <f>IF(OR(B248="",P248=""),"",NETWORKDAYS(C248,P248)-1)</f>
        <v/>
      </c>
      <c r="X248">
        <f>IF(B248="","",IF(P248="","Aberto","Fechado"))</f>
        <v/>
      </c>
    </row>
    <row r="249">
      <c r="C249" s="6" t="n"/>
      <c r="E249" s="7" t="n"/>
      <c r="F249" s="8" t="n"/>
      <c r="G249" s="8" t="n"/>
      <c r="H249" s="8" t="n"/>
      <c r="J249" s="7" t="n"/>
      <c r="K249" s="8" t="n"/>
      <c r="L249" s="7" t="n"/>
      <c r="M249" s="8" t="n"/>
      <c r="N249" s="7" t="n"/>
      <c r="O249" s="8" t="n"/>
      <c r="P249" s="6" t="n"/>
      <c r="Q249" s="8" t="n"/>
      <c r="S249" s="8">
        <f>IF(B249="","",E249*F249)</f>
        <v/>
      </c>
      <c r="T249" s="8">
        <f>IF(OR(B249="",N(G249)=0),"",ABS(F249-G249)*E249)</f>
        <v/>
      </c>
      <c r="U249" s="8">
        <f>IF(OR(B249="",P249=""),"",IF(D249="Venda",-1,1)*((N(J249)*N(K249)+N(L249)*N(M249)+N(N249)*N(O249))-(N(J249)+N(L249)+N(N249))*F249)-N(Q249))</f>
        <v/>
      </c>
      <c r="V249" s="9">
        <f>IF(OR(B249="",P249=""),"",U249/S249)</f>
        <v/>
      </c>
      <c r="W249">
        <f>IF(OR(B249="",P249=""),"",NETWORKDAYS(C249,P249)-1)</f>
        <v/>
      </c>
      <c r="X249">
        <f>IF(B249="","",IF(P249="","Aberto","Fechado"))</f>
        <v/>
      </c>
    </row>
    <row r="250">
      <c r="C250" s="6" t="n"/>
      <c r="E250" s="7" t="n"/>
      <c r="F250" s="8" t="n"/>
      <c r="G250" s="8" t="n"/>
      <c r="H250" s="8" t="n"/>
      <c r="J250" s="7" t="n"/>
      <c r="K250" s="8" t="n"/>
      <c r="L250" s="7" t="n"/>
      <c r="M250" s="8" t="n"/>
      <c r="N250" s="7" t="n"/>
      <c r="O250" s="8" t="n"/>
      <c r="P250" s="6" t="n"/>
      <c r="Q250" s="8" t="n"/>
      <c r="S250" s="8">
        <f>IF(B250="","",E250*F250)</f>
        <v/>
      </c>
      <c r="T250" s="8">
        <f>IF(OR(B250="",N(G250)=0),"",ABS(F250-G250)*E250)</f>
        <v/>
      </c>
      <c r="U250" s="8">
        <f>IF(OR(B250="",P250=""),"",IF(D250="Venda",-1,1)*((N(J250)*N(K250)+N(L250)*N(M250)+N(N250)*N(O250))-(N(J250)+N(L250)+N(N250))*F250)-N(Q250))</f>
        <v/>
      </c>
      <c r="V250" s="9">
        <f>IF(OR(B250="",P250=""),"",U250/S250)</f>
        <v/>
      </c>
      <c r="W250">
        <f>IF(OR(B250="",P250=""),"",NETWORKDAYS(C250,P250)-1)</f>
        <v/>
      </c>
      <c r="X250">
        <f>IF(B250="","",IF(P250="","Aberto","Fechado"))</f>
        <v/>
      </c>
    </row>
    <row r="251">
      <c r="C251" s="6" t="n"/>
      <c r="E251" s="7" t="n"/>
      <c r="F251" s="8" t="n"/>
      <c r="G251" s="8" t="n"/>
      <c r="H251" s="8" t="n"/>
      <c r="J251" s="7" t="n"/>
      <c r="K251" s="8" t="n"/>
      <c r="L251" s="7" t="n"/>
      <c r="M251" s="8" t="n"/>
      <c r="N251" s="7" t="n"/>
      <c r="O251" s="8" t="n"/>
      <c r="P251" s="6" t="n"/>
      <c r="Q251" s="8" t="n"/>
      <c r="S251" s="8">
        <f>IF(B251="","",E251*F251)</f>
        <v/>
      </c>
      <c r="T251" s="8">
        <f>IF(OR(B251="",N(G251)=0),"",ABS(F251-G251)*E251)</f>
        <v/>
      </c>
      <c r="U251" s="8">
        <f>IF(OR(B251="",P251=""),"",IF(D251="Venda",-1,1)*((N(J251)*N(K251)+N(L251)*N(M251)+N(N251)*N(O251))-(N(J251)+N(L251)+N(N251))*F251)-N(Q251))</f>
        <v/>
      </c>
      <c r="V251" s="9">
        <f>IF(OR(B251="",P251=""),"",U251/S251)</f>
        <v/>
      </c>
      <c r="W251">
        <f>IF(OR(B251="",P251=""),"",NETWORKDAYS(C251,P251)-1)</f>
        <v/>
      </c>
      <c r="X251">
        <f>IF(B251="","",IF(P251="","Aberto","Fechado"))</f>
        <v/>
      </c>
    </row>
    <row r="252">
      <c r="C252" s="6" t="n"/>
      <c r="E252" s="7" t="n"/>
      <c r="F252" s="8" t="n"/>
      <c r="G252" s="8" t="n"/>
      <c r="H252" s="8" t="n"/>
      <c r="J252" s="7" t="n"/>
      <c r="K252" s="8" t="n"/>
      <c r="L252" s="7" t="n"/>
      <c r="M252" s="8" t="n"/>
      <c r="N252" s="7" t="n"/>
      <c r="O252" s="8" t="n"/>
      <c r="P252" s="6" t="n"/>
      <c r="Q252" s="8" t="n"/>
      <c r="S252" s="8">
        <f>IF(B252="","",E252*F252)</f>
        <v/>
      </c>
      <c r="T252" s="8">
        <f>IF(OR(B252="",N(G252)=0),"",ABS(F252-G252)*E252)</f>
        <v/>
      </c>
      <c r="U252" s="8">
        <f>IF(OR(B252="",P252=""),"",IF(D252="Venda",-1,1)*((N(J252)*N(K252)+N(L252)*N(M252)+N(N252)*N(O252))-(N(J252)+N(L252)+N(N252))*F252)-N(Q252))</f>
        <v/>
      </c>
      <c r="V252" s="9">
        <f>IF(OR(B252="",P252=""),"",U252/S252)</f>
        <v/>
      </c>
      <c r="W252">
        <f>IF(OR(B252="",P252=""),"",NETWORKDAYS(C252,P252)-1)</f>
        <v/>
      </c>
      <c r="X252">
        <f>IF(B252="","",IF(P252="","Aberto","Fechado"))</f>
        <v/>
      </c>
    </row>
    <row r="253">
      <c r="C253" s="6" t="n"/>
      <c r="E253" s="7" t="n"/>
      <c r="F253" s="8" t="n"/>
      <c r="G253" s="8" t="n"/>
      <c r="H253" s="8" t="n"/>
      <c r="J253" s="7" t="n"/>
      <c r="K253" s="8" t="n"/>
      <c r="L253" s="7" t="n"/>
      <c r="M253" s="8" t="n"/>
      <c r="N253" s="7" t="n"/>
      <c r="O253" s="8" t="n"/>
      <c r="P253" s="6" t="n"/>
      <c r="Q253" s="8" t="n"/>
      <c r="S253" s="8">
        <f>IF(B253="","",E253*F253)</f>
        <v/>
      </c>
      <c r="T253" s="8">
        <f>IF(OR(B253="",N(G253)=0),"",ABS(F253-G253)*E253)</f>
        <v/>
      </c>
      <c r="U253" s="8">
        <f>IF(OR(B253="",P253=""),"",IF(D253="Venda",-1,1)*((N(J253)*N(K253)+N(L253)*N(M253)+N(N253)*N(O253))-(N(J253)+N(L253)+N(N253))*F253)-N(Q253))</f>
        <v/>
      </c>
      <c r="V253" s="9">
        <f>IF(OR(B253="",P253=""),"",U253/S253)</f>
        <v/>
      </c>
      <c r="W253">
        <f>IF(OR(B253="",P253=""),"",NETWORKDAYS(C253,P253)-1)</f>
        <v/>
      </c>
      <c r="X253">
        <f>IF(B253="","",IF(P253="","Aberto","Fechado"))</f>
        <v/>
      </c>
    </row>
    <row r="254">
      <c r="C254" s="6" t="n"/>
      <c r="E254" s="7" t="n"/>
      <c r="F254" s="8" t="n"/>
      <c r="G254" s="8" t="n"/>
      <c r="H254" s="8" t="n"/>
      <c r="J254" s="7" t="n"/>
      <c r="K254" s="8" t="n"/>
      <c r="L254" s="7" t="n"/>
      <c r="M254" s="8" t="n"/>
      <c r="N254" s="7" t="n"/>
      <c r="O254" s="8" t="n"/>
      <c r="P254" s="6" t="n"/>
      <c r="Q254" s="8" t="n"/>
      <c r="S254" s="8">
        <f>IF(B254="","",E254*F254)</f>
        <v/>
      </c>
      <c r="T254" s="8">
        <f>IF(OR(B254="",N(G254)=0),"",ABS(F254-G254)*E254)</f>
        <v/>
      </c>
      <c r="U254" s="8">
        <f>IF(OR(B254="",P254=""),"",IF(D254="Venda",-1,1)*((N(J254)*N(K254)+N(L254)*N(M254)+N(N254)*N(O254))-(N(J254)+N(L254)+N(N254))*F254)-N(Q254))</f>
        <v/>
      </c>
      <c r="V254" s="9">
        <f>IF(OR(B254="",P254=""),"",U254/S254)</f>
        <v/>
      </c>
      <c r="W254">
        <f>IF(OR(B254="",P254=""),"",NETWORKDAYS(C254,P254)-1)</f>
        <v/>
      </c>
      <c r="X254">
        <f>IF(B254="","",IF(P254="","Aberto","Fechado"))</f>
        <v/>
      </c>
    </row>
    <row r="255">
      <c r="C255" s="6" t="n"/>
      <c r="E255" s="7" t="n"/>
      <c r="F255" s="8" t="n"/>
      <c r="G255" s="8" t="n"/>
      <c r="H255" s="8" t="n"/>
      <c r="J255" s="7" t="n"/>
      <c r="K255" s="8" t="n"/>
      <c r="L255" s="7" t="n"/>
      <c r="M255" s="8" t="n"/>
      <c r="N255" s="7" t="n"/>
      <c r="O255" s="8" t="n"/>
      <c r="P255" s="6" t="n"/>
      <c r="Q255" s="8" t="n"/>
      <c r="S255" s="8">
        <f>IF(B255="","",E255*F255)</f>
        <v/>
      </c>
      <c r="T255" s="8">
        <f>IF(OR(B255="",N(G255)=0),"",ABS(F255-G255)*E255)</f>
        <v/>
      </c>
      <c r="U255" s="8">
        <f>IF(OR(B255="",P255=""),"",IF(D255="Venda",-1,1)*((N(J255)*N(K255)+N(L255)*N(M255)+N(N255)*N(O255))-(N(J255)+N(L255)+N(N255))*F255)-N(Q255))</f>
        <v/>
      </c>
      <c r="V255" s="9">
        <f>IF(OR(B255="",P255=""),"",U255/S255)</f>
        <v/>
      </c>
      <c r="W255">
        <f>IF(OR(B255="",P255=""),"",NETWORKDAYS(C255,P255)-1)</f>
        <v/>
      </c>
      <c r="X255">
        <f>IF(B255="","",IF(P255="","Aberto","Fechado"))</f>
        <v/>
      </c>
    </row>
    <row r="256">
      <c r="C256" s="6" t="n"/>
      <c r="E256" s="7" t="n"/>
      <c r="F256" s="8" t="n"/>
      <c r="G256" s="8" t="n"/>
      <c r="H256" s="8" t="n"/>
      <c r="J256" s="7" t="n"/>
      <c r="K256" s="8" t="n"/>
      <c r="L256" s="7" t="n"/>
      <c r="M256" s="8" t="n"/>
      <c r="N256" s="7" t="n"/>
      <c r="O256" s="8" t="n"/>
      <c r="P256" s="6" t="n"/>
      <c r="Q256" s="8" t="n"/>
      <c r="S256" s="8">
        <f>IF(B256="","",E256*F256)</f>
        <v/>
      </c>
      <c r="T256" s="8">
        <f>IF(OR(B256="",N(G256)=0),"",ABS(F256-G256)*E256)</f>
        <v/>
      </c>
      <c r="U256" s="8">
        <f>IF(OR(B256="",P256=""),"",IF(D256="Venda",-1,1)*((N(J256)*N(K256)+N(L256)*N(M256)+N(N256)*N(O256))-(N(J256)+N(L256)+N(N256))*F256)-N(Q256))</f>
        <v/>
      </c>
      <c r="V256" s="9">
        <f>IF(OR(B256="",P256=""),"",U256/S256)</f>
        <v/>
      </c>
      <c r="W256">
        <f>IF(OR(B256="",P256=""),"",NETWORKDAYS(C256,P256)-1)</f>
        <v/>
      </c>
      <c r="X256">
        <f>IF(B256="","",IF(P256="","Aberto","Fechado"))</f>
        <v/>
      </c>
    </row>
    <row r="257">
      <c r="C257" s="6" t="n"/>
      <c r="E257" s="7" t="n"/>
      <c r="F257" s="8" t="n"/>
      <c r="G257" s="8" t="n"/>
      <c r="H257" s="8" t="n"/>
      <c r="J257" s="7" t="n"/>
      <c r="K257" s="8" t="n"/>
      <c r="L257" s="7" t="n"/>
      <c r="M257" s="8" t="n"/>
      <c r="N257" s="7" t="n"/>
      <c r="O257" s="8" t="n"/>
      <c r="P257" s="6" t="n"/>
      <c r="Q257" s="8" t="n"/>
      <c r="S257" s="8">
        <f>IF(B257="","",E257*F257)</f>
        <v/>
      </c>
      <c r="T257" s="8">
        <f>IF(OR(B257="",N(G257)=0),"",ABS(F257-G257)*E257)</f>
        <v/>
      </c>
      <c r="U257" s="8">
        <f>IF(OR(B257="",P257=""),"",IF(D257="Venda",-1,1)*((N(J257)*N(K257)+N(L257)*N(M257)+N(N257)*N(O257))-(N(J257)+N(L257)+N(N257))*F257)-N(Q257))</f>
        <v/>
      </c>
      <c r="V257" s="9">
        <f>IF(OR(B257="",P257=""),"",U257/S257)</f>
        <v/>
      </c>
      <c r="W257">
        <f>IF(OR(B257="",P257=""),"",NETWORKDAYS(C257,P257)-1)</f>
        <v/>
      </c>
      <c r="X257">
        <f>IF(B257="","",IF(P257="","Aberto","Fechado"))</f>
        <v/>
      </c>
    </row>
    <row r="258">
      <c r="C258" s="6" t="n"/>
      <c r="E258" s="7" t="n"/>
      <c r="F258" s="8" t="n"/>
      <c r="G258" s="8" t="n"/>
      <c r="H258" s="8" t="n"/>
      <c r="J258" s="7" t="n"/>
      <c r="K258" s="8" t="n"/>
      <c r="L258" s="7" t="n"/>
      <c r="M258" s="8" t="n"/>
      <c r="N258" s="7" t="n"/>
      <c r="O258" s="8" t="n"/>
      <c r="P258" s="6" t="n"/>
      <c r="Q258" s="8" t="n"/>
      <c r="S258" s="8">
        <f>IF(B258="","",E258*F258)</f>
        <v/>
      </c>
      <c r="T258" s="8">
        <f>IF(OR(B258="",N(G258)=0),"",ABS(F258-G258)*E258)</f>
        <v/>
      </c>
      <c r="U258" s="8">
        <f>IF(OR(B258="",P258=""),"",IF(D258="Venda",-1,1)*((N(J258)*N(K258)+N(L258)*N(M258)+N(N258)*N(O258))-(N(J258)+N(L258)+N(N258))*F258)-N(Q258))</f>
        <v/>
      </c>
      <c r="V258" s="9">
        <f>IF(OR(B258="",P258=""),"",U258/S258)</f>
        <v/>
      </c>
      <c r="W258">
        <f>IF(OR(B258="",P258=""),"",NETWORKDAYS(C258,P258)-1)</f>
        <v/>
      </c>
      <c r="X258">
        <f>IF(B258="","",IF(P258="","Aberto","Fechado"))</f>
        <v/>
      </c>
    </row>
    <row r="259">
      <c r="C259" s="6" t="n"/>
      <c r="E259" s="7" t="n"/>
      <c r="F259" s="8" t="n"/>
      <c r="G259" s="8" t="n"/>
      <c r="H259" s="8" t="n"/>
      <c r="J259" s="7" t="n"/>
      <c r="K259" s="8" t="n"/>
      <c r="L259" s="7" t="n"/>
      <c r="M259" s="8" t="n"/>
      <c r="N259" s="7" t="n"/>
      <c r="O259" s="8" t="n"/>
      <c r="P259" s="6" t="n"/>
      <c r="Q259" s="8" t="n"/>
      <c r="S259" s="8">
        <f>IF(B259="","",E259*F259)</f>
        <v/>
      </c>
      <c r="T259" s="8">
        <f>IF(OR(B259="",N(G259)=0),"",ABS(F259-G259)*E259)</f>
        <v/>
      </c>
      <c r="U259" s="8">
        <f>IF(OR(B259="",P259=""),"",IF(D259="Venda",-1,1)*((N(J259)*N(K259)+N(L259)*N(M259)+N(N259)*N(O259))-(N(J259)+N(L259)+N(N259))*F259)-N(Q259))</f>
        <v/>
      </c>
      <c r="V259" s="9">
        <f>IF(OR(B259="",P259=""),"",U259/S259)</f>
        <v/>
      </c>
      <c r="W259">
        <f>IF(OR(B259="",P259=""),"",NETWORKDAYS(C259,P259)-1)</f>
        <v/>
      </c>
      <c r="X259">
        <f>IF(B259="","",IF(P259="","Aberto","Fechado"))</f>
        <v/>
      </c>
    </row>
    <row r="260">
      <c r="C260" s="6" t="n"/>
      <c r="E260" s="7" t="n"/>
      <c r="F260" s="8" t="n"/>
      <c r="G260" s="8" t="n"/>
      <c r="H260" s="8" t="n"/>
      <c r="J260" s="7" t="n"/>
      <c r="K260" s="8" t="n"/>
      <c r="L260" s="7" t="n"/>
      <c r="M260" s="8" t="n"/>
      <c r="N260" s="7" t="n"/>
      <c r="O260" s="8" t="n"/>
      <c r="P260" s="6" t="n"/>
      <c r="Q260" s="8" t="n"/>
      <c r="S260" s="8">
        <f>IF(B260="","",E260*F260)</f>
        <v/>
      </c>
      <c r="T260" s="8">
        <f>IF(OR(B260="",N(G260)=0),"",ABS(F260-G260)*E260)</f>
        <v/>
      </c>
      <c r="U260" s="8">
        <f>IF(OR(B260="",P260=""),"",IF(D260="Venda",-1,1)*((N(J260)*N(K260)+N(L260)*N(M260)+N(N260)*N(O260))-(N(J260)+N(L260)+N(N260))*F260)-N(Q260))</f>
        <v/>
      </c>
      <c r="V260" s="9">
        <f>IF(OR(B260="",P260=""),"",U260/S260)</f>
        <v/>
      </c>
      <c r="W260">
        <f>IF(OR(B260="",P260=""),"",NETWORKDAYS(C260,P260)-1)</f>
        <v/>
      </c>
      <c r="X260">
        <f>IF(B260="","",IF(P260="","Aberto","Fechado"))</f>
        <v/>
      </c>
    </row>
    <row r="261">
      <c r="C261" s="6" t="n"/>
      <c r="E261" s="7" t="n"/>
      <c r="F261" s="8" t="n"/>
      <c r="G261" s="8" t="n"/>
      <c r="H261" s="8" t="n"/>
      <c r="J261" s="7" t="n"/>
      <c r="K261" s="8" t="n"/>
      <c r="L261" s="7" t="n"/>
      <c r="M261" s="8" t="n"/>
      <c r="N261" s="7" t="n"/>
      <c r="O261" s="8" t="n"/>
      <c r="P261" s="6" t="n"/>
      <c r="Q261" s="8" t="n"/>
      <c r="S261" s="8">
        <f>IF(B261="","",E261*F261)</f>
        <v/>
      </c>
      <c r="T261" s="8">
        <f>IF(OR(B261="",N(G261)=0),"",ABS(F261-G261)*E261)</f>
        <v/>
      </c>
      <c r="U261" s="8">
        <f>IF(OR(B261="",P261=""),"",IF(D261="Venda",-1,1)*((N(J261)*N(K261)+N(L261)*N(M261)+N(N261)*N(O261))-(N(J261)+N(L261)+N(N261))*F261)-N(Q261))</f>
        <v/>
      </c>
      <c r="V261" s="9">
        <f>IF(OR(B261="",P261=""),"",U261/S261)</f>
        <v/>
      </c>
      <c r="W261">
        <f>IF(OR(B261="",P261=""),"",NETWORKDAYS(C261,P261)-1)</f>
        <v/>
      </c>
      <c r="X261">
        <f>IF(B261="","",IF(P261="","Aberto","Fechado"))</f>
        <v/>
      </c>
    </row>
    <row r="262">
      <c r="C262" s="6" t="n"/>
      <c r="E262" s="7" t="n"/>
      <c r="F262" s="8" t="n"/>
      <c r="G262" s="8" t="n"/>
      <c r="H262" s="8" t="n"/>
      <c r="J262" s="7" t="n"/>
      <c r="K262" s="8" t="n"/>
      <c r="L262" s="7" t="n"/>
      <c r="M262" s="8" t="n"/>
      <c r="N262" s="7" t="n"/>
      <c r="O262" s="8" t="n"/>
      <c r="P262" s="6" t="n"/>
      <c r="Q262" s="8" t="n"/>
      <c r="S262" s="8">
        <f>IF(B262="","",E262*F262)</f>
        <v/>
      </c>
      <c r="T262" s="8">
        <f>IF(OR(B262="",N(G262)=0),"",ABS(F262-G262)*E262)</f>
        <v/>
      </c>
      <c r="U262" s="8">
        <f>IF(OR(B262="",P262=""),"",IF(D262="Venda",-1,1)*((N(J262)*N(K262)+N(L262)*N(M262)+N(N262)*N(O262))-(N(J262)+N(L262)+N(N262))*F262)-N(Q262))</f>
        <v/>
      </c>
      <c r="V262" s="9">
        <f>IF(OR(B262="",P262=""),"",U262/S262)</f>
        <v/>
      </c>
      <c r="W262">
        <f>IF(OR(B262="",P262=""),"",NETWORKDAYS(C262,P262)-1)</f>
        <v/>
      </c>
      <c r="X262">
        <f>IF(B262="","",IF(P262="","Aberto","Fechado"))</f>
        <v/>
      </c>
    </row>
    <row r="263">
      <c r="C263" s="6" t="n"/>
      <c r="E263" s="7" t="n"/>
      <c r="F263" s="8" t="n"/>
      <c r="G263" s="8" t="n"/>
      <c r="H263" s="8" t="n"/>
      <c r="J263" s="7" t="n"/>
      <c r="K263" s="8" t="n"/>
      <c r="L263" s="7" t="n"/>
      <c r="M263" s="8" t="n"/>
      <c r="N263" s="7" t="n"/>
      <c r="O263" s="8" t="n"/>
      <c r="P263" s="6" t="n"/>
      <c r="Q263" s="8" t="n"/>
      <c r="S263" s="8">
        <f>IF(B263="","",E263*F263)</f>
        <v/>
      </c>
      <c r="T263" s="8">
        <f>IF(OR(B263="",N(G263)=0),"",ABS(F263-G263)*E263)</f>
        <v/>
      </c>
      <c r="U263" s="8">
        <f>IF(OR(B263="",P263=""),"",IF(D263="Venda",-1,1)*((N(J263)*N(K263)+N(L263)*N(M263)+N(N263)*N(O263))-(N(J263)+N(L263)+N(N263))*F263)-N(Q263))</f>
        <v/>
      </c>
      <c r="V263" s="9">
        <f>IF(OR(B263="",P263=""),"",U263/S263)</f>
        <v/>
      </c>
      <c r="W263">
        <f>IF(OR(B263="",P263=""),"",NETWORKDAYS(C263,P263)-1)</f>
        <v/>
      </c>
      <c r="X263">
        <f>IF(B263="","",IF(P263="","Aberto","Fechado"))</f>
        <v/>
      </c>
    </row>
    <row r="264">
      <c r="C264" s="6" t="n"/>
      <c r="E264" s="7" t="n"/>
      <c r="F264" s="8" t="n"/>
      <c r="G264" s="8" t="n"/>
      <c r="H264" s="8" t="n"/>
      <c r="J264" s="7" t="n"/>
      <c r="K264" s="8" t="n"/>
      <c r="L264" s="7" t="n"/>
      <c r="M264" s="8" t="n"/>
      <c r="N264" s="7" t="n"/>
      <c r="O264" s="8" t="n"/>
      <c r="P264" s="6" t="n"/>
      <c r="Q264" s="8" t="n"/>
      <c r="S264" s="8">
        <f>IF(B264="","",E264*F264)</f>
        <v/>
      </c>
      <c r="T264" s="8">
        <f>IF(OR(B264="",N(G264)=0),"",ABS(F264-G264)*E264)</f>
        <v/>
      </c>
      <c r="U264" s="8">
        <f>IF(OR(B264="",P264=""),"",IF(D264="Venda",-1,1)*((N(J264)*N(K264)+N(L264)*N(M264)+N(N264)*N(O264))-(N(J264)+N(L264)+N(N264))*F264)-N(Q264))</f>
        <v/>
      </c>
      <c r="V264" s="9">
        <f>IF(OR(B264="",P264=""),"",U264/S264)</f>
        <v/>
      </c>
      <c r="W264">
        <f>IF(OR(B264="",P264=""),"",NETWORKDAYS(C264,P264)-1)</f>
        <v/>
      </c>
      <c r="X264">
        <f>IF(B264="","",IF(P264="","Aberto","Fechado"))</f>
        <v/>
      </c>
    </row>
    <row r="265">
      <c r="C265" s="6" t="n"/>
      <c r="E265" s="7" t="n"/>
      <c r="F265" s="8" t="n"/>
      <c r="G265" s="8" t="n"/>
      <c r="H265" s="8" t="n"/>
      <c r="J265" s="7" t="n"/>
      <c r="K265" s="8" t="n"/>
      <c r="L265" s="7" t="n"/>
      <c r="M265" s="8" t="n"/>
      <c r="N265" s="7" t="n"/>
      <c r="O265" s="8" t="n"/>
      <c r="P265" s="6" t="n"/>
      <c r="Q265" s="8" t="n"/>
      <c r="S265" s="8">
        <f>IF(B265="","",E265*F265)</f>
        <v/>
      </c>
      <c r="T265" s="8">
        <f>IF(OR(B265="",N(G265)=0),"",ABS(F265-G265)*E265)</f>
        <v/>
      </c>
      <c r="U265" s="8">
        <f>IF(OR(B265="",P265=""),"",IF(D265="Venda",-1,1)*((N(J265)*N(K265)+N(L265)*N(M265)+N(N265)*N(O265))-(N(J265)+N(L265)+N(N265))*F265)-N(Q265))</f>
        <v/>
      </c>
      <c r="V265" s="9">
        <f>IF(OR(B265="",P265=""),"",U265/S265)</f>
        <v/>
      </c>
      <c r="W265">
        <f>IF(OR(B265="",P265=""),"",NETWORKDAYS(C265,P265)-1)</f>
        <v/>
      </c>
      <c r="X265">
        <f>IF(B265="","",IF(P265="","Aberto","Fechado"))</f>
        <v/>
      </c>
    </row>
    <row r="266">
      <c r="C266" s="6" t="n"/>
      <c r="E266" s="7" t="n"/>
      <c r="F266" s="8" t="n"/>
      <c r="G266" s="8" t="n"/>
      <c r="H266" s="8" t="n"/>
      <c r="J266" s="7" t="n"/>
      <c r="K266" s="8" t="n"/>
      <c r="L266" s="7" t="n"/>
      <c r="M266" s="8" t="n"/>
      <c r="N266" s="7" t="n"/>
      <c r="O266" s="8" t="n"/>
      <c r="P266" s="6" t="n"/>
      <c r="Q266" s="8" t="n"/>
      <c r="S266" s="8">
        <f>IF(B266="","",E266*F266)</f>
        <v/>
      </c>
      <c r="T266" s="8">
        <f>IF(OR(B266="",N(G266)=0),"",ABS(F266-G266)*E266)</f>
        <v/>
      </c>
      <c r="U266" s="8">
        <f>IF(OR(B266="",P266=""),"",IF(D266="Venda",-1,1)*((N(J266)*N(K266)+N(L266)*N(M266)+N(N266)*N(O266))-(N(J266)+N(L266)+N(N266))*F266)-N(Q266))</f>
        <v/>
      </c>
      <c r="V266" s="9">
        <f>IF(OR(B266="",P266=""),"",U266/S266)</f>
        <v/>
      </c>
      <c r="W266">
        <f>IF(OR(B266="",P266=""),"",NETWORKDAYS(C266,P266)-1)</f>
        <v/>
      </c>
      <c r="X266">
        <f>IF(B266="","",IF(P266="","Aberto","Fechado"))</f>
        <v/>
      </c>
    </row>
    <row r="267">
      <c r="C267" s="6" t="n"/>
      <c r="E267" s="7" t="n"/>
      <c r="F267" s="8" t="n"/>
      <c r="G267" s="8" t="n"/>
      <c r="H267" s="8" t="n"/>
      <c r="J267" s="7" t="n"/>
      <c r="K267" s="8" t="n"/>
      <c r="L267" s="7" t="n"/>
      <c r="M267" s="8" t="n"/>
      <c r="N267" s="7" t="n"/>
      <c r="O267" s="8" t="n"/>
      <c r="P267" s="6" t="n"/>
      <c r="Q267" s="8" t="n"/>
      <c r="S267" s="8">
        <f>IF(B267="","",E267*F267)</f>
        <v/>
      </c>
      <c r="T267" s="8">
        <f>IF(OR(B267="",N(G267)=0),"",ABS(F267-G267)*E267)</f>
        <v/>
      </c>
      <c r="U267" s="8">
        <f>IF(OR(B267="",P267=""),"",IF(D267="Venda",-1,1)*((N(J267)*N(K267)+N(L267)*N(M267)+N(N267)*N(O267))-(N(J267)+N(L267)+N(N267))*F267)-N(Q267))</f>
        <v/>
      </c>
      <c r="V267" s="9">
        <f>IF(OR(B267="",P267=""),"",U267/S267)</f>
        <v/>
      </c>
      <c r="W267">
        <f>IF(OR(B267="",P267=""),"",NETWORKDAYS(C267,P267)-1)</f>
        <v/>
      </c>
      <c r="X267">
        <f>IF(B267="","",IF(P267="","Aberto","Fechado"))</f>
        <v/>
      </c>
    </row>
    <row r="268">
      <c r="C268" s="6" t="n"/>
      <c r="E268" s="7" t="n"/>
      <c r="F268" s="8" t="n"/>
      <c r="G268" s="8" t="n"/>
      <c r="H268" s="8" t="n"/>
      <c r="J268" s="7" t="n"/>
      <c r="K268" s="8" t="n"/>
      <c r="L268" s="7" t="n"/>
      <c r="M268" s="8" t="n"/>
      <c r="N268" s="7" t="n"/>
      <c r="O268" s="8" t="n"/>
      <c r="P268" s="6" t="n"/>
      <c r="Q268" s="8" t="n"/>
      <c r="S268" s="8">
        <f>IF(B268="","",E268*F268)</f>
        <v/>
      </c>
      <c r="T268" s="8">
        <f>IF(OR(B268="",N(G268)=0),"",ABS(F268-G268)*E268)</f>
        <v/>
      </c>
      <c r="U268" s="8">
        <f>IF(OR(B268="",P268=""),"",IF(D268="Venda",-1,1)*((N(J268)*N(K268)+N(L268)*N(M268)+N(N268)*N(O268))-(N(J268)+N(L268)+N(N268))*F268)-N(Q268))</f>
        <v/>
      </c>
      <c r="V268" s="9">
        <f>IF(OR(B268="",P268=""),"",U268/S268)</f>
        <v/>
      </c>
      <c r="W268">
        <f>IF(OR(B268="",P268=""),"",NETWORKDAYS(C268,P268)-1)</f>
        <v/>
      </c>
      <c r="X268">
        <f>IF(B268="","",IF(P268="","Aberto","Fechado"))</f>
        <v/>
      </c>
    </row>
    <row r="269">
      <c r="C269" s="6" t="n"/>
      <c r="E269" s="7" t="n"/>
      <c r="F269" s="8" t="n"/>
      <c r="G269" s="8" t="n"/>
      <c r="H269" s="8" t="n"/>
      <c r="J269" s="7" t="n"/>
      <c r="K269" s="8" t="n"/>
      <c r="L269" s="7" t="n"/>
      <c r="M269" s="8" t="n"/>
      <c r="N269" s="7" t="n"/>
      <c r="O269" s="8" t="n"/>
      <c r="P269" s="6" t="n"/>
      <c r="Q269" s="8" t="n"/>
      <c r="S269" s="8">
        <f>IF(B269="","",E269*F269)</f>
        <v/>
      </c>
      <c r="T269" s="8">
        <f>IF(OR(B269="",N(G269)=0),"",ABS(F269-G269)*E269)</f>
        <v/>
      </c>
      <c r="U269" s="8">
        <f>IF(OR(B269="",P269=""),"",IF(D269="Venda",-1,1)*((N(J269)*N(K269)+N(L269)*N(M269)+N(N269)*N(O269))-(N(J269)+N(L269)+N(N269))*F269)-N(Q269))</f>
        <v/>
      </c>
      <c r="V269" s="9">
        <f>IF(OR(B269="",P269=""),"",U269/S269)</f>
        <v/>
      </c>
      <c r="W269">
        <f>IF(OR(B269="",P269=""),"",NETWORKDAYS(C269,P269)-1)</f>
        <v/>
      </c>
      <c r="X269">
        <f>IF(B269="","",IF(P269="","Aberto","Fechado"))</f>
        <v/>
      </c>
    </row>
    <row r="270">
      <c r="C270" s="6" t="n"/>
      <c r="E270" s="7" t="n"/>
      <c r="F270" s="8" t="n"/>
      <c r="G270" s="8" t="n"/>
      <c r="H270" s="8" t="n"/>
      <c r="J270" s="7" t="n"/>
      <c r="K270" s="8" t="n"/>
      <c r="L270" s="7" t="n"/>
      <c r="M270" s="8" t="n"/>
      <c r="N270" s="7" t="n"/>
      <c r="O270" s="8" t="n"/>
      <c r="P270" s="6" t="n"/>
      <c r="Q270" s="8" t="n"/>
      <c r="S270" s="8">
        <f>IF(B270="","",E270*F270)</f>
        <v/>
      </c>
      <c r="T270" s="8">
        <f>IF(OR(B270="",N(G270)=0),"",ABS(F270-G270)*E270)</f>
        <v/>
      </c>
      <c r="U270" s="8">
        <f>IF(OR(B270="",P270=""),"",IF(D270="Venda",-1,1)*((N(J270)*N(K270)+N(L270)*N(M270)+N(N270)*N(O270))-(N(J270)+N(L270)+N(N270))*F270)-N(Q270))</f>
        <v/>
      </c>
      <c r="V270" s="9">
        <f>IF(OR(B270="",P270=""),"",U270/S270)</f>
        <v/>
      </c>
      <c r="W270">
        <f>IF(OR(B270="",P270=""),"",NETWORKDAYS(C270,P270)-1)</f>
        <v/>
      </c>
      <c r="X270">
        <f>IF(B270="","",IF(P270="","Aberto","Fechado"))</f>
        <v/>
      </c>
    </row>
    <row r="271">
      <c r="C271" s="6" t="n"/>
      <c r="E271" s="7" t="n"/>
      <c r="F271" s="8" t="n"/>
      <c r="G271" s="8" t="n"/>
      <c r="H271" s="8" t="n"/>
      <c r="J271" s="7" t="n"/>
      <c r="K271" s="8" t="n"/>
      <c r="L271" s="7" t="n"/>
      <c r="M271" s="8" t="n"/>
      <c r="N271" s="7" t="n"/>
      <c r="O271" s="8" t="n"/>
      <c r="P271" s="6" t="n"/>
      <c r="Q271" s="8" t="n"/>
      <c r="S271" s="8">
        <f>IF(B271="","",E271*F271)</f>
        <v/>
      </c>
      <c r="T271" s="8">
        <f>IF(OR(B271="",N(G271)=0),"",ABS(F271-G271)*E271)</f>
        <v/>
      </c>
      <c r="U271" s="8">
        <f>IF(OR(B271="",P271=""),"",IF(D271="Venda",-1,1)*((N(J271)*N(K271)+N(L271)*N(M271)+N(N271)*N(O271))-(N(J271)+N(L271)+N(N271))*F271)-N(Q271))</f>
        <v/>
      </c>
      <c r="V271" s="9">
        <f>IF(OR(B271="",P271=""),"",U271/S271)</f>
        <v/>
      </c>
      <c r="W271">
        <f>IF(OR(B271="",P271=""),"",NETWORKDAYS(C271,P271)-1)</f>
        <v/>
      </c>
      <c r="X271">
        <f>IF(B271="","",IF(P271="","Aberto","Fechado"))</f>
        <v/>
      </c>
    </row>
    <row r="272">
      <c r="C272" s="6" t="n"/>
      <c r="E272" s="7" t="n"/>
      <c r="F272" s="8" t="n"/>
      <c r="G272" s="8" t="n"/>
      <c r="H272" s="8" t="n"/>
      <c r="J272" s="7" t="n"/>
      <c r="K272" s="8" t="n"/>
      <c r="L272" s="7" t="n"/>
      <c r="M272" s="8" t="n"/>
      <c r="N272" s="7" t="n"/>
      <c r="O272" s="8" t="n"/>
      <c r="P272" s="6" t="n"/>
      <c r="Q272" s="8" t="n"/>
      <c r="S272" s="8">
        <f>IF(B272="","",E272*F272)</f>
        <v/>
      </c>
      <c r="T272" s="8">
        <f>IF(OR(B272="",N(G272)=0),"",ABS(F272-G272)*E272)</f>
        <v/>
      </c>
      <c r="U272" s="8">
        <f>IF(OR(B272="",P272=""),"",IF(D272="Venda",-1,1)*((N(J272)*N(K272)+N(L272)*N(M272)+N(N272)*N(O272))-(N(J272)+N(L272)+N(N272))*F272)-N(Q272))</f>
        <v/>
      </c>
      <c r="V272" s="9">
        <f>IF(OR(B272="",P272=""),"",U272/S272)</f>
        <v/>
      </c>
      <c r="W272">
        <f>IF(OR(B272="",P272=""),"",NETWORKDAYS(C272,P272)-1)</f>
        <v/>
      </c>
      <c r="X272">
        <f>IF(B272="","",IF(P272="","Aberto","Fechado"))</f>
        <v/>
      </c>
    </row>
    <row r="273">
      <c r="C273" s="6" t="n"/>
      <c r="E273" s="7" t="n"/>
      <c r="F273" s="8" t="n"/>
      <c r="G273" s="8" t="n"/>
      <c r="H273" s="8" t="n"/>
      <c r="J273" s="7" t="n"/>
      <c r="K273" s="8" t="n"/>
      <c r="L273" s="7" t="n"/>
      <c r="M273" s="8" t="n"/>
      <c r="N273" s="7" t="n"/>
      <c r="O273" s="8" t="n"/>
      <c r="P273" s="6" t="n"/>
      <c r="Q273" s="8" t="n"/>
      <c r="S273" s="8">
        <f>IF(B273="","",E273*F273)</f>
        <v/>
      </c>
      <c r="T273" s="8">
        <f>IF(OR(B273="",N(G273)=0),"",ABS(F273-G273)*E273)</f>
        <v/>
      </c>
      <c r="U273" s="8">
        <f>IF(OR(B273="",P273=""),"",IF(D273="Venda",-1,1)*((N(J273)*N(K273)+N(L273)*N(M273)+N(N273)*N(O273))-(N(J273)+N(L273)+N(N273))*F273)-N(Q273))</f>
        <v/>
      </c>
      <c r="V273" s="9">
        <f>IF(OR(B273="",P273=""),"",U273/S273)</f>
        <v/>
      </c>
      <c r="W273">
        <f>IF(OR(B273="",P273=""),"",NETWORKDAYS(C273,P273)-1)</f>
        <v/>
      </c>
      <c r="X273">
        <f>IF(B273="","",IF(P273="","Aberto","Fechado"))</f>
        <v/>
      </c>
    </row>
    <row r="274">
      <c r="C274" s="6" t="n"/>
      <c r="E274" s="7" t="n"/>
      <c r="F274" s="8" t="n"/>
      <c r="G274" s="8" t="n"/>
      <c r="H274" s="8" t="n"/>
      <c r="J274" s="7" t="n"/>
      <c r="K274" s="8" t="n"/>
      <c r="L274" s="7" t="n"/>
      <c r="M274" s="8" t="n"/>
      <c r="N274" s="7" t="n"/>
      <c r="O274" s="8" t="n"/>
      <c r="P274" s="6" t="n"/>
      <c r="Q274" s="8" t="n"/>
      <c r="S274" s="8">
        <f>IF(B274="","",E274*F274)</f>
        <v/>
      </c>
      <c r="T274" s="8">
        <f>IF(OR(B274="",N(G274)=0),"",ABS(F274-G274)*E274)</f>
        <v/>
      </c>
      <c r="U274" s="8">
        <f>IF(OR(B274="",P274=""),"",IF(D274="Venda",-1,1)*((N(J274)*N(K274)+N(L274)*N(M274)+N(N274)*N(O274))-(N(J274)+N(L274)+N(N274))*F274)-N(Q274))</f>
        <v/>
      </c>
      <c r="V274" s="9">
        <f>IF(OR(B274="",P274=""),"",U274/S274)</f>
        <v/>
      </c>
      <c r="W274">
        <f>IF(OR(B274="",P274=""),"",NETWORKDAYS(C274,P274)-1)</f>
        <v/>
      </c>
      <c r="X274">
        <f>IF(B274="","",IF(P274="","Aberto","Fechado"))</f>
        <v/>
      </c>
    </row>
    <row r="275">
      <c r="C275" s="6" t="n"/>
      <c r="E275" s="7" t="n"/>
      <c r="F275" s="8" t="n"/>
      <c r="G275" s="8" t="n"/>
      <c r="H275" s="8" t="n"/>
      <c r="J275" s="7" t="n"/>
      <c r="K275" s="8" t="n"/>
      <c r="L275" s="7" t="n"/>
      <c r="M275" s="8" t="n"/>
      <c r="N275" s="7" t="n"/>
      <c r="O275" s="8" t="n"/>
      <c r="P275" s="6" t="n"/>
      <c r="Q275" s="8" t="n"/>
      <c r="S275" s="8">
        <f>IF(B275="","",E275*F275)</f>
        <v/>
      </c>
      <c r="T275" s="8">
        <f>IF(OR(B275="",N(G275)=0),"",ABS(F275-G275)*E275)</f>
        <v/>
      </c>
      <c r="U275" s="8">
        <f>IF(OR(B275="",P275=""),"",IF(D275="Venda",-1,1)*((N(J275)*N(K275)+N(L275)*N(M275)+N(N275)*N(O275))-(N(J275)+N(L275)+N(N275))*F275)-N(Q275))</f>
        <v/>
      </c>
      <c r="V275" s="9">
        <f>IF(OR(B275="",P275=""),"",U275/S275)</f>
        <v/>
      </c>
      <c r="W275">
        <f>IF(OR(B275="",P275=""),"",NETWORKDAYS(C275,P275)-1)</f>
        <v/>
      </c>
      <c r="X275">
        <f>IF(B275="","",IF(P275="","Aberto","Fechado"))</f>
        <v/>
      </c>
    </row>
    <row r="276">
      <c r="C276" s="6" t="n"/>
      <c r="E276" s="7" t="n"/>
      <c r="F276" s="8" t="n"/>
      <c r="G276" s="8" t="n"/>
      <c r="H276" s="8" t="n"/>
      <c r="J276" s="7" t="n"/>
      <c r="K276" s="8" t="n"/>
      <c r="L276" s="7" t="n"/>
      <c r="M276" s="8" t="n"/>
      <c r="N276" s="7" t="n"/>
      <c r="O276" s="8" t="n"/>
      <c r="P276" s="6" t="n"/>
      <c r="Q276" s="8" t="n"/>
      <c r="S276" s="8">
        <f>IF(B276="","",E276*F276)</f>
        <v/>
      </c>
      <c r="T276" s="8">
        <f>IF(OR(B276="",N(G276)=0),"",ABS(F276-G276)*E276)</f>
        <v/>
      </c>
      <c r="U276" s="8">
        <f>IF(OR(B276="",P276=""),"",IF(D276="Venda",-1,1)*((N(J276)*N(K276)+N(L276)*N(M276)+N(N276)*N(O276))-(N(J276)+N(L276)+N(N276))*F276)-N(Q276))</f>
        <v/>
      </c>
      <c r="V276" s="9">
        <f>IF(OR(B276="",P276=""),"",U276/S276)</f>
        <v/>
      </c>
      <c r="W276">
        <f>IF(OR(B276="",P276=""),"",NETWORKDAYS(C276,P276)-1)</f>
        <v/>
      </c>
      <c r="X276">
        <f>IF(B276="","",IF(P276="","Aberto","Fechado"))</f>
        <v/>
      </c>
    </row>
    <row r="277">
      <c r="C277" s="6" t="n"/>
      <c r="E277" s="7" t="n"/>
      <c r="F277" s="8" t="n"/>
      <c r="G277" s="8" t="n"/>
      <c r="H277" s="8" t="n"/>
      <c r="J277" s="7" t="n"/>
      <c r="K277" s="8" t="n"/>
      <c r="L277" s="7" t="n"/>
      <c r="M277" s="8" t="n"/>
      <c r="N277" s="7" t="n"/>
      <c r="O277" s="8" t="n"/>
      <c r="P277" s="6" t="n"/>
      <c r="Q277" s="8" t="n"/>
      <c r="S277" s="8">
        <f>IF(B277="","",E277*F277)</f>
        <v/>
      </c>
      <c r="T277" s="8">
        <f>IF(OR(B277="",N(G277)=0),"",ABS(F277-G277)*E277)</f>
        <v/>
      </c>
      <c r="U277" s="8">
        <f>IF(OR(B277="",P277=""),"",IF(D277="Venda",-1,1)*((N(J277)*N(K277)+N(L277)*N(M277)+N(N277)*N(O277))-(N(J277)+N(L277)+N(N277))*F277)-N(Q277))</f>
        <v/>
      </c>
      <c r="V277" s="9">
        <f>IF(OR(B277="",P277=""),"",U277/S277)</f>
        <v/>
      </c>
      <c r="W277">
        <f>IF(OR(B277="",P277=""),"",NETWORKDAYS(C277,P277)-1)</f>
        <v/>
      </c>
      <c r="X277">
        <f>IF(B277="","",IF(P277="","Aberto","Fechado"))</f>
        <v/>
      </c>
    </row>
    <row r="278">
      <c r="C278" s="6" t="n"/>
      <c r="E278" s="7" t="n"/>
      <c r="F278" s="8" t="n"/>
      <c r="G278" s="8" t="n"/>
      <c r="H278" s="8" t="n"/>
      <c r="J278" s="7" t="n"/>
      <c r="K278" s="8" t="n"/>
      <c r="L278" s="7" t="n"/>
      <c r="M278" s="8" t="n"/>
      <c r="N278" s="7" t="n"/>
      <c r="O278" s="8" t="n"/>
      <c r="P278" s="6" t="n"/>
      <c r="Q278" s="8" t="n"/>
      <c r="S278" s="8">
        <f>IF(B278="","",E278*F278)</f>
        <v/>
      </c>
      <c r="T278" s="8">
        <f>IF(OR(B278="",N(G278)=0),"",ABS(F278-G278)*E278)</f>
        <v/>
      </c>
      <c r="U278" s="8">
        <f>IF(OR(B278="",P278=""),"",IF(D278="Venda",-1,1)*((N(J278)*N(K278)+N(L278)*N(M278)+N(N278)*N(O278))-(N(J278)+N(L278)+N(N278))*F278)-N(Q278))</f>
        <v/>
      </c>
      <c r="V278" s="9">
        <f>IF(OR(B278="",P278=""),"",U278/S278)</f>
        <v/>
      </c>
      <c r="W278">
        <f>IF(OR(B278="",P278=""),"",NETWORKDAYS(C278,P278)-1)</f>
        <v/>
      </c>
      <c r="X278">
        <f>IF(B278="","",IF(P278="","Aberto","Fechado"))</f>
        <v/>
      </c>
    </row>
    <row r="279">
      <c r="C279" s="6" t="n"/>
      <c r="E279" s="7" t="n"/>
      <c r="F279" s="8" t="n"/>
      <c r="G279" s="8" t="n"/>
      <c r="H279" s="8" t="n"/>
      <c r="J279" s="7" t="n"/>
      <c r="K279" s="8" t="n"/>
      <c r="L279" s="7" t="n"/>
      <c r="M279" s="8" t="n"/>
      <c r="N279" s="7" t="n"/>
      <c r="O279" s="8" t="n"/>
      <c r="P279" s="6" t="n"/>
      <c r="Q279" s="8" t="n"/>
      <c r="S279" s="8">
        <f>IF(B279="","",E279*F279)</f>
        <v/>
      </c>
      <c r="T279" s="8">
        <f>IF(OR(B279="",N(G279)=0),"",ABS(F279-G279)*E279)</f>
        <v/>
      </c>
      <c r="U279" s="8">
        <f>IF(OR(B279="",P279=""),"",IF(D279="Venda",-1,1)*((N(J279)*N(K279)+N(L279)*N(M279)+N(N279)*N(O279))-(N(J279)+N(L279)+N(N279))*F279)-N(Q279))</f>
        <v/>
      </c>
      <c r="V279" s="9">
        <f>IF(OR(B279="",P279=""),"",U279/S279)</f>
        <v/>
      </c>
      <c r="W279">
        <f>IF(OR(B279="",P279=""),"",NETWORKDAYS(C279,P279)-1)</f>
        <v/>
      </c>
      <c r="X279">
        <f>IF(B279="","",IF(P279="","Aberto","Fechado"))</f>
        <v/>
      </c>
    </row>
    <row r="280">
      <c r="C280" s="6" t="n"/>
      <c r="E280" s="7" t="n"/>
      <c r="F280" s="8" t="n"/>
      <c r="G280" s="8" t="n"/>
      <c r="H280" s="8" t="n"/>
      <c r="J280" s="7" t="n"/>
      <c r="K280" s="8" t="n"/>
      <c r="L280" s="7" t="n"/>
      <c r="M280" s="8" t="n"/>
      <c r="N280" s="7" t="n"/>
      <c r="O280" s="8" t="n"/>
      <c r="P280" s="6" t="n"/>
      <c r="Q280" s="8" t="n"/>
      <c r="S280" s="8">
        <f>IF(B280="","",E280*F280)</f>
        <v/>
      </c>
      <c r="T280" s="8">
        <f>IF(OR(B280="",N(G280)=0),"",ABS(F280-G280)*E280)</f>
        <v/>
      </c>
      <c r="U280" s="8">
        <f>IF(OR(B280="",P280=""),"",IF(D280="Venda",-1,1)*((N(J280)*N(K280)+N(L280)*N(M280)+N(N280)*N(O280))-(N(J280)+N(L280)+N(N280))*F280)-N(Q280))</f>
        <v/>
      </c>
      <c r="V280" s="9">
        <f>IF(OR(B280="",P280=""),"",U280/S280)</f>
        <v/>
      </c>
      <c r="W280">
        <f>IF(OR(B280="",P280=""),"",NETWORKDAYS(C280,P280)-1)</f>
        <v/>
      </c>
      <c r="X280">
        <f>IF(B280="","",IF(P280="","Aberto","Fechado"))</f>
        <v/>
      </c>
    </row>
    <row r="281">
      <c r="C281" s="6" t="n"/>
      <c r="E281" s="7" t="n"/>
      <c r="F281" s="8" t="n"/>
      <c r="G281" s="8" t="n"/>
      <c r="H281" s="8" t="n"/>
      <c r="J281" s="7" t="n"/>
      <c r="K281" s="8" t="n"/>
      <c r="L281" s="7" t="n"/>
      <c r="M281" s="8" t="n"/>
      <c r="N281" s="7" t="n"/>
      <c r="O281" s="8" t="n"/>
      <c r="P281" s="6" t="n"/>
      <c r="Q281" s="8" t="n"/>
      <c r="S281" s="8">
        <f>IF(B281="","",E281*F281)</f>
        <v/>
      </c>
      <c r="T281" s="8">
        <f>IF(OR(B281="",N(G281)=0),"",ABS(F281-G281)*E281)</f>
        <v/>
      </c>
      <c r="U281" s="8">
        <f>IF(OR(B281="",P281=""),"",IF(D281="Venda",-1,1)*((N(J281)*N(K281)+N(L281)*N(M281)+N(N281)*N(O281))-(N(J281)+N(L281)+N(N281))*F281)-N(Q281))</f>
        <v/>
      </c>
      <c r="V281" s="9">
        <f>IF(OR(B281="",P281=""),"",U281/S281)</f>
        <v/>
      </c>
      <c r="W281">
        <f>IF(OR(B281="",P281=""),"",NETWORKDAYS(C281,P281)-1)</f>
        <v/>
      </c>
      <c r="X281">
        <f>IF(B281="","",IF(P281="","Aberto","Fechado"))</f>
        <v/>
      </c>
    </row>
    <row r="282">
      <c r="C282" s="6" t="n"/>
      <c r="E282" s="7" t="n"/>
      <c r="F282" s="8" t="n"/>
      <c r="G282" s="8" t="n"/>
      <c r="H282" s="8" t="n"/>
      <c r="J282" s="7" t="n"/>
      <c r="K282" s="8" t="n"/>
      <c r="L282" s="7" t="n"/>
      <c r="M282" s="8" t="n"/>
      <c r="N282" s="7" t="n"/>
      <c r="O282" s="8" t="n"/>
      <c r="P282" s="6" t="n"/>
      <c r="Q282" s="8" t="n"/>
      <c r="S282" s="8">
        <f>IF(B282="","",E282*F282)</f>
        <v/>
      </c>
      <c r="T282" s="8">
        <f>IF(OR(B282="",N(G282)=0),"",ABS(F282-G282)*E282)</f>
        <v/>
      </c>
      <c r="U282" s="8">
        <f>IF(OR(B282="",P282=""),"",IF(D282="Venda",-1,1)*((N(J282)*N(K282)+N(L282)*N(M282)+N(N282)*N(O282))-(N(J282)+N(L282)+N(N282))*F282)-N(Q282))</f>
        <v/>
      </c>
      <c r="V282" s="9">
        <f>IF(OR(B282="",P282=""),"",U282/S282)</f>
        <v/>
      </c>
      <c r="W282">
        <f>IF(OR(B282="",P282=""),"",NETWORKDAYS(C282,P282)-1)</f>
        <v/>
      </c>
      <c r="X282">
        <f>IF(B282="","",IF(P282="","Aberto","Fechado"))</f>
        <v/>
      </c>
    </row>
    <row r="283">
      <c r="C283" s="6" t="n"/>
      <c r="E283" s="7" t="n"/>
      <c r="F283" s="8" t="n"/>
      <c r="G283" s="8" t="n"/>
      <c r="H283" s="8" t="n"/>
      <c r="J283" s="7" t="n"/>
      <c r="K283" s="8" t="n"/>
      <c r="L283" s="7" t="n"/>
      <c r="M283" s="8" t="n"/>
      <c r="N283" s="7" t="n"/>
      <c r="O283" s="8" t="n"/>
      <c r="P283" s="6" t="n"/>
      <c r="Q283" s="8" t="n"/>
      <c r="S283" s="8">
        <f>IF(B283="","",E283*F283)</f>
        <v/>
      </c>
      <c r="T283" s="8">
        <f>IF(OR(B283="",N(G283)=0),"",ABS(F283-G283)*E283)</f>
        <v/>
      </c>
      <c r="U283" s="8">
        <f>IF(OR(B283="",P283=""),"",IF(D283="Venda",-1,1)*((N(J283)*N(K283)+N(L283)*N(M283)+N(N283)*N(O283))-(N(J283)+N(L283)+N(N283))*F283)-N(Q283))</f>
        <v/>
      </c>
      <c r="V283" s="9">
        <f>IF(OR(B283="",P283=""),"",U283/S283)</f>
        <v/>
      </c>
      <c r="W283">
        <f>IF(OR(B283="",P283=""),"",NETWORKDAYS(C283,P283)-1)</f>
        <v/>
      </c>
      <c r="X283">
        <f>IF(B283="","",IF(P283="","Aberto","Fechado"))</f>
        <v/>
      </c>
    </row>
    <row r="284">
      <c r="C284" s="6" t="n"/>
      <c r="E284" s="7" t="n"/>
      <c r="F284" s="8" t="n"/>
      <c r="G284" s="8" t="n"/>
      <c r="H284" s="8" t="n"/>
      <c r="J284" s="7" t="n"/>
      <c r="K284" s="8" t="n"/>
      <c r="L284" s="7" t="n"/>
      <c r="M284" s="8" t="n"/>
      <c r="N284" s="7" t="n"/>
      <c r="O284" s="8" t="n"/>
      <c r="P284" s="6" t="n"/>
      <c r="Q284" s="8" t="n"/>
      <c r="S284" s="8">
        <f>IF(B284="","",E284*F284)</f>
        <v/>
      </c>
      <c r="T284" s="8">
        <f>IF(OR(B284="",N(G284)=0),"",ABS(F284-G284)*E284)</f>
        <v/>
      </c>
      <c r="U284" s="8">
        <f>IF(OR(B284="",P284=""),"",IF(D284="Venda",-1,1)*((N(J284)*N(K284)+N(L284)*N(M284)+N(N284)*N(O284))-(N(J284)+N(L284)+N(N284))*F284)-N(Q284))</f>
        <v/>
      </c>
      <c r="V284" s="9">
        <f>IF(OR(B284="",P284=""),"",U284/S284)</f>
        <v/>
      </c>
      <c r="W284">
        <f>IF(OR(B284="",P284=""),"",NETWORKDAYS(C284,P284)-1)</f>
        <v/>
      </c>
      <c r="X284">
        <f>IF(B284="","",IF(P284="","Aberto","Fechado"))</f>
        <v/>
      </c>
    </row>
    <row r="285">
      <c r="C285" s="6" t="n"/>
      <c r="E285" s="7" t="n"/>
      <c r="F285" s="8" t="n"/>
      <c r="G285" s="8" t="n"/>
      <c r="H285" s="8" t="n"/>
      <c r="J285" s="7" t="n"/>
      <c r="K285" s="8" t="n"/>
      <c r="L285" s="7" t="n"/>
      <c r="M285" s="8" t="n"/>
      <c r="N285" s="7" t="n"/>
      <c r="O285" s="8" t="n"/>
      <c r="P285" s="6" t="n"/>
      <c r="Q285" s="8" t="n"/>
      <c r="S285" s="8">
        <f>IF(B285="","",E285*F285)</f>
        <v/>
      </c>
      <c r="T285" s="8">
        <f>IF(OR(B285="",N(G285)=0),"",ABS(F285-G285)*E285)</f>
        <v/>
      </c>
      <c r="U285" s="8">
        <f>IF(OR(B285="",P285=""),"",IF(D285="Venda",-1,1)*((N(J285)*N(K285)+N(L285)*N(M285)+N(N285)*N(O285))-(N(J285)+N(L285)+N(N285))*F285)-N(Q285))</f>
        <v/>
      </c>
      <c r="V285" s="9">
        <f>IF(OR(B285="",P285=""),"",U285/S285)</f>
        <v/>
      </c>
      <c r="W285">
        <f>IF(OR(B285="",P285=""),"",NETWORKDAYS(C285,P285)-1)</f>
        <v/>
      </c>
      <c r="X285">
        <f>IF(B285="","",IF(P285="","Aberto","Fechado"))</f>
        <v/>
      </c>
    </row>
    <row r="286">
      <c r="C286" s="6" t="n"/>
      <c r="E286" s="7" t="n"/>
      <c r="F286" s="8" t="n"/>
      <c r="G286" s="8" t="n"/>
      <c r="H286" s="8" t="n"/>
      <c r="J286" s="7" t="n"/>
      <c r="K286" s="8" t="n"/>
      <c r="L286" s="7" t="n"/>
      <c r="M286" s="8" t="n"/>
      <c r="N286" s="7" t="n"/>
      <c r="O286" s="8" t="n"/>
      <c r="P286" s="6" t="n"/>
      <c r="Q286" s="8" t="n"/>
      <c r="S286" s="8">
        <f>IF(B286="","",E286*F286)</f>
        <v/>
      </c>
      <c r="T286" s="8">
        <f>IF(OR(B286="",N(G286)=0),"",ABS(F286-G286)*E286)</f>
        <v/>
      </c>
      <c r="U286" s="8">
        <f>IF(OR(B286="",P286=""),"",IF(D286="Venda",-1,1)*((N(J286)*N(K286)+N(L286)*N(M286)+N(N286)*N(O286))-(N(J286)+N(L286)+N(N286))*F286)-N(Q286))</f>
        <v/>
      </c>
      <c r="V286" s="9">
        <f>IF(OR(B286="",P286=""),"",U286/S286)</f>
        <v/>
      </c>
      <c r="W286">
        <f>IF(OR(B286="",P286=""),"",NETWORKDAYS(C286,P286)-1)</f>
        <v/>
      </c>
      <c r="X286">
        <f>IF(B286="","",IF(P286="","Aberto","Fechado"))</f>
        <v/>
      </c>
    </row>
    <row r="287">
      <c r="C287" s="6" t="n"/>
      <c r="E287" s="7" t="n"/>
      <c r="F287" s="8" t="n"/>
      <c r="G287" s="8" t="n"/>
      <c r="H287" s="8" t="n"/>
      <c r="J287" s="7" t="n"/>
      <c r="K287" s="8" t="n"/>
      <c r="L287" s="7" t="n"/>
      <c r="M287" s="8" t="n"/>
      <c r="N287" s="7" t="n"/>
      <c r="O287" s="8" t="n"/>
      <c r="P287" s="6" t="n"/>
      <c r="Q287" s="8" t="n"/>
      <c r="S287" s="8">
        <f>IF(B287="","",E287*F287)</f>
        <v/>
      </c>
      <c r="T287" s="8">
        <f>IF(OR(B287="",N(G287)=0),"",ABS(F287-G287)*E287)</f>
        <v/>
      </c>
      <c r="U287" s="8">
        <f>IF(OR(B287="",P287=""),"",IF(D287="Venda",-1,1)*((N(J287)*N(K287)+N(L287)*N(M287)+N(N287)*N(O287))-(N(J287)+N(L287)+N(N287))*F287)-N(Q287))</f>
        <v/>
      </c>
      <c r="V287" s="9">
        <f>IF(OR(B287="",P287=""),"",U287/S287)</f>
        <v/>
      </c>
      <c r="W287">
        <f>IF(OR(B287="",P287=""),"",NETWORKDAYS(C287,P287)-1)</f>
        <v/>
      </c>
      <c r="X287">
        <f>IF(B287="","",IF(P287="","Aberto","Fechado"))</f>
        <v/>
      </c>
    </row>
    <row r="288">
      <c r="C288" s="6" t="n"/>
      <c r="E288" s="7" t="n"/>
      <c r="F288" s="8" t="n"/>
      <c r="G288" s="8" t="n"/>
      <c r="H288" s="8" t="n"/>
      <c r="J288" s="7" t="n"/>
      <c r="K288" s="8" t="n"/>
      <c r="L288" s="7" t="n"/>
      <c r="M288" s="8" t="n"/>
      <c r="N288" s="7" t="n"/>
      <c r="O288" s="8" t="n"/>
      <c r="P288" s="6" t="n"/>
      <c r="Q288" s="8" t="n"/>
      <c r="S288" s="8">
        <f>IF(B288="","",E288*F288)</f>
        <v/>
      </c>
      <c r="T288" s="8">
        <f>IF(OR(B288="",N(G288)=0),"",ABS(F288-G288)*E288)</f>
        <v/>
      </c>
      <c r="U288" s="8">
        <f>IF(OR(B288="",P288=""),"",IF(D288="Venda",-1,1)*((N(J288)*N(K288)+N(L288)*N(M288)+N(N288)*N(O288))-(N(J288)+N(L288)+N(N288))*F288)-N(Q288))</f>
        <v/>
      </c>
      <c r="V288" s="9">
        <f>IF(OR(B288="",P288=""),"",U288/S288)</f>
        <v/>
      </c>
      <c r="W288">
        <f>IF(OR(B288="",P288=""),"",NETWORKDAYS(C288,P288)-1)</f>
        <v/>
      </c>
      <c r="X288">
        <f>IF(B288="","",IF(P288="","Aberto","Fechado"))</f>
        <v/>
      </c>
    </row>
    <row r="289">
      <c r="C289" s="6" t="n"/>
      <c r="E289" s="7" t="n"/>
      <c r="F289" s="8" t="n"/>
      <c r="G289" s="8" t="n"/>
      <c r="H289" s="8" t="n"/>
      <c r="J289" s="7" t="n"/>
      <c r="K289" s="8" t="n"/>
      <c r="L289" s="7" t="n"/>
      <c r="M289" s="8" t="n"/>
      <c r="N289" s="7" t="n"/>
      <c r="O289" s="8" t="n"/>
      <c r="P289" s="6" t="n"/>
      <c r="Q289" s="8" t="n"/>
      <c r="S289" s="8">
        <f>IF(B289="","",E289*F289)</f>
        <v/>
      </c>
      <c r="T289" s="8">
        <f>IF(OR(B289="",N(G289)=0),"",ABS(F289-G289)*E289)</f>
        <v/>
      </c>
      <c r="U289" s="8">
        <f>IF(OR(B289="",P289=""),"",IF(D289="Venda",-1,1)*((N(J289)*N(K289)+N(L289)*N(M289)+N(N289)*N(O289))-(N(J289)+N(L289)+N(N289))*F289)-N(Q289))</f>
        <v/>
      </c>
      <c r="V289" s="9">
        <f>IF(OR(B289="",P289=""),"",U289/S289)</f>
        <v/>
      </c>
      <c r="W289">
        <f>IF(OR(B289="",P289=""),"",NETWORKDAYS(C289,P289)-1)</f>
        <v/>
      </c>
      <c r="X289">
        <f>IF(B289="","",IF(P289="","Aberto","Fechado"))</f>
        <v/>
      </c>
    </row>
    <row r="290">
      <c r="C290" s="6" t="n"/>
      <c r="E290" s="7" t="n"/>
      <c r="F290" s="8" t="n"/>
      <c r="G290" s="8" t="n"/>
      <c r="H290" s="8" t="n"/>
      <c r="J290" s="7" t="n"/>
      <c r="K290" s="8" t="n"/>
      <c r="L290" s="7" t="n"/>
      <c r="M290" s="8" t="n"/>
      <c r="N290" s="7" t="n"/>
      <c r="O290" s="8" t="n"/>
      <c r="P290" s="6" t="n"/>
      <c r="Q290" s="8" t="n"/>
      <c r="S290" s="8">
        <f>IF(B290="","",E290*F290)</f>
        <v/>
      </c>
      <c r="T290" s="8">
        <f>IF(OR(B290="",N(G290)=0),"",ABS(F290-G290)*E290)</f>
        <v/>
      </c>
      <c r="U290" s="8">
        <f>IF(OR(B290="",P290=""),"",IF(D290="Venda",-1,1)*((N(J290)*N(K290)+N(L290)*N(M290)+N(N290)*N(O290))-(N(J290)+N(L290)+N(N290))*F290)-N(Q290))</f>
        <v/>
      </c>
      <c r="V290" s="9">
        <f>IF(OR(B290="",P290=""),"",U290/S290)</f>
        <v/>
      </c>
      <c r="W290">
        <f>IF(OR(B290="",P290=""),"",NETWORKDAYS(C290,P290)-1)</f>
        <v/>
      </c>
      <c r="X290">
        <f>IF(B290="","",IF(P290="","Aberto","Fechado"))</f>
        <v/>
      </c>
    </row>
    <row r="291">
      <c r="C291" s="6" t="n"/>
      <c r="E291" s="7" t="n"/>
      <c r="F291" s="8" t="n"/>
      <c r="G291" s="8" t="n"/>
      <c r="H291" s="8" t="n"/>
      <c r="J291" s="7" t="n"/>
      <c r="K291" s="8" t="n"/>
      <c r="L291" s="7" t="n"/>
      <c r="M291" s="8" t="n"/>
      <c r="N291" s="7" t="n"/>
      <c r="O291" s="8" t="n"/>
      <c r="P291" s="6" t="n"/>
      <c r="Q291" s="8" t="n"/>
      <c r="S291" s="8">
        <f>IF(B291="","",E291*F291)</f>
        <v/>
      </c>
      <c r="T291" s="8">
        <f>IF(OR(B291="",N(G291)=0),"",ABS(F291-G291)*E291)</f>
        <v/>
      </c>
      <c r="U291" s="8">
        <f>IF(OR(B291="",P291=""),"",IF(D291="Venda",-1,1)*((N(J291)*N(K291)+N(L291)*N(M291)+N(N291)*N(O291))-(N(J291)+N(L291)+N(N291))*F291)-N(Q291))</f>
        <v/>
      </c>
      <c r="V291" s="9">
        <f>IF(OR(B291="",P291=""),"",U291/S291)</f>
        <v/>
      </c>
      <c r="W291">
        <f>IF(OR(B291="",P291=""),"",NETWORKDAYS(C291,P291)-1)</f>
        <v/>
      </c>
      <c r="X291">
        <f>IF(B291="","",IF(P291="","Aberto","Fechado"))</f>
        <v/>
      </c>
    </row>
    <row r="292">
      <c r="C292" s="6" t="n"/>
      <c r="E292" s="7" t="n"/>
      <c r="F292" s="8" t="n"/>
      <c r="G292" s="8" t="n"/>
      <c r="H292" s="8" t="n"/>
      <c r="J292" s="7" t="n"/>
      <c r="K292" s="8" t="n"/>
      <c r="L292" s="7" t="n"/>
      <c r="M292" s="8" t="n"/>
      <c r="N292" s="7" t="n"/>
      <c r="O292" s="8" t="n"/>
      <c r="P292" s="6" t="n"/>
      <c r="Q292" s="8" t="n"/>
      <c r="S292" s="8">
        <f>IF(B292="","",E292*F292)</f>
        <v/>
      </c>
      <c r="T292" s="8">
        <f>IF(OR(B292="",N(G292)=0),"",ABS(F292-G292)*E292)</f>
        <v/>
      </c>
      <c r="U292" s="8">
        <f>IF(OR(B292="",P292=""),"",IF(D292="Venda",-1,1)*((N(J292)*N(K292)+N(L292)*N(M292)+N(N292)*N(O292))-(N(J292)+N(L292)+N(N292))*F292)-N(Q292))</f>
        <v/>
      </c>
      <c r="V292" s="9">
        <f>IF(OR(B292="",P292=""),"",U292/S292)</f>
        <v/>
      </c>
      <c r="W292">
        <f>IF(OR(B292="",P292=""),"",NETWORKDAYS(C292,P292)-1)</f>
        <v/>
      </c>
      <c r="X292">
        <f>IF(B292="","",IF(P292="","Aberto","Fechado"))</f>
        <v/>
      </c>
    </row>
    <row r="293">
      <c r="C293" s="6" t="n"/>
      <c r="E293" s="7" t="n"/>
      <c r="F293" s="8" t="n"/>
      <c r="G293" s="8" t="n"/>
      <c r="H293" s="8" t="n"/>
      <c r="J293" s="7" t="n"/>
      <c r="K293" s="8" t="n"/>
      <c r="L293" s="7" t="n"/>
      <c r="M293" s="8" t="n"/>
      <c r="N293" s="7" t="n"/>
      <c r="O293" s="8" t="n"/>
      <c r="P293" s="6" t="n"/>
      <c r="Q293" s="8" t="n"/>
      <c r="S293" s="8">
        <f>IF(B293="","",E293*F293)</f>
        <v/>
      </c>
      <c r="T293" s="8">
        <f>IF(OR(B293="",N(G293)=0),"",ABS(F293-G293)*E293)</f>
        <v/>
      </c>
      <c r="U293" s="8">
        <f>IF(OR(B293="",P293=""),"",IF(D293="Venda",-1,1)*((N(J293)*N(K293)+N(L293)*N(M293)+N(N293)*N(O293))-(N(J293)+N(L293)+N(N293))*F293)-N(Q293))</f>
        <v/>
      </c>
      <c r="V293" s="9">
        <f>IF(OR(B293="",P293=""),"",U293/S293)</f>
        <v/>
      </c>
      <c r="W293">
        <f>IF(OR(B293="",P293=""),"",NETWORKDAYS(C293,P293)-1)</f>
        <v/>
      </c>
      <c r="X293">
        <f>IF(B293="","",IF(P293="","Aberto","Fechado"))</f>
        <v/>
      </c>
    </row>
    <row r="294">
      <c r="C294" s="6" t="n"/>
      <c r="E294" s="7" t="n"/>
      <c r="F294" s="8" t="n"/>
      <c r="G294" s="8" t="n"/>
      <c r="H294" s="8" t="n"/>
      <c r="J294" s="7" t="n"/>
      <c r="K294" s="8" t="n"/>
      <c r="L294" s="7" t="n"/>
      <c r="M294" s="8" t="n"/>
      <c r="N294" s="7" t="n"/>
      <c r="O294" s="8" t="n"/>
      <c r="P294" s="6" t="n"/>
      <c r="Q294" s="8" t="n"/>
      <c r="S294" s="8">
        <f>IF(B294="","",E294*F294)</f>
        <v/>
      </c>
      <c r="T294" s="8">
        <f>IF(OR(B294="",N(G294)=0),"",ABS(F294-G294)*E294)</f>
        <v/>
      </c>
      <c r="U294" s="8">
        <f>IF(OR(B294="",P294=""),"",IF(D294="Venda",-1,1)*((N(J294)*N(K294)+N(L294)*N(M294)+N(N294)*N(O294))-(N(J294)+N(L294)+N(N294))*F294)-N(Q294))</f>
        <v/>
      </c>
      <c r="V294" s="9">
        <f>IF(OR(B294="",P294=""),"",U294/S294)</f>
        <v/>
      </c>
      <c r="W294">
        <f>IF(OR(B294="",P294=""),"",NETWORKDAYS(C294,P294)-1)</f>
        <v/>
      </c>
      <c r="X294">
        <f>IF(B294="","",IF(P294="","Aberto","Fechado"))</f>
        <v/>
      </c>
    </row>
    <row r="295">
      <c r="C295" s="6" t="n"/>
      <c r="E295" s="7" t="n"/>
      <c r="F295" s="8" t="n"/>
      <c r="G295" s="8" t="n"/>
      <c r="H295" s="8" t="n"/>
      <c r="J295" s="7" t="n"/>
      <c r="K295" s="8" t="n"/>
      <c r="L295" s="7" t="n"/>
      <c r="M295" s="8" t="n"/>
      <c r="N295" s="7" t="n"/>
      <c r="O295" s="8" t="n"/>
      <c r="P295" s="6" t="n"/>
      <c r="Q295" s="8" t="n"/>
      <c r="S295" s="8">
        <f>IF(B295="","",E295*F295)</f>
        <v/>
      </c>
      <c r="T295" s="8">
        <f>IF(OR(B295="",N(G295)=0),"",ABS(F295-G295)*E295)</f>
        <v/>
      </c>
      <c r="U295" s="8">
        <f>IF(OR(B295="",P295=""),"",IF(D295="Venda",-1,1)*((N(J295)*N(K295)+N(L295)*N(M295)+N(N295)*N(O295))-(N(J295)+N(L295)+N(N295))*F295)-N(Q295))</f>
        <v/>
      </c>
      <c r="V295" s="9">
        <f>IF(OR(B295="",P295=""),"",U295/S295)</f>
        <v/>
      </c>
      <c r="W295">
        <f>IF(OR(B295="",P295=""),"",NETWORKDAYS(C295,P295)-1)</f>
        <v/>
      </c>
      <c r="X295">
        <f>IF(B295="","",IF(P295="","Aberto","Fechado"))</f>
        <v/>
      </c>
    </row>
    <row r="296">
      <c r="C296" s="6" t="n"/>
      <c r="E296" s="7" t="n"/>
      <c r="F296" s="8" t="n"/>
      <c r="G296" s="8" t="n"/>
      <c r="H296" s="8" t="n"/>
      <c r="J296" s="7" t="n"/>
      <c r="K296" s="8" t="n"/>
      <c r="L296" s="7" t="n"/>
      <c r="M296" s="8" t="n"/>
      <c r="N296" s="7" t="n"/>
      <c r="O296" s="8" t="n"/>
      <c r="P296" s="6" t="n"/>
      <c r="Q296" s="8" t="n"/>
      <c r="S296" s="8">
        <f>IF(B296="","",E296*F296)</f>
        <v/>
      </c>
      <c r="T296" s="8">
        <f>IF(OR(B296="",N(G296)=0),"",ABS(F296-G296)*E296)</f>
        <v/>
      </c>
      <c r="U296" s="8">
        <f>IF(OR(B296="",P296=""),"",IF(D296="Venda",-1,1)*((N(J296)*N(K296)+N(L296)*N(M296)+N(N296)*N(O296))-(N(J296)+N(L296)+N(N296))*F296)-N(Q296))</f>
        <v/>
      </c>
      <c r="V296" s="9">
        <f>IF(OR(B296="",P296=""),"",U296/S296)</f>
        <v/>
      </c>
      <c r="W296">
        <f>IF(OR(B296="",P296=""),"",NETWORKDAYS(C296,P296)-1)</f>
        <v/>
      </c>
      <c r="X296">
        <f>IF(B296="","",IF(P296="","Aberto","Fechado"))</f>
        <v/>
      </c>
    </row>
    <row r="297">
      <c r="C297" s="6" t="n"/>
      <c r="E297" s="7" t="n"/>
      <c r="F297" s="8" t="n"/>
      <c r="G297" s="8" t="n"/>
      <c r="H297" s="8" t="n"/>
      <c r="J297" s="7" t="n"/>
      <c r="K297" s="8" t="n"/>
      <c r="L297" s="7" t="n"/>
      <c r="M297" s="8" t="n"/>
      <c r="N297" s="7" t="n"/>
      <c r="O297" s="8" t="n"/>
      <c r="P297" s="6" t="n"/>
      <c r="Q297" s="8" t="n"/>
      <c r="S297" s="8">
        <f>IF(B297="","",E297*F297)</f>
        <v/>
      </c>
      <c r="T297" s="8">
        <f>IF(OR(B297="",N(G297)=0),"",ABS(F297-G297)*E297)</f>
        <v/>
      </c>
      <c r="U297" s="8">
        <f>IF(OR(B297="",P297=""),"",IF(D297="Venda",-1,1)*((N(J297)*N(K297)+N(L297)*N(M297)+N(N297)*N(O297))-(N(J297)+N(L297)+N(N297))*F297)-N(Q297))</f>
        <v/>
      </c>
      <c r="V297" s="9">
        <f>IF(OR(B297="",P297=""),"",U297/S297)</f>
        <v/>
      </c>
      <c r="W297">
        <f>IF(OR(B297="",P297=""),"",NETWORKDAYS(C297,P297)-1)</f>
        <v/>
      </c>
      <c r="X297">
        <f>IF(B297="","",IF(P297="","Aberto","Fechado"))</f>
        <v/>
      </c>
    </row>
    <row r="298">
      <c r="C298" s="6" t="n"/>
      <c r="E298" s="7" t="n"/>
      <c r="F298" s="8" t="n"/>
      <c r="G298" s="8" t="n"/>
      <c r="H298" s="8" t="n"/>
      <c r="J298" s="7" t="n"/>
      <c r="K298" s="8" t="n"/>
      <c r="L298" s="7" t="n"/>
      <c r="M298" s="8" t="n"/>
      <c r="N298" s="7" t="n"/>
      <c r="O298" s="8" t="n"/>
      <c r="P298" s="6" t="n"/>
      <c r="Q298" s="8" t="n"/>
      <c r="S298" s="8">
        <f>IF(B298="","",E298*F298)</f>
        <v/>
      </c>
      <c r="T298" s="8">
        <f>IF(OR(B298="",N(G298)=0),"",ABS(F298-G298)*E298)</f>
        <v/>
      </c>
      <c r="U298" s="8">
        <f>IF(OR(B298="",P298=""),"",IF(D298="Venda",-1,1)*((N(J298)*N(K298)+N(L298)*N(M298)+N(N298)*N(O298))-(N(J298)+N(L298)+N(N298))*F298)-N(Q298))</f>
        <v/>
      </c>
      <c r="V298" s="9">
        <f>IF(OR(B298="",P298=""),"",U298/S298)</f>
        <v/>
      </c>
      <c r="W298">
        <f>IF(OR(B298="",P298=""),"",NETWORKDAYS(C298,P298)-1)</f>
        <v/>
      </c>
      <c r="X298">
        <f>IF(B298="","",IF(P298="","Aberto","Fechado"))</f>
        <v/>
      </c>
    </row>
    <row r="299">
      <c r="C299" s="6" t="n"/>
      <c r="E299" s="7" t="n"/>
      <c r="F299" s="8" t="n"/>
      <c r="G299" s="8" t="n"/>
      <c r="H299" s="8" t="n"/>
      <c r="J299" s="7" t="n"/>
      <c r="K299" s="8" t="n"/>
      <c r="L299" s="7" t="n"/>
      <c r="M299" s="8" t="n"/>
      <c r="N299" s="7" t="n"/>
      <c r="O299" s="8" t="n"/>
      <c r="P299" s="6" t="n"/>
      <c r="Q299" s="8" t="n"/>
      <c r="S299" s="8">
        <f>IF(B299="","",E299*F299)</f>
        <v/>
      </c>
      <c r="T299" s="8">
        <f>IF(OR(B299="",N(G299)=0),"",ABS(F299-G299)*E299)</f>
        <v/>
      </c>
      <c r="U299" s="8">
        <f>IF(OR(B299="",P299=""),"",IF(D299="Venda",-1,1)*((N(J299)*N(K299)+N(L299)*N(M299)+N(N299)*N(O299))-(N(J299)+N(L299)+N(N299))*F299)-N(Q299))</f>
        <v/>
      </c>
      <c r="V299" s="9">
        <f>IF(OR(B299="",P299=""),"",U299/S299)</f>
        <v/>
      </c>
      <c r="W299">
        <f>IF(OR(B299="",P299=""),"",NETWORKDAYS(C299,P299)-1)</f>
        <v/>
      </c>
      <c r="X299">
        <f>IF(B299="","",IF(P299="","Aberto","Fechado"))</f>
        <v/>
      </c>
    </row>
    <row r="300">
      <c r="C300" s="6" t="n"/>
      <c r="E300" s="7" t="n"/>
      <c r="F300" s="8" t="n"/>
      <c r="G300" s="8" t="n"/>
      <c r="H300" s="8" t="n"/>
      <c r="J300" s="7" t="n"/>
      <c r="K300" s="8" t="n"/>
      <c r="L300" s="7" t="n"/>
      <c r="M300" s="8" t="n"/>
      <c r="N300" s="7" t="n"/>
      <c r="O300" s="8" t="n"/>
      <c r="P300" s="6" t="n"/>
      <c r="Q300" s="8" t="n"/>
      <c r="S300" s="8">
        <f>IF(B300="","",E300*F300)</f>
        <v/>
      </c>
      <c r="T300" s="8">
        <f>IF(OR(B300="",N(G300)=0),"",ABS(F300-G300)*E300)</f>
        <v/>
      </c>
      <c r="U300" s="8">
        <f>IF(OR(B300="",P300=""),"",IF(D300="Venda",-1,1)*((N(J300)*N(K300)+N(L300)*N(M300)+N(N300)*N(O300))-(N(J300)+N(L300)+N(N300))*F300)-N(Q300))</f>
        <v/>
      </c>
      <c r="V300" s="9">
        <f>IF(OR(B300="",P300=""),"",U300/S300)</f>
        <v/>
      </c>
      <c r="W300">
        <f>IF(OR(B300="",P300=""),"",NETWORKDAYS(C300,P300)-1)</f>
        <v/>
      </c>
      <c r="X300">
        <f>IF(B300="","",IF(P300="","Aberto","Fechado"))</f>
        <v/>
      </c>
    </row>
    <row r="301">
      <c r="C301" s="6" t="n"/>
      <c r="E301" s="7" t="n"/>
      <c r="F301" s="8" t="n"/>
      <c r="G301" s="8" t="n"/>
      <c r="H301" s="8" t="n"/>
      <c r="J301" s="7" t="n"/>
      <c r="K301" s="8" t="n"/>
      <c r="L301" s="7" t="n"/>
      <c r="M301" s="8" t="n"/>
      <c r="N301" s="7" t="n"/>
      <c r="O301" s="8" t="n"/>
      <c r="P301" s="6" t="n"/>
      <c r="Q301" s="8" t="n"/>
      <c r="S301" s="8">
        <f>IF(B301="","",E301*F301)</f>
        <v/>
      </c>
      <c r="T301" s="8">
        <f>IF(OR(B301="",N(G301)=0),"",ABS(F301-G301)*E301)</f>
        <v/>
      </c>
      <c r="U301" s="8">
        <f>IF(OR(B301="",P301=""),"",IF(D301="Venda",-1,1)*((N(J301)*N(K301)+N(L301)*N(M301)+N(N301)*N(O301))-(N(J301)+N(L301)+N(N301))*F301)-N(Q301))</f>
        <v/>
      </c>
      <c r="V301" s="9">
        <f>IF(OR(B301="",P301=""),"",U301/S301)</f>
        <v/>
      </c>
      <c r="W301">
        <f>IF(OR(B301="",P301=""),"",NETWORKDAYS(C301,P301)-1)</f>
        <v/>
      </c>
      <c r="X301">
        <f>IF(B301="","",IF(P301="","Aberto","Fechado"))</f>
        <v/>
      </c>
    </row>
    <row r="302">
      <c r="C302" s="6" t="n"/>
      <c r="E302" s="7" t="n"/>
      <c r="F302" s="8" t="n"/>
      <c r="G302" s="8" t="n"/>
      <c r="H302" s="8" t="n"/>
      <c r="J302" s="7" t="n"/>
      <c r="K302" s="8" t="n"/>
      <c r="L302" s="7" t="n"/>
      <c r="M302" s="8" t="n"/>
      <c r="N302" s="7" t="n"/>
      <c r="O302" s="8" t="n"/>
      <c r="P302" s="6" t="n"/>
      <c r="Q302" s="8" t="n"/>
      <c r="S302" s="8">
        <f>IF(B302="","",E302*F302)</f>
        <v/>
      </c>
      <c r="T302" s="8">
        <f>IF(OR(B302="",N(G302)=0),"",ABS(F302-G302)*E302)</f>
        <v/>
      </c>
      <c r="U302" s="8">
        <f>IF(OR(B302="",P302=""),"",IF(D302="Venda",-1,1)*((N(J302)*N(K302)+N(L302)*N(M302)+N(N302)*N(O302))-(N(J302)+N(L302)+N(N302))*F302)-N(Q302))</f>
        <v/>
      </c>
      <c r="V302" s="9">
        <f>IF(OR(B302="",P302=""),"",U302/S302)</f>
        <v/>
      </c>
      <c r="W302">
        <f>IF(OR(B302="",P302=""),"",NETWORKDAYS(C302,P302)-1)</f>
        <v/>
      </c>
      <c r="X302">
        <f>IF(B302="","",IF(P302="","Aberto","Fechado"))</f>
        <v/>
      </c>
    </row>
    <row r="303">
      <c r="C303" s="6" t="n"/>
      <c r="E303" s="7" t="n"/>
      <c r="F303" s="8" t="n"/>
      <c r="G303" s="8" t="n"/>
      <c r="H303" s="8" t="n"/>
      <c r="J303" s="7" t="n"/>
      <c r="K303" s="8" t="n"/>
      <c r="L303" s="7" t="n"/>
      <c r="M303" s="8" t="n"/>
      <c r="N303" s="7" t="n"/>
      <c r="O303" s="8" t="n"/>
      <c r="P303" s="6" t="n"/>
      <c r="Q303" s="8" t="n"/>
      <c r="S303" s="8">
        <f>IF(B303="","",E303*F303)</f>
        <v/>
      </c>
      <c r="T303" s="8">
        <f>IF(OR(B303="",N(G303)=0),"",ABS(F303-G303)*E303)</f>
        <v/>
      </c>
      <c r="U303" s="8">
        <f>IF(OR(B303="",P303=""),"",IF(D303="Venda",-1,1)*((N(J303)*N(K303)+N(L303)*N(M303)+N(N303)*N(O303))-(N(J303)+N(L303)+N(N303))*F303)-N(Q303))</f>
        <v/>
      </c>
      <c r="V303" s="9">
        <f>IF(OR(B303="",P303=""),"",U303/S303)</f>
        <v/>
      </c>
      <c r="W303">
        <f>IF(OR(B303="",P303=""),"",NETWORKDAYS(C303,P303)-1)</f>
        <v/>
      </c>
      <c r="X303">
        <f>IF(B303="","",IF(P303="","Aberto","Fechado"))</f>
        <v/>
      </c>
    </row>
    <row r="304">
      <c r="C304" s="6" t="n"/>
      <c r="E304" s="7" t="n"/>
      <c r="F304" s="8" t="n"/>
      <c r="G304" s="8" t="n"/>
      <c r="H304" s="8" t="n"/>
      <c r="J304" s="7" t="n"/>
      <c r="K304" s="8" t="n"/>
      <c r="L304" s="7" t="n"/>
      <c r="M304" s="8" t="n"/>
      <c r="N304" s="7" t="n"/>
      <c r="O304" s="8" t="n"/>
      <c r="P304" s="6" t="n"/>
      <c r="Q304" s="8" t="n"/>
      <c r="S304" s="8">
        <f>IF(B304="","",E304*F304)</f>
        <v/>
      </c>
      <c r="T304" s="8">
        <f>IF(OR(B304="",N(G304)=0),"",ABS(F304-G304)*E304)</f>
        <v/>
      </c>
      <c r="U304" s="8">
        <f>IF(OR(B304="",P304=""),"",IF(D304="Venda",-1,1)*((N(J304)*N(K304)+N(L304)*N(M304)+N(N304)*N(O304))-(N(J304)+N(L304)+N(N304))*F304)-N(Q304))</f>
        <v/>
      </c>
      <c r="V304" s="9">
        <f>IF(OR(B304="",P304=""),"",U304/S304)</f>
        <v/>
      </c>
      <c r="W304">
        <f>IF(OR(B304="",P304=""),"",NETWORKDAYS(C304,P304)-1)</f>
        <v/>
      </c>
      <c r="X304">
        <f>IF(B304="","",IF(P304="","Aberto","Fechado"))</f>
        <v/>
      </c>
    </row>
    <row r="305">
      <c r="C305" s="6" t="n"/>
      <c r="E305" s="7" t="n"/>
      <c r="F305" s="8" t="n"/>
      <c r="G305" s="8" t="n"/>
      <c r="H305" s="8" t="n"/>
      <c r="J305" s="7" t="n"/>
      <c r="K305" s="8" t="n"/>
      <c r="L305" s="7" t="n"/>
      <c r="M305" s="8" t="n"/>
      <c r="N305" s="7" t="n"/>
      <c r="O305" s="8" t="n"/>
      <c r="P305" s="6" t="n"/>
      <c r="Q305" s="8" t="n"/>
      <c r="S305" s="8">
        <f>IF(B305="","",E305*F305)</f>
        <v/>
      </c>
      <c r="T305" s="8">
        <f>IF(OR(B305="",N(G305)=0),"",ABS(F305-G305)*E305)</f>
        <v/>
      </c>
      <c r="U305" s="8">
        <f>IF(OR(B305="",P305=""),"",IF(D305="Venda",-1,1)*((N(J305)*N(K305)+N(L305)*N(M305)+N(N305)*N(O305))-(N(J305)+N(L305)+N(N305))*F305)-N(Q305))</f>
        <v/>
      </c>
      <c r="V305" s="9">
        <f>IF(OR(B305="",P305=""),"",U305/S305)</f>
        <v/>
      </c>
      <c r="W305">
        <f>IF(OR(B305="",P305=""),"",NETWORKDAYS(C305,P305)-1)</f>
        <v/>
      </c>
      <c r="X305">
        <f>IF(B305="","",IF(P305="","Aberto","Fechado"))</f>
        <v/>
      </c>
    </row>
    <row r="306">
      <c r="C306" s="6" t="n"/>
      <c r="E306" s="7" t="n"/>
      <c r="F306" s="8" t="n"/>
      <c r="G306" s="8" t="n"/>
      <c r="H306" s="8" t="n"/>
      <c r="J306" s="7" t="n"/>
      <c r="K306" s="8" t="n"/>
      <c r="L306" s="7" t="n"/>
      <c r="M306" s="8" t="n"/>
      <c r="N306" s="7" t="n"/>
      <c r="O306" s="8" t="n"/>
      <c r="P306" s="6" t="n"/>
      <c r="Q306" s="8" t="n"/>
      <c r="S306" s="8">
        <f>IF(B306="","",E306*F306)</f>
        <v/>
      </c>
      <c r="T306" s="8">
        <f>IF(OR(B306="",N(G306)=0),"",ABS(F306-G306)*E306)</f>
        <v/>
      </c>
      <c r="U306" s="8">
        <f>IF(OR(B306="",P306=""),"",IF(D306="Venda",-1,1)*((N(J306)*N(K306)+N(L306)*N(M306)+N(N306)*N(O306))-(N(J306)+N(L306)+N(N306))*F306)-N(Q306))</f>
        <v/>
      </c>
      <c r="V306" s="9">
        <f>IF(OR(B306="",P306=""),"",U306/S306)</f>
        <v/>
      </c>
      <c r="W306">
        <f>IF(OR(B306="",P306=""),"",NETWORKDAYS(C306,P306)-1)</f>
        <v/>
      </c>
      <c r="X306">
        <f>IF(B306="","",IF(P306="","Aberto","Fechado"))</f>
        <v/>
      </c>
    </row>
    <row r="307">
      <c r="C307" s="6" t="n"/>
      <c r="E307" s="7" t="n"/>
      <c r="F307" s="8" t="n"/>
      <c r="G307" s="8" t="n"/>
      <c r="H307" s="8" t="n"/>
      <c r="J307" s="7" t="n"/>
      <c r="K307" s="8" t="n"/>
      <c r="L307" s="7" t="n"/>
      <c r="M307" s="8" t="n"/>
      <c r="N307" s="7" t="n"/>
      <c r="O307" s="8" t="n"/>
      <c r="P307" s="6" t="n"/>
      <c r="Q307" s="8" t="n"/>
      <c r="S307" s="8">
        <f>IF(B307="","",E307*F307)</f>
        <v/>
      </c>
      <c r="T307" s="8">
        <f>IF(OR(B307="",N(G307)=0),"",ABS(F307-G307)*E307)</f>
        <v/>
      </c>
      <c r="U307" s="8">
        <f>IF(OR(B307="",P307=""),"",IF(D307="Venda",-1,1)*((N(J307)*N(K307)+N(L307)*N(M307)+N(N307)*N(O307))-(N(J307)+N(L307)+N(N307))*F307)-N(Q307))</f>
        <v/>
      </c>
      <c r="V307" s="9">
        <f>IF(OR(B307="",P307=""),"",U307/S307)</f>
        <v/>
      </c>
      <c r="W307">
        <f>IF(OR(B307="",P307=""),"",NETWORKDAYS(C307,P307)-1)</f>
        <v/>
      </c>
      <c r="X307">
        <f>IF(B307="","",IF(P307="","Aberto","Fechado"))</f>
        <v/>
      </c>
    </row>
    <row r="308">
      <c r="C308" s="6" t="n"/>
      <c r="E308" s="7" t="n"/>
      <c r="F308" s="8" t="n"/>
      <c r="G308" s="8" t="n"/>
      <c r="H308" s="8" t="n"/>
      <c r="J308" s="7" t="n"/>
      <c r="K308" s="8" t="n"/>
      <c r="L308" s="7" t="n"/>
      <c r="M308" s="8" t="n"/>
      <c r="N308" s="7" t="n"/>
      <c r="O308" s="8" t="n"/>
      <c r="P308" s="6" t="n"/>
      <c r="Q308" s="8" t="n"/>
      <c r="S308" s="8">
        <f>IF(B308="","",E308*F308)</f>
        <v/>
      </c>
      <c r="T308" s="8">
        <f>IF(OR(B308="",N(G308)=0),"",ABS(F308-G308)*E308)</f>
        <v/>
      </c>
      <c r="U308" s="8">
        <f>IF(OR(B308="",P308=""),"",IF(D308="Venda",-1,1)*((N(J308)*N(K308)+N(L308)*N(M308)+N(N308)*N(O308))-(N(J308)+N(L308)+N(N308))*F308)-N(Q308))</f>
        <v/>
      </c>
      <c r="V308" s="9">
        <f>IF(OR(B308="",P308=""),"",U308/S308)</f>
        <v/>
      </c>
      <c r="W308">
        <f>IF(OR(B308="",P308=""),"",NETWORKDAYS(C308,P308)-1)</f>
        <v/>
      </c>
      <c r="X308">
        <f>IF(B308="","",IF(P308="","Aberto","Fechado"))</f>
        <v/>
      </c>
    </row>
    <row r="309">
      <c r="C309" s="6" t="n"/>
      <c r="E309" s="7" t="n"/>
      <c r="F309" s="8" t="n"/>
      <c r="G309" s="8" t="n"/>
      <c r="H309" s="8" t="n"/>
      <c r="J309" s="7" t="n"/>
      <c r="K309" s="8" t="n"/>
      <c r="L309" s="7" t="n"/>
      <c r="M309" s="8" t="n"/>
      <c r="N309" s="7" t="n"/>
      <c r="O309" s="8" t="n"/>
      <c r="P309" s="6" t="n"/>
      <c r="Q309" s="8" t="n"/>
      <c r="S309" s="8">
        <f>IF(B309="","",E309*F309)</f>
        <v/>
      </c>
      <c r="T309" s="8">
        <f>IF(OR(B309="",N(G309)=0),"",ABS(F309-G309)*E309)</f>
        <v/>
      </c>
      <c r="U309" s="8">
        <f>IF(OR(B309="",P309=""),"",IF(D309="Venda",-1,1)*((N(J309)*N(K309)+N(L309)*N(M309)+N(N309)*N(O309))-(N(J309)+N(L309)+N(N309))*F309)-N(Q309))</f>
        <v/>
      </c>
      <c r="V309" s="9">
        <f>IF(OR(B309="",P309=""),"",U309/S309)</f>
        <v/>
      </c>
      <c r="W309">
        <f>IF(OR(B309="",P309=""),"",NETWORKDAYS(C309,P309)-1)</f>
        <v/>
      </c>
      <c r="X309">
        <f>IF(B309="","",IF(P309="","Aberto","Fechado"))</f>
        <v/>
      </c>
    </row>
    <row r="310">
      <c r="C310" s="6" t="n"/>
      <c r="E310" s="7" t="n"/>
      <c r="F310" s="8" t="n"/>
      <c r="G310" s="8" t="n"/>
      <c r="H310" s="8" t="n"/>
      <c r="J310" s="7" t="n"/>
      <c r="K310" s="8" t="n"/>
      <c r="L310" s="7" t="n"/>
      <c r="M310" s="8" t="n"/>
      <c r="N310" s="7" t="n"/>
      <c r="O310" s="8" t="n"/>
      <c r="P310" s="6" t="n"/>
      <c r="Q310" s="8" t="n"/>
      <c r="S310" s="8">
        <f>IF(B310="","",E310*F310)</f>
        <v/>
      </c>
      <c r="T310" s="8">
        <f>IF(OR(B310="",N(G310)=0),"",ABS(F310-G310)*E310)</f>
        <v/>
      </c>
      <c r="U310" s="8">
        <f>IF(OR(B310="",P310=""),"",IF(D310="Venda",-1,1)*((N(J310)*N(K310)+N(L310)*N(M310)+N(N310)*N(O310))-(N(J310)+N(L310)+N(N310))*F310)-N(Q310))</f>
        <v/>
      </c>
      <c r="V310" s="9">
        <f>IF(OR(B310="",P310=""),"",U310/S310)</f>
        <v/>
      </c>
      <c r="W310">
        <f>IF(OR(B310="",P310=""),"",NETWORKDAYS(C310,P310)-1)</f>
        <v/>
      </c>
      <c r="X310">
        <f>IF(B310="","",IF(P310="","Aberto","Fechado"))</f>
        <v/>
      </c>
    </row>
    <row r="311">
      <c r="C311" s="6" t="n"/>
      <c r="E311" s="7" t="n"/>
      <c r="F311" s="8" t="n"/>
      <c r="G311" s="8" t="n"/>
      <c r="H311" s="8" t="n"/>
      <c r="J311" s="7" t="n"/>
      <c r="K311" s="8" t="n"/>
      <c r="L311" s="7" t="n"/>
      <c r="M311" s="8" t="n"/>
      <c r="N311" s="7" t="n"/>
      <c r="O311" s="8" t="n"/>
      <c r="P311" s="6" t="n"/>
      <c r="Q311" s="8" t="n"/>
      <c r="S311" s="8">
        <f>IF(B311="","",E311*F311)</f>
        <v/>
      </c>
      <c r="T311" s="8">
        <f>IF(OR(B311="",N(G311)=0),"",ABS(F311-G311)*E311)</f>
        <v/>
      </c>
      <c r="U311" s="8">
        <f>IF(OR(B311="",P311=""),"",IF(D311="Venda",-1,1)*((N(J311)*N(K311)+N(L311)*N(M311)+N(N311)*N(O311))-(N(J311)+N(L311)+N(N311))*F311)-N(Q311))</f>
        <v/>
      </c>
      <c r="V311" s="9">
        <f>IF(OR(B311="",P311=""),"",U311/S311)</f>
        <v/>
      </c>
      <c r="W311">
        <f>IF(OR(B311="",P311=""),"",NETWORKDAYS(C311,P311)-1)</f>
        <v/>
      </c>
      <c r="X311">
        <f>IF(B311="","",IF(P311="","Aberto","Fechado"))</f>
        <v/>
      </c>
    </row>
    <row r="312">
      <c r="C312" s="6" t="n"/>
      <c r="E312" s="7" t="n"/>
      <c r="F312" s="8" t="n"/>
      <c r="G312" s="8" t="n"/>
      <c r="H312" s="8" t="n"/>
      <c r="J312" s="7" t="n"/>
      <c r="K312" s="8" t="n"/>
      <c r="L312" s="7" t="n"/>
      <c r="M312" s="8" t="n"/>
      <c r="N312" s="7" t="n"/>
      <c r="O312" s="8" t="n"/>
      <c r="P312" s="6" t="n"/>
      <c r="Q312" s="8" t="n"/>
      <c r="S312" s="8">
        <f>IF(B312="","",E312*F312)</f>
        <v/>
      </c>
      <c r="T312" s="8">
        <f>IF(OR(B312="",N(G312)=0),"",ABS(F312-G312)*E312)</f>
        <v/>
      </c>
      <c r="U312" s="8">
        <f>IF(OR(B312="",P312=""),"",IF(D312="Venda",-1,1)*((N(J312)*N(K312)+N(L312)*N(M312)+N(N312)*N(O312))-(N(J312)+N(L312)+N(N312))*F312)-N(Q312))</f>
        <v/>
      </c>
      <c r="V312" s="9">
        <f>IF(OR(B312="",P312=""),"",U312/S312)</f>
        <v/>
      </c>
      <c r="W312">
        <f>IF(OR(B312="",P312=""),"",NETWORKDAYS(C312,P312)-1)</f>
        <v/>
      </c>
      <c r="X312">
        <f>IF(B312="","",IF(P312="","Aberto","Fechado"))</f>
        <v/>
      </c>
    </row>
    <row r="313">
      <c r="C313" s="6" t="n"/>
      <c r="E313" s="7" t="n"/>
      <c r="F313" s="8" t="n"/>
      <c r="G313" s="8" t="n"/>
      <c r="H313" s="8" t="n"/>
      <c r="J313" s="7" t="n"/>
      <c r="K313" s="8" t="n"/>
      <c r="L313" s="7" t="n"/>
      <c r="M313" s="8" t="n"/>
      <c r="N313" s="7" t="n"/>
      <c r="O313" s="8" t="n"/>
      <c r="P313" s="6" t="n"/>
      <c r="Q313" s="8" t="n"/>
      <c r="S313" s="8">
        <f>IF(B313="","",E313*F313)</f>
        <v/>
      </c>
      <c r="T313" s="8">
        <f>IF(OR(B313="",N(G313)=0),"",ABS(F313-G313)*E313)</f>
        <v/>
      </c>
      <c r="U313" s="8">
        <f>IF(OR(B313="",P313=""),"",IF(D313="Venda",-1,1)*((N(J313)*N(K313)+N(L313)*N(M313)+N(N313)*N(O313))-(N(J313)+N(L313)+N(N313))*F313)-N(Q313))</f>
        <v/>
      </c>
      <c r="V313" s="9">
        <f>IF(OR(B313="",P313=""),"",U313/S313)</f>
        <v/>
      </c>
      <c r="W313">
        <f>IF(OR(B313="",P313=""),"",NETWORKDAYS(C313,P313)-1)</f>
        <v/>
      </c>
      <c r="X313">
        <f>IF(B313="","",IF(P313="","Aberto","Fechado"))</f>
        <v/>
      </c>
    </row>
    <row r="314">
      <c r="C314" s="6" t="n"/>
      <c r="E314" s="7" t="n"/>
      <c r="F314" s="8" t="n"/>
      <c r="G314" s="8" t="n"/>
      <c r="H314" s="8" t="n"/>
      <c r="J314" s="7" t="n"/>
      <c r="K314" s="8" t="n"/>
      <c r="L314" s="7" t="n"/>
      <c r="M314" s="8" t="n"/>
      <c r="N314" s="7" t="n"/>
      <c r="O314" s="8" t="n"/>
      <c r="P314" s="6" t="n"/>
      <c r="Q314" s="8" t="n"/>
      <c r="S314" s="8">
        <f>IF(B314="","",E314*F314)</f>
        <v/>
      </c>
      <c r="T314" s="8">
        <f>IF(OR(B314="",N(G314)=0),"",ABS(F314-G314)*E314)</f>
        <v/>
      </c>
      <c r="U314" s="8">
        <f>IF(OR(B314="",P314=""),"",IF(D314="Venda",-1,1)*((N(J314)*N(K314)+N(L314)*N(M314)+N(N314)*N(O314))-(N(J314)+N(L314)+N(N314))*F314)-N(Q314))</f>
        <v/>
      </c>
      <c r="V314" s="9">
        <f>IF(OR(B314="",P314=""),"",U314/S314)</f>
        <v/>
      </c>
      <c r="W314">
        <f>IF(OR(B314="",P314=""),"",NETWORKDAYS(C314,P314)-1)</f>
        <v/>
      </c>
      <c r="X314">
        <f>IF(B314="","",IF(P314="","Aberto","Fechado"))</f>
        <v/>
      </c>
    </row>
    <row r="315">
      <c r="C315" s="6" t="n"/>
      <c r="E315" s="7" t="n"/>
      <c r="F315" s="8" t="n"/>
      <c r="G315" s="8" t="n"/>
      <c r="H315" s="8" t="n"/>
      <c r="J315" s="7" t="n"/>
      <c r="K315" s="8" t="n"/>
      <c r="L315" s="7" t="n"/>
      <c r="M315" s="8" t="n"/>
      <c r="N315" s="7" t="n"/>
      <c r="O315" s="8" t="n"/>
      <c r="P315" s="6" t="n"/>
      <c r="Q315" s="8" t="n"/>
      <c r="S315" s="8">
        <f>IF(B315="","",E315*F315)</f>
        <v/>
      </c>
      <c r="T315" s="8">
        <f>IF(OR(B315="",N(G315)=0),"",ABS(F315-G315)*E315)</f>
        <v/>
      </c>
      <c r="U315" s="8">
        <f>IF(OR(B315="",P315=""),"",IF(D315="Venda",-1,1)*((N(J315)*N(K315)+N(L315)*N(M315)+N(N315)*N(O315))-(N(J315)+N(L315)+N(N315))*F315)-N(Q315))</f>
        <v/>
      </c>
      <c r="V315" s="9">
        <f>IF(OR(B315="",P315=""),"",U315/S315)</f>
        <v/>
      </c>
      <c r="W315">
        <f>IF(OR(B315="",P315=""),"",NETWORKDAYS(C315,P315)-1)</f>
        <v/>
      </c>
      <c r="X315">
        <f>IF(B315="","",IF(P315="","Aberto","Fechado"))</f>
        <v/>
      </c>
    </row>
    <row r="316">
      <c r="C316" s="6" t="n"/>
      <c r="E316" s="7" t="n"/>
      <c r="F316" s="8" t="n"/>
      <c r="G316" s="8" t="n"/>
      <c r="H316" s="8" t="n"/>
      <c r="J316" s="7" t="n"/>
      <c r="K316" s="8" t="n"/>
      <c r="L316" s="7" t="n"/>
      <c r="M316" s="8" t="n"/>
      <c r="N316" s="7" t="n"/>
      <c r="O316" s="8" t="n"/>
      <c r="P316" s="6" t="n"/>
      <c r="Q316" s="8" t="n"/>
      <c r="S316" s="8">
        <f>IF(B316="","",E316*F316)</f>
        <v/>
      </c>
      <c r="T316" s="8">
        <f>IF(OR(B316="",N(G316)=0),"",ABS(F316-G316)*E316)</f>
        <v/>
      </c>
      <c r="U316" s="8">
        <f>IF(OR(B316="",P316=""),"",IF(D316="Venda",-1,1)*((N(J316)*N(K316)+N(L316)*N(M316)+N(N316)*N(O316))-(N(J316)+N(L316)+N(N316))*F316)-N(Q316))</f>
        <v/>
      </c>
      <c r="V316" s="9">
        <f>IF(OR(B316="",P316=""),"",U316/S316)</f>
        <v/>
      </c>
      <c r="W316">
        <f>IF(OR(B316="",P316=""),"",NETWORKDAYS(C316,P316)-1)</f>
        <v/>
      </c>
      <c r="X316">
        <f>IF(B316="","",IF(P316="","Aberto","Fechado"))</f>
        <v/>
      </c>
    </row>
    <row r="317">
      <c r="C317" s="6" t="n"/>
      <c r="E317" s="7" t="n"/>
      <c r="F317" s="8" t="n"/>
      <c r="G317" s="8" t="n"/>
      <c r="H317" s="8" t="n"/>
      <c r="J317" s="7" t="n"/>
      <c r="K317" s="8" t="n"/>
      <c r="L317" s="7" t="n"/>
      <c r="M317" s="8" t="n"/>
      <c r="N317" s="7" t="n"/>
      <c r="O317" s="8" t="n"/>
      <c r="P317" s="6" t="n"/>
      <c r="Q317" s="8" t="n"/>
      <c r="S317" s="8">
        <f>IF(B317="","",E317*F317)</f>
        <v/>
      </c>
      <c r="T317" s="8">
        <f>IF(OR(B317="",N(G317)=0),"",ABS(F317-G317)*E317)</f>
        <v/>
      </c>
      <c r="U317" s="8">
        <f>IF(OR(B317="",P317=""),"",IF(D317="Venda",-1,1)*((N(J317)*N(K317)+N(L317)*N(M317)+N(N317)*N(O317))-(N(J317)+N(L317)+N(N317))*F317)-N(Q317))</f>
        <v/>
      </c>
      <c r="V317" s="9">
        <f>IF(OR(B317="",P317=""),"",U317/S317)</f>
        <v/>
      </c>
      <c r="W317">
        <f>IF(OR(B317="",P317=""),"",NETWORKDAYS(C317,P317)-1)</f>
        <v/>
      </c>
      <c r="X317">
        <f>IF(B317="","",IF(P317="","Aberto","Fechado"))</f>
        <v/>
      </c>
    </row>
    <row r="318">
      <c r="C318" s="6" t="n"/>
      <c r="E318" s="7" t="n"/>
      <c r="F318" s="8" t="n"/>
      <c r="G318" s="8" t="n"/>
      <c r="H318" s="8" t="n"/>
      <c r="J318" s="7" t="n"/>
      <c r="K318" s="8" t="n"/>
      <c r="L318" s="7" t="n"/>
      <c r="M318" s="8" t="n"/>
      <c r="N318" s="7" t="n"/>
      <c r="O318" s="8" t="n"/>
      <c r="P318" s="6" t="n"/>
      <c r="Q318" s="8" t="n"/>
      <c r="S318" s="8">
        <f>IF(B318="","",E318*F318)</f>
        <v/>
      </c>
      <c r="T318" s="8">
        <f>IF(OR(B318="",N(G318)=0),"",ABS(F318-G318)*E318)</f>
        <v/>
      </c>
      <c r="U318" s="8">
        <f>IF(OR(B318="",P318=""),"",IF(D318="Venda",-1,1)*((N(J318)*N(K318)+N(L318)*N(M318)+N(N318)*N(O318))-(N(J318)+N(L318)+N(N318))*F318)-N(Q318))</f>
        <v/>
      </c>
      <c r="V318" s="9">
        <f>IF(OR(B318="",P318=""),"",U318/S318)</f>
        <v/>
      </c>
      <c r="W318">
        <f>IF(OR(B318="",P318=""),"",NETWORKDAYS(C318,P318)-1)</f>
        <v/>
      </c>
      <c r="X318">
        <f>IF(B318="","",IF(P318="","Aberto","Fechado"))</f>
        <v/>
      </c>
    </row>
    <row r="319">
      <c r="C319" s="6" t="n"/>
      <c r="E319" s="7" t="n"/>
      <c r="F319" s="8" t="n"/>
      <c r="G319" s="8" t="n"/>
      <c r="H319" s="8" t="n"/>
      <c r="J319" s="7" t="n"/>
      <c r="K319" s="8" t="n"/>
      <c r="L319" s="7" t="n"/>
      <c r="M319" s="8" t="n"/>
      <c r="N319" s="7" t="n"/>
      <c r="O319" s="8" t="n"/>
      <c r="P319" s="6" t="n"/>
      <c r="Q319" s="8" t="n"/>
      <c r="S319" s="8">
        <f>IF(B319="","",E319*F319)</f>
        <v/>
      </c>
      <c r="T319" s="8">
        <f>IF(OR(B319="",N(G319)=0),"",ABS(F319-G319)*E319)</f>
        <v/>
      </c>
      <c r="U319" s="8">
        <f>IF(OR(B319="",P319=""),"",IF(D319="Venda",-1,1)*((N(J319)*N(K319)+N(L319)*N(M319)+N(N319)*N(O319))-(N(J319)+N(L319)+N(N319))*F319)-N(Q319))</f>
        <v/>
      </c>
      <c r="V319" s="9">
        <f>IF(OR(B319="",P319=""),"",U319/S319)</f>
        <v/>
      </c>
      <c r="W319">
        <f>IF(OR(B319="",P319=""),"",NETWORKDAYS(C319,P319)-1)</f>
        <v/>
      </c>
      <c r="X319">
        <f>IF(B319="","",IF(P319="","Aberto","Fechado"))</f>
        <v/>
      </c>
    </row>
    <row r="320">
      <c r="C320" s="6" t="n"/>
      <c r="E320" s="7" t="n"/>
      <c r="F320" s="8" t="n"/>
      <c r="G320" s="8" t="n"/>
      <c r="H320" s="8" t="n"/>
      <c r="J320" s="7" t="n"/>
      <c r="K320" s="8" t="n"/>
      <c r="L320" s="7" t="n"/>
      <c r="M320" s="8" t="n"/>
      <c r="N320" s="7" t="n"/>
      <c r="O320" s="8" t="n"/>
      <c r="P320" s="6" t="n"/>
      <c r="Q320" s="8" t="n"/>
      <c r="S320" s="8">
        <f>IF(B320="","",E320*F320)</f>
        <v/>
      </c>
      <c r="T320" s="8">
        <f>IF(OR(B320="",N(G320)=0),"",ABS(F320-G320)*E320)</f>
        <v/>
      </c>
      <c r="U320" s="8">
        <f>IF(OR(B320="",P320=""),"",IF(D320="Venda",-1,1)*((N(J320)*N(K320)+N(L320)*N(M320)+N(N320)*N(O320))-(N(J320)+N(L320)+N(N320))*F320)-N(Q320))</f>
        <v/>
      </c>
      <c r="V320" s="9">
        <f>IF(OR(B320="",P320=""),"",U320/S320)</f>
        <v/>
      </c>
      <c r="W320">
        <f>IF(OR(B320="",P320=""),"",NETWORKDAYS(C320,P320)-1)</f>
        <v/>
      </c>
      <c r="X320">
        <f>IF(B320="","",IF(P320="","Aberto","Fechado"))</f>
        <v/>
      </c>
    </row>
    <row r="321">
      <c r="C321" s="6" t="n"/>
      <c r="E321" s="7" t="n"/>
      <c r="F321" s="8" t="n"/>
      <c r="G321" s="8" t="n"/>
      <c r="H321" s="8" t="n"/>
      <c r="J321" s="7" t="n"/>
      <c r="K321" s="8" t="n"/>
      <c r="L321" s="7" t="n"/>
      <c r="M321" s="8" t="n"/>
      <c r="N321" s="7" t="n"/>
      <c r="O321" s="8" t="n"/>
      <c r="P321" s="6" t="n"/>
      <c r="Q321" s="8" t="n"/>
      <c r="S321" s="8">
        <f>IF(B321="","",E321*F321)</f>
        <v/>
      </c>
      <c r="T321" s="8">
        <f>IF(OR(B321="",N(G321)=0),"",ABS(F321-G321)*E321)</f>
        <v/>
      </c>
      <c r="U321" s="8">
        <f>IF(OR(B321="",P321=""),"",IF(D321="Venda",-1,1)*((N(J321)*N(K321)+N(L321)*N(M321)+N(N321)*N(O321))-(N(J321)+N(L321)+N(N321))*F321)-N(Q321))</f>
        <v/>
      </c>
      <c r="V321" s="9">
        <f>IF(OR(B321="",P321=""),"",U321/S321)</f>
        <v/>
      </c>
      <c r="W321">
        <f>IF(OR(B321="",P321=""),"",NETWORKDAYS(C321,P321)-1)</f>
        <v/>
      </c>
      <c r="X321">
        <f>IF(B321="","",IF(P321="","Aberto","Fechado"))</f>
        <v/>
      </c>
    </row>
    <row r="322">
      <c r="C322" s="6" t="n"/>
      <c r="E322" s="7" t="n"/>
      <c r="F322" s="8" t="n"/>
      <c r="G322" s="8" t="n"/>
      <c r="H322" s="8" t="n"/>
      <c r="J322" s="7" t="n"/>
      <c r="K322" s="8" t="n"/>
      <c r="L322" s="7" t="n"/>
      <c r="M322" s="8" t="n"/>
      <c r="N322" s="7" t="n"/>
      <c r="O322" s="8" t="n"/>
      <c r="P322" s="6" t="n"/>
      <c r="Q322" s="8" t="n"/>
      <c r="S322" s="8">
        <f>IF(B322="","",E322*F322)</f>
        <v/>
      </c>
      <c r="T322" s="8">
        <f>IF(OR(B322="",N(G322)=0),"",ABS(F322-G322)*E322)</f>
        <v/>
      </c>
      <c r="U322" s="8">
        <f>IF(OR(B322="",P322=""),"",IF(D322="Venda",-1,1)*((N(J322)*N(K322)+N(L322)*N(M322)+N(N322)*N(O322))-(N(J322)+N(L322)+N(N322))*F322)-N(Q322))</f>
        <v/>
      </c>
      <c r="V322" s="9">
        <f>IF(OR(B322="",P322=""),"",U322/S322)</f>
        <v/>
      </c>
      <c r="W322">
        <f>IF(OR(B322="",P322=""),"",NETWORKDAYS(C322,P322)-1)</f>
        <v/>
      </c>
      <c r="X322">
        <f>IF(B322="","",IF(P322="","Aberto","Fechado"))</f>
        <v/>
      </c>
    </row>
    <row r="323">
      <c r="C323" s="6" t="n"/>
      <c r="E323" s="7" t="n"/>
      <c r="F323" s="8" t="n"/>
      <c r="G323" s="8" t="n"/>
      <c r="H323" s="8" t="n"/>
      <c r="J323" s="7" t="n"/>
      <c r="K323" s="8" t="n"/>
      <c r="L323" s="7" t="n"/>
      <c r="M323" s="8" t="n"/>
      <c r="N323" s="7" t="n"/>
      <c r="O323" s="8" t="n"/>
      <c r="P323" s="6" t="n"/>
      <c r="Q323" s="8" t="n"/>
      <c r="S323" s="8">
        <f>IF(B323="","",E323*F323)</f>
        <v/>
      </c>
      <c r="T323" s="8">
        <f>IF(OR(B323="",N(G323)=0),"",ABS(F323-G323)*E323)</f>
        <v/>
      </c>
      <c r="U323" s="8">
        <f>IF(OR(B323="",P323=""),"",IF(D323="Venda",-1,1)*((N(J323)*N(K323)+N(L323)*N(M323)+N(N323)*N(O323))-(N(J323)+N(L323)+N(N323))*F323)-N(Q323))</f>
        <v/>
      </c>
      <c r="V323" s="9">
        <f>IF(OR(B323="",P323=""),"",U323/S323)</f>
        <v/>
      </c>
      <c r="W323">
        <f>IF(OR(B323="",P323=""),"",NETWORKDAYS(C323,P323)-1)</f>
        <v/>
      </c>
      <c r="X323">
        <f>IF(B323="","",IF(P323="","Aberto","Fechado"))</f>
        <v/>
      </c>
    </row>
    <row r="324">
      <c r="C324" s="6" t="n"/>
      <c r="E324" s="7" t="n"/>
      <c r="F324" s="8" t="n"/>
      <c r="G324" s="8" t="n"/>
      <c r="H324" s="8" t="n"/>
      <c r="J324" s="7" t="n"/>
      <c r="K324" s="8" t="n"/>
      <c r="L324" s="7" t="n"/>
      <c r="M324" s="8" t="n"/>
      <c r="N324" s="7" t="n"/>
      <c r="O324" s="8" t="n"/>
      <c r="P324" s="6" t="n"/>
      <c r="Q324" s="8" t="n"/>
      <c r="S324" s="8">
        <f>IF(B324="","",E324*F324)</f>
        <v/>
      </c>
      <c r="T324" s="8">
        <f>IF(OR(B324="",N(G324)=0),"",ABS(F324-G324)*E324)</f>
        <v/>
      </c>
      <c r="U324" s="8">
        <f>IF(OR(B324="",P324=""),"",IF(D324="Venda",-1,1)*((N(J324)*N(K324)+N(L324)*N(M324)+N(N324)*N(O324))-(N(J324)+N(L324)+N(N324))*F324)-N(Q324))</f>
        <v/>
      </c>
      <c r="V324" s="9">
        <f>IF(OR(B324="",P324=""),"",U324/S324)</f>
        <v/>
      </c>
      <c r="W324">
        <f>IF(OR(B324="",P324=""),"",NETWORKDAYS(C324,P324)-1)</f>
        <v/>
      </c>
      <c r="X324">
        <f>IF(B324="","",IF(P324="","Aberto","Fechado"))</f>
        <v/>
      </c>
    </row>
    <row r="325">
      <c r="C325" s="6" t="n"/>
      <c r="E325" s="7" t="n"/>
      <c r="F325" s="8" t="n"/>
      <c r="G325" s="8" t="n"/>
      <c r="H325" s="8" t="n"/>
      <c r="J325" s="7" t="n"/>
      <c r="K325" s="8" t="n"/>
      <c r="L325" s="7" t="n"/>
      <c r="M325" s="8" t="n"/>
      <c r="N325" s="7" t="n"/>
      <c r="O325" s="8" t="n"/>
      <c r="P325" s="6" t="n"/>
      <c r="Q325" s="8" t="n"/>
      <c r="S325" s="8">
        <f>IF(B325="","",E325*F325)</f>
        <v/>
      </c>
      <c r="T325" s="8">
        <f>IF(OR(B325="",N(G325)=0),"",ABS(F325-G325)*E325)</f>
        <v/>
      </c>
      <c r="U325" s="8">
        <f>IF(OR(B325="",P325=""),"",IF(D325="Venda",-1,1)*((N(J325)*N(K325)+N(L325)*N(M325)+N(N325)*N(O325))-(N(J325)+N(L325)+N(N325))*F325)-N(Q325))</f>
        <v/>
      </c>
      <c r="V325" s="9">
        <f>IF(OR(B325="",P325=""),"",U325/S325)</f>
        <v/>
      </c>
      <c r="W325">
        <f>IF(OR(B325="",P325=""),"",NETWORKDAYS(C325,P325)-1)</f>
        <v/>
      </c>
      <c r="X325">
        <f>IF(B325="","",IF(P325="","Aberto","Fechado"))</f>
        <v/>
      </c>
    </row>
    <row r="326">
      <c r="C326" s="6" t="n"/>
      <c r="E326" s="7" t="n"/>
      <c r="F326" s="8" t="n"/>
      <c r="G326" s="8" t="n"/>
      <c r="H326" s="8" t="n"/>
      <c r="J326" s="7" t="n"/>
      <c r="K326" s="8" t="n"/>
      <c r="L326" s="7" t="n"/>
      <c r="M326" s="8" t="n"/>
      <c r="N326" s="7" t="n"/>
      <c r="O326" s="8" t="n"/>
      <c r="P326" s="6" t="n"/>
      <c r="Q326" s="8" t="n"/>
      <c r="S326" s="8">
        <f>IF(B326="","",E326*F326)</f>
        <v/>
      </c>
      <c r="T326" s="8">
        <f>IF(OR(B326="",N(G326)=0),"",ABS(F326-G326)*E326)</f>
        <v/>
      </c>
      <c r="U326" s="8">
        <f>IF(OR(B326="",P326=""),"",IF(D326="Venda",-1,1)*((N(J326)*N(K326)+N(L326)*N(M326)+N(N326)*N(O326))-(N(J326)+N(L326)+N(N326))*F326)-N(Q326))</f>
        <v/>
      </c>
      <c r="V326" s="9">
        <f>IF(OR(B326="",P326=""),"",U326/S326)</f>
        <v/>
      </c>
      <c r="W326">
        <f>IF(OR(B326="",P326=""),"",NETWORKDAYS(C326,P326)-1)</f>
        <v/>
      </c>
      <c r="X326">
        <f>IF(B326="","",IF(P326="","Aberto","Fechado"))</f>
        <v/>
      </c>
    </row>
    <row r="327">
      <c r="C327" s="6" t="n"/>
      <c r="E327" s="7" t="n"/>
      <c r="F327" s="8" t="n"/>
      <c r="G327" s="8" t="n"/>
      <c r="H327" s="8" t="n"/>
      <c r="J327" s="7" t="n"/>
      <c r="K327" s="8" t="n"/>
      <c r="L327" s="7" t="n"/>
      <c r="M327" s="8" t="n"/>
      <c r="N327" s="7" t="n"/>
      <c r="O327" s="8" t="n"/>
      <c r="P327" s="6" t="n"/>
      <c r="Q327" s="8" t="n"/>
      <c r="S327" s="8">
        <f>IF(B327="","",E327*F327)</f>
        <v/>
      </c>
      <c r="T327" s="8">
        <f>IF(OR(B327="",N(G327)=0),"",ABS(F327-G327)*E327)</f>
        <v/>
      </c>
      <c r="U327" s="8">
        <f>IF(OR(B327="",P327=""),"",IF(D327="Venda",-1,1)*((N(J327)*N(K327)+N(L327)*N(M327)+N(N327)*N(O327))-(N(J327)+N(L327)+N(N327))*F327)-N(Q327))</f>
        <v/>
      </c>
      <c r="V327" s="9">
        <f>IF(OR(B327="",P327=""),"",U327/S327)</f>
        <v/>
      </c>
      <c r="W327">
        <f>IF(OR(B327="",P327=""),"",NETWORKDAYS(C327,P327)-1)</f>
        <v/>
      </c>
      <c r="X327">
        <f>IF(B327="","",IF(P327="","Aberto","Fechado"))</f>
        <v/>
      </c>
    </row>
    <row r="328">
      <c r="C328" s="6" t="n"/>
      <c r="E328" s="7" t="n"/>
      <c r="F328" s="8" t="n"/>
      <c r="G328" s="8" t="n"/>
      <c r="H328" s="8" t="n"/>
      <c r="J328" s="7" t="n"/>
      <c r="K328" s="8" t="n"/>
      <c r="L328" s="7" t="n"/>
      <c r="M328" s="8" t="n"/>
      <c r="N328" s="7" t="n"/>
      <c r="O328" s="8" t="n"/>
      <c r="P328" s="6" t="n"/>
      <c r="Q328" s="8" t="n"/>
      <c r="S328" s="8">
        <f>IF(B328="","",E328*F328)</f>
        <v/>
      </c>
      <c r="T328" s="8">
        <f>IF(OR(B328="",N(G328)=0),"",ABS(F328-G328)*E328)</f>
        <v/>
      </c>
      <c r="U328" s="8">
        <f>IF(OR(B328="",P328=""),"",IF(D328="Venda",-1,1)*((N(J328)*N(K328)+N(L328)*N(M328)+N(N328)*N(O328))-(N(J328)+N(L328)+N(N328))*F328)-N(Q328))</f>
        <v/>
      </c>
      <c r="V328" s="9">
        <f>IF(OR(B328="",P328=""),"",U328/S328)</f>
        <v/>
      </c>
      <c r="W328">
        <f>IF(OR(B328="",P328=""),"",NETWORKDAYS(C328,P328)-1)</f>
        <v/>
      </c>
      <c r="X328">
        <f>IF(B328="","",IF(P328="","Aberto","Fechado"))</f>
        <v/>
      </c>
    </row>
    <row r="329">
      <c r="C329" s="6" t="n"/>
      <c r="E329" s="7" t="n"/>
      <c r="F329" s="8" t="n"/>
      <c r="G329" s="8" t="n"/>
      <c r="H329" s="8" t="n"/>
      <c r="J329" s="7" t="n"/>
      <c r="K329" s="8" t="n"/>
      <c r="L329" s="7" t="n"/>
      <c r="M329" s="8" t="n"/>
      <c r="N329" s="7" t="n"/>
      <c r="O329" s="8" t="n"/>
      <c r="P329" s="6" t="n"/>
      <c r="Q329" s="8" t="n"/>
      <c r="S329" s="8">
        <f>IF(B329="","",E329*F329)</f>
        <v/>
      </c>
      <c r="T329" s="8">
        <f>IF(OR(B329="",N(G329)=0),"",ABS(F329-G329)*E329)</f>
        <v/>
      </c>
      <c r="U329" s="8">
        <f>IF(OR(B329="",P329=""),"",IF(D329="Venda",-1,1)*((N(J329)*N(K329)+N(L329)*N(M329)+N(N329)*N(O329))-(N(J329)+N(L329)+N(N329))*F329)-N(Q329))</f>
        <v/>
      </c>
      <c r="V329" s="9">
        <f>IF(OR(B329="",P329=""),"",U329/S329)</f>
        <v/>
      </c>
      <c r="W329">
        <f>IF(OR(B329="",P329=""),"",NETWORKDAYS(C329,P329)-1)</f>
        <v/>
      </c>
      <c r="X329">
        <f>IF(B329="","",IF(P329="","Aberto","Fechado"))</f>
        <v/>
      </c>
    </row>
    <row r="330">
      <c r="C330" s="6" t="n"/>
      <c r="E330" s="7" t="n"/>
      <c r="F330" s="8" t="n"/>
      <c r="G330" s="8" t="n"/>
      <c r="H330" s="8" t="n"/>
      <c r="J330" s="7" t="n"/>
      <c r="K330" s="8" t="n"/>
      <c r="L330" s="7" t="n"/>
      <c r="M330" s="8" t="n"/>
      <c r="N330" s="7" t="n"/>
      <c r="O330" s="8" t="n"/>
      <c r="P330" s="6" t="n"/>
      <c r="Q330" s="8" t="n"/>
      <c r="S330" s="8">
        <f>IF(B330="","",E330*F330)</f>
        <v/>
      </c>
      <c r="T330" s="8">
        <f>IF(OR(B330="",N(G330)=0),"",ABS(F330-G330)*E330)</f>
        <v/>
      </c>
      <c r="U330" s="8">
        <f>IF(OR(B330="",P330=""),"",IF(D330="Venda",-1,1)*((N(J330)*N(K330)+N(L330)*N(M330)+N(N330)*N(O330))-(N(J330)+N(L330)+N(N330))*F330)-N(Q330))</f>
        <v/>
      </c>
      <c r="V330" s="9">
        <f>IF(OR(B330="",P330=""),"",U330/S330)</f>
        <v/>
      </c>
      <c r="W330">
        <f>IF(OR(B330="",P330=""),"",NETWORKDAYS(C330,P330)-1)</f>
        <v/>
      </c>
      <c r="X330">
        <f>IF(B330="","",IF(P330="","Aberto","Fechado"))</f>
        <v/>
      </c>
    </row>
    <row r="331">
      <c r="C331" s="6" t="n"/>
      <c r="E331" s="7" t="n"/>
      <c r="F331" s="8" t="n"/>
      <c r="G331" s="8" t="n"/>
      <c r="H331" s="8" t="n"/>
      <c r="J331" s="7" t="n"/>
      <c r="K331" s="8" t="n"/>
      <c r="L331" s="7" t="n"/>
      <c r="M331" s="8" t="n"/>
      <c r="N331" s="7" t="n"/>
      <c r="O331" s="8" t="n"/>
      <c r="P331" s="6" t="n"/>
      <c r="Q331" s="8" t="n"/>
      <c r="S331" s="8">
        <f>IF(B331="","",E331*F331)</f>
        <v/>
      </c>
      <c r="T331" s="8">
        <f>IF(OR(B331="",N(G331)=0),"",ABS(F331-G331)*E331)</f>
        <v/>
      </c>
      <c r="U331" s="8">
        <f>IF(OR(B331="",P331=""),"",IF(D331="Venda",-1,1)*((N(J331)*N(K331)+N(L331)*N(M331)+N(N331)*N(O331))-(N(J331)+N(L331)+N(N331))*F331)-N(Q331))</f>
        <v/>
      </c>
      <c r="V331" s="9">
        <f>IF(OR(B331="",P331=""),"",U331/S331)</f>
        <v/>
      </c>
      <c r="W331">
        <f>IF(OR(B331="",P331=""),"",NETWORKDAYS(C331,P331)-1)</f>
        <v/>
      </c>
      <c r="X331">
        <f>IF(B331="","",IF(P331="","Aberto","Fechado"))</f>
        <v/>
      </c>
    </row>
    <row r="332">
      <c r="C332" s="6" t="n"/>
      <c r="E332" s="7" t="n"/>
      <c r="F332" s="8" t="n"/>
      <c r="G332" s="8" t="n"/>
      <c r="H332" s="8" t="n"/>
      <c r="J332" s="7" t="n"/>
      <c r="K332" s="8" t="n"/>
      <c r="L332" s="7" t="n"/>
      <c r="M332" s="8" t="n"/>
      <c r="N332" s="7" t="n"/>
      <c r="O332" s="8" t="n"/>
      <c r="P332" s="6" t="n"/>
      <c r="Q332" s="8" t="n"/>
      <c r="S332" s="8">
        <f>IF(B332="","",E332*F332)</f>
        <v/>
      </c>
      <c r="T332" s="8">
        <f>IF(OR(B332="",N(G332)=0),"",ABS(F332-G332)*E332)</f>
        <v/>
      </c>
      <c r="U332" s="8">
        <f>IF(OR(B332="",P332=""),"",IF(D332="Venda",-1,1)*((N(J332)*N(K332)+N(L332)*N(M332)+N(N332)*N(O332))-(N(J332)+N(L332)+N(N332))*F332)-N(Q332))</f>
        <v/>
      </c>
      <c r="V332" s="9">
        <f>IF(OR(B332="",P332=""),"",U332/S332)</f>
        <v/>
      </c>
      <c r="W332">
        <f>IF(OR(B332="",P332=""),"",NETWORKDAYS(C332,P332)-1)</f>
        <v/>
      </c>
      <c r="X332">
        <f>IF(B332="","",IF(P332="","Aberto","Fechado"))</f>
        <v/>
      </c>
    </row>
    <row r="333">
      <c r="C333" s="6" t="n"/>
      <c r="E333" s="7" t="n"/>
      <c r="F333" s="8" t="n"/>
      <c r="G333" s="8" t="n"/>
      <c r="H333" s="8" t="n"/>
      <c r="J333" s="7" t="n"/>
      <c r="K333" s="8" t="n"/>
      <c r="L333" s="7" t="n"/>
      <c r="M333" s="8" t="n"/>
      <c r="N333" s="7" t="n"/>
      <c r="O333" s="8" t="n"/>
      <c r="P333" s="6" t="n"/>
      <c r="Q333" s="8" t="n"/>
      <c r="S333" s="8">
        <f>IF(B333="","",E333*F333)</f>
        <v/>
      </c>
      <c r="T333" s="8">
        <f>IF(OR(B333="",N(G333)=0),"",ABS(F333-G333)*E333)</f>
        <v/>
      </c>
      <c r="U333" s="8">
        <f>IF(OR(B333="",P333=""),"",IF(D333="Venda",-1,1)*((N(J333)*N(K333)+N(L333)*N(M333)+N(N333)*N(O333))-(N(J333)+N(L333)+N(N333))*F333)-N(Q333))</f>
        <v/>
      </c>
      <c r="V333" s="9">
        <f>IF(OR(B333="",P333=""),"",U333/S333)</f>
        <v/>
      </c>
      <c r="W333">
        <f>IF(OR(B333="",P333=""),"",NETWORKDAYS(C333,P333)-1)</f>
        <v/>
      </c>
      <c r="X333">
        <f>IF(B333="","",IF(P333="","Aberto","Fechado"))</f>
        <v/>
      </c>
    </row>
    <row r="334">
      <c r="C334" s="6" t="n"/>
      <c r="E334" s="7" t="n"/>
      <c r="F334" s="8" t="n"/>
      <c r="G334" s="8" t="n"/>
      <c r="H334" s="8" t="n"/>
      <c r="J334" s="7" t="n"/>
      <c r="K334" s="8" t="n"/>
      <c r="L334" s="7" t="n"/>
      <c r="M334" s="8" t="n"/>
      <c r="N334" s="7" t="n"/>
      <c r="O334" s="8" t="n"/>
      <c r="P334" s="6" t="n"/>
      <c r="Q334" s="8" t="n"/>
      <c r="S334" s="8">
        <f>IF(B334="","",E334*F334)</f>
        <v/>
      </c>
      <c r="T334" s="8">
        <f>IF(OR(B334="",N(G334)=0),"",ABS(F334-G334)*E334)</f>
        <v/>
      </c>
      <c r="U334" s="8">
        <f>IF(OR(B334="",P334=""),"",IF(D334="Venda",-1,1)*((N(J334)*N(K334)+N(L334)*N(M334)+N(N334)*N(O334))-(N(J334)+N(L334)+N(N334))*F334)-N(Q334))</f>
        <v/>
      </c>
      <c r="V334" s="9">
        <f>IF(OR(B334="",P334=""),"",U334/S334)</f>
        <v/>
      </c>
      <c r="W334">
        <f>IF(OR(B334="",P334=""),"",NETWORKDAYS(C334,P334)-1)</f>
        <v/>
      </c>
      <c r="X334">
        <f>IF(B334="","",IF(P334="","Aberto","Fechado"))</f>
        <v/>
      </c>
    </row>
    <row r="335">
      <c r="C335" s="6" t="n"/>
      <c r="E335" s="7" t="n"/>
      <c r="F335" s="8" t="n"/>
      <c r="G335" s="8" t="n"/>
      <c r="H335" s="8" t="n"/>
      <c r="J335" s="7" t="n"/>
      <c r="K335" s="8" t="n"/>
      <c r="L335" s="7" t="n"/>
      <c r="M335" s="8" t="n"/>
      <c r="N335" s="7" t="n"/>
      <c r="O335" s="8" t="n"/>
      <c r="P335" s="6" t="n"/>
      <c r="Q335" s="8" t="n"/>
      <c r="S335" s="8">
        <f>IF(B335="","",E335*F335)</f>
        <v/>
      </c>
      <c r="T335" s="8">
        <f>IF(OR(B335="",N(G335)=0),"",ABS(F335-G335)*E335)</f>
        <v/>
      </c>
      <c r="U335" s="8">
        <f>IF(OR(B335="",P335=""),"",IF(D335="Venda",-1,1)*((N(J335)*N(K335)+N(L335)*N(M335)+N(N335)*N(O335))-(N(J335)+N(L335)+N(N335))*F335)-N(Q335))</f>
        <v/>
      </c>
      <c r="V335" s="9">
        <f>IF(OR(B335="",P335=""),"",U335/S335)</f>
        <v/>
      </c>
      <c r="W335">
        <f>IF(OR(B335="",P335=""),"",NETWORKDAYS(C335,P335)-1)</f>
        <v/>
      </c>
      <c r="X335">
        <f>IF(B335="","",IF(P335="","Aberto","Fechado"))</f>
        <v/>
      </c>
    </row>
    <row r="336">
      <c r="C336" s="6" t="n"/>
      <c r="E336" s="7" t="n"/>
      <c r="F336" s="8" t="n"/>
      <c r="G336" s="8" t="n"/>
      <c r="H336" s="8" t="n"/>
      <c r="J336" s="7" t="n"/>
      <c r="K336" s="8" t="n"/>
      <c r="L336" s="7" t="n"/>
      <c r="M336" s="8" t="n"/>
      <c r="N336" s="7" t="n"/>
      <c r="O336" s="8" t="n"/>
      <c r="P336" s="6" t="n"/>
      <c r="Q336" s="8" t="n"/>
      <c r="S336" s="8">
        <f>IF(B336="","",E336*F336)</f>
        <v/>
      </c>
      <c r="T336" s="8">
        <f>IF(OR(B336="",N(G336)=0),"",ABS(F336-G336)*E336)</f>
        <v/>
      </c>
      <c r="U336" s="8">
        <f>IF(OR(B336="",P336=""),"",IF(D336="Venda",-1,1)*((N(J336)*N(K336)+N(L336)*N(M336)+N(N336)*N(O336))-(N(J336)+N(L336)+N(N336))*F336)-N(Q336))</f>
        <v/>
      </c>
      <c r="V336" s="9">
        <f>IF(OR(B336="",P336=""),"",U336/S336)</f>
        <v/>
      </c>
      <c r="W336">
        <f>IF(OR(B336="",P336=""),"",NETWORKDAYS(C336,P336)-1)</f>
        <v/>
      </c>
      <c r="X336">
        <f>IF(B336="","",IF(P336="","Aberto","Fechado"))</f>
        <v/>
      </c>
    </row>
    <row r="337">
      <c r="C337" s="6" t="n"/>
      <c r="E337" s="7" t="n"/>
      <c r="F337" s="8" t="n"/>
      <c r="G337" s="8" t="n"/>
      <c r="H337" s="8" t="n"/>
      <c r="J337" s="7" t="n"/>
      <c r="K337" s="8" t="n"/>
      <c r="L337" s="7" t="n"/>
      <c r="M337" s="8" t="n"/>
      <c r="N337" s="7" t="n"/>
      <c r="O337" s="8" t="n"/>
      <c r="P337" s="6" t="n"/>
      <c r="Q337" s="8" t="n"/>
      <c r="S337" s="8">
        <f>IF(B337="","",E337*F337)</f>
        <v/>
      </c>
      <c r="T337" s="8">
        <f>IF(OR(B337="",N(G337)=0),"",ABS(F337-G337)*E337)</f>
        <v/>
      </c>
      <c r="U337" s="8">
        <f>IF(OR(B337="",P337=""),"",IF(D337="Venda",-1,1)*((N(J337)*N(K337)+N(L337)*N(M337)+N(N337)*N(O337))-(N(J337)+N(L337)+N(N337))*F337)-N(Q337))</f>
        <v/>
      </c>
      <c r="V337" s="9">
        <f>IF(OR(B337="",P337=""),"",U337/S337)</f>
        <v/>
      </c>
      <c r="W337">
        <f>IF(OR(B337="",P337=""),"",NETWORKDAYS(C337,P337)-1)</f>
        <v/>
      </c>
      <c r="X337">
        <f>IF(B337="","",IF(P337="","Aberto","Fechado"))</f>
        <v/>
      </c>
    </row>
    <row r="338">
      <c r="C338" s="6" t="n"/>
      <c r="E338" s="7" t="n"/>
      <c r="F338" s="8" t="n"/>
      <c r="G338" s="8" t="n"/>
      <c r="H338" s="8" t="n"/>
      <c r="J338" s="7" t="n"/>
      <c r="K338" s="8" t="n"/>
      <c r="L338" s="7" t="n"/>
      <c r="M338" s="8" t="n"/>
      <c r="N338" s="7" t="n"/>
      <c r="O338" s="8" t="n"/>
      <c r="P338" s="6" t="n"/>
      <c r="Q338" s="8" t="n"/>
      <c r="S338" s="8">
        <f>IF(B338="","",E338*F338)</f>
        <v/>
      </c>
      <c r="T338" s="8">
        <f>IF(OR(B338="",N(G338)=0),"",ABS(F338-G338)*E338)</f>
        <v/>
      </c>
      <c r="U338" s="8">
        <f>IF(OR(B338="",P338=""),"",IF(D338="Venda",-1,1)*((N(J338)*N(K338)+N(L338)*N(M338)+N(N338)*N(O338))-(N(J338)+N(L338)+N(N338))*F338)-N(Q338))</f>
        <v/>
      </c>
      <c r="V338" s="9">
        <f>IF(OR(B338="",P338=""),"",U338/S338)</f>
        <v/>
      </c>
      <c r="W338">
        <f>IF(OR(B338="",P338=""),"",NETWORKDAYS(C338,P338)-1)</f>
        <v/>
      </c>
      <c r="X338">
        <f>IF(B338="","",IF(P338="","Aberto","Fechado"))</f>
        <v/>
      </c>
    </row>
    <row r="339">
      <c r="C339" s="6" t="n"/>
      <c r="E339" s="7" t="n"/>
      <c r="F339" s="8" t="n"/>
      <c r="G339" s="8" t="n"/>
      <c r="H339" s="8" t="n"/>
      <c r="J339" s="7" t="n"/>
      <c r="K339" s="8" t="n"/>
      <c r="L339" s="7" t="n"/>
      <c r="M339" s="8" t="n"/>
      <c r="N339" s="7" t="n"/>
      <c r="O339" s="8" t="n"/>
      <c r="P339" s="6" t="n"/>
      <c r="Q339" s="8" t="n"/>
      <c r="S339" s="8">
        <f>IF(B339="","",E339*F339)</f>
        <v/>
      </c>
      <c r="T339" s="8">
        <f>IF(OR(B339="",N(G339)=0),"",ABS(F339-G339)*E339)</f>
        <v/>
      </c>
      <c r="U339" s="8">
        <f>IF(OR(B339="",P339=""),"",IF(D339="Venda",-1,1)*((N(J339)*N(K339)+N(L339)*N(M339)+N(N339)*N(O339))-(N(J339)+N(L339)+N(N339))*F339)-N(Q339))</f>
        <v/>
      </c>
      <c r="V339" s="9">
        <f>IF(OR(B339="",P339=""),"",U339/S339)</f>
        <v/>
      </c>
      <c r="W339">
        <f>IF(OR(B339="",P339=""),"",NETWORKDAYS(C339,P339)-1)</f>
        <v/>
      </c>
      <c r="X339">
        <f>IF(B339="","",IF(P339="","Aberto","Fechado"))</f>
        <v/>
      </c>
    </row>
    <row r="340">
      <c r="C340" s="6" t="n"/>
      <c r="E340" s="7" t="n"/>
      <c r="F340" s="8" t="n"/>
      <c r="G340" s="8" t="n"/>
      <c r="H340" s="8" t="n"/>
      <c r="J340" s="7" t="n"/>
      <c r="K340" s="8" t="n"/>
      <c r="L340" s="7" t="n"/>
      <c r="M340" s="8" t="n"/>
      <c r="N340" s="7" t="n"/>
      <c r="O340" s="8" t="n"/>
      <c r="P340" s="6" t="n"/>
      <c r="Q340" s="8" t="n"/>
      <c r="S340" s="8">
        <f>IF(B340="","",E340*F340)</f>
        <v/>
      </c>
      <c r="T340" s="8">
        <f>IF(OR(B340="",N(G340)=0),"",ABS(F340-G340)*E340)</f>
        <v/>
      </c>
      <c r="U340" s="8">
        <f>IF(OR(B340="",P340=""),"",IF(D340="Venda",-1,1)*((N(J340)*N(K340)+N(L340)*N(M340)+N(N340)*N(O340))-(N(J340)+N(L340)+N(N340))*F340)-N(Q340))</f>
        <v/>
      </c>
      <c r="V340" s="9">
        <f>IF(OR(B340="",P340=""),"",U340/S340)</f>
        <v/>
      </c>
      <c r="W340">
        <f>IF(OR(B340="",P340=""),"",NETWORKDAYS(C340,P340)-1)</f>
        <v/>
      </c>
      <c r="X340">
        <f>IF(B340="","",IF(P340="","Aberto","Fechado"))</f>
        <v/>
      </c>
    </row>
    <row r="341">
      <c r="C341" s="6" t="n"/>
      <c r="E341" s="7" t="n"/>
      <c r="F341" s="8" t="n"/>
      <c r="G341" s="8" t="n"/>
      <c r="H341" s="8" t="n"/>
      <c r="J341" s="7" t="n"/>
      <c r="K341" s="8" t="n"/>
      <c r="L341" s="7" t="n"/>
      <c r="M341" s="8" t="n"/>
      <c r="N341" s="7" t="n"/>
      <c r="O341" s="8" t="n"/>
      <c r="P341" s="6" t="n"/>
      <c r="Q341" s="8" t="n"/>
      <c r="S341" s="8">
        <f>IF(B341="","",E341*F341)</f>
        <v/>
      </c>
      <c r="T341" s="8">
        <f>IF(OR(B341="",N(G341)=0),"",ABS(F341-G341)*E341)</f>
        <v/>
      </c>
      <c r="U341" s="8">
        <f>IF(OR(B341="",P341=""),"",IF(D341="Venda",-1,1)*((N(J341)*N(K341)+N(L341)*N(M341)+N(N341)*N(O341))-(N(J341)+N(L341)+N(N341))*F341)-N(Q341))</f>
        <v/>
      </c>
      <c r="V341" s="9">
        <f>IF(OR(B341="",P341=""),"",U341/S341)</f>
        <v/>
      </c>
      <c r="W341">
        <f>IF(OR(B341="",P341=""),"",NETWORKDAYS(C341,P341)-1)</f>
        <v/>
      </c>
      <c r="X341">
        <f>IF(B341="","",IF(P341="","Aberto","Fechado"))</f>
        <v/>
      </c>
    </row>
    <row r="342">
      <c r="C342" s="6" t="n"/>
      <c r="E342" s="7" t="n"/>
      <c r="F342" s="8" t="n"/>
      <c r="G342" s="8" t="n"/>
      <c r="H342" s="8" t="n"/>
      <c r="J342" s="7" t="n"/>
      <c r="K342" s="8" t="n"/>
      <c r="L342" s="7" t="n"/>
      <c r="M342" s="8" t="n"/>
      <c r="N342" s="7" t="n"/>
      <c r="O342" s="8" t="n"/>
      <c r="P342" s="6" t="n"/>
      <c r="Q342" s="8" t="n"/>
      <c r="S342" s="8">
        <f>IF(B342="","",E342*F342)</f>
        <v/>
      </c>
      <c r="T342" s="8">
        <f>IF(OR(B342="",N(G342)=0),"",ABS(F342-G342)*E342)</f>
        <v/>
      </c>
      <c r="U342" s="8">
        <f>IF(OR(B342="",P342=""),"",IF(D342="Venda",-1,1)*((N(J342)*N(K342)+N(L342)*N(M342)+N(N342)*N(O342))-(N(J342)+N(L342)+N(N342))*F342)-N(Q342))</f>
        <v/>
      </c>
      <c r="V342" s="9">
        <f>IF(OR(B342="",P342=""),"",U342/S342)</f>
        <v/>
      </c>
      <c r="W342">
        <f>IF(OR(B342="",P342=""),"",NETWORKDAYS(C342,P342)-1)</f>
        <v/>
      </c>
      <c r="X342">
        <f>IF(B342="","",IF(P342="","Aberto","Fechado"))</f>
        <v/>
      </c>
    </row>
    <row r="343">
      <c r="C343" s="6" t="n"/>
      <c r="E343" s="7" t="n"/>
      <c r="F343" s="8" t="n"/>
      <c r="G343" s="8" t="n"/>
      <c r="H343" s="8" t="n"/>
      <c r="J343" s="7" t="n"/>
      <c r="K343" s="8" t="n"/>
      <c r="L343" s="7" t="n"/>
      <c r="M343" s="8" t="n"/>
      <c r="N343" s="7" t="n"/>
      <c r="O343" s="8" t="n"/>
      <c r="P343" s="6" t="n"/>
      <c r="Q343" s="8" t="n"/>
      <c r="S343" s="8">
        <f>IF(B343="","",E343*F343)</f>
        <v/>
      </c>
      <c r="T343" s="8">
        <f>IF(OR(B343="",N(G343)=0),"",ABS(F343-G343)*E343)</f>
        <v/>
      </c>
      <c r="U343" s="8">
        <f>IF(OR(B343="",P343=""),"",IF(D343="Venda",-1,1)*((N(J343)*N(K343)+N(L343)*N(M343)+N(N343)*N(O343))-(N(J343)+N(L343)+N(N343))*F343)-N(Q343))</f>
        <v/>
      </c>
      <c r="V343" s="9">
        <f>IF(OR(B343="",P343=""),"",U343/S343)</f>
        <v/>
      </c>
      <c r="W343">
        <f>IF(OR(B343="",P343=""),"",NETWORKDAYS(C343,P343)-1)</f>
        <v/>
      </c>
      <c r="X343">
        <f>IF(B343="","",IF(P343="","Aberto","Fechado"))</f>
        <v/>
      </c>
    </row>
    <row r="344">
      <c r="C344" s="6" t="n"/>
      <c r="E344" s="7" t="n"/>
      <c r="F344" s="8" t="n"/>
      <c r="G344" s="8" t="n"/>
      <c r="H344" s="8" t="n"/>
      <c r="J344" s="7" t="n"/>
      <c r="K344" s="8" t="n"/>
      <c r="L344" s="7" t="n"/>
      <c r="M344" s="8" t="n"/>
      <c r="N344" s="7" t="n"/>
      <c r="O344" s="8" t="n"/>
      <c r="P344" s="6" t="n"/>
      <c r="Q344" s="8" t="n"/>
      <c r="S344" s="8">
        <f>IF(B344="","",E344*F344)</f>
        <v/>
      </c>
      <c r="T344" s="8">
        <f>IF(OR(B344="",N(G344)=0),"",ABS(F344-G344)*E344)</f>
        <v/>
      </c>
      <c r="U344" s="8">
        <f>IF(OR(B344="",P344=""),"",IF(D344="Venda",-1,1)*((N(J344)*N(K344)+N(L344)*N(M344)+N(N344)*N(O344))-(N(J344)+N(L344)+N(N344))*F344)-N(Q344))</f>
        <v/>
      </c>
      <c r="V344" s="9">
        <f>IF(OR(B344="",P344=""),"",U344/S344)</f>
        <v/>
      </c>
      <c r="W344">
        <f>IF(OR(B344="",P344=""),"",NETWORKDAYS(C344,P344)-1)</f>
        <v/>
      </c>
      <c r="X344">
        <f>IF(B344="","",IF(P344="","Aberto","Fechado"))</f>
        <v/>
      </c>
    </row>
    <row r="345">
      <c r="C345" s="6" t="n"/>
      <c r="E345" s="7" t="n"/>
      <c r="F345" s="8" t="n"/>
      <c r="G345" s="8" t="n"/>
      <c r="H345" s="8" t="n"/>
      <c r="J345" s="7" t="n"/>
      <c r="K345" s="8" t="n"/>
      <c r="L345" s="7" t="n"/>
      <c r="M345" s="8" t="n"/>
      <c r="N345" s="7" t="n"/>
      <c r="O345" s="8" t="n"/>
      <c r="P345" s="6" t="n"/>
      <c r="Q345" s="8" t="n"/>
      <c r="S345" s="8">
        <f>IF(B345="","",E345*F345)</f>
        <v/>
      </c>
      <c r="T345" s="8">
        <f>IF(OR(B345="",N(G345)=0),"",ABS(F345-G345)*E345)</f>
        <v/>
      </c>
      <c r="U345" s="8">
        <f>IF(OR(B345="",P345=""),"",IF(D345="Venda",-1,1)*((N(J345)*N(K345)+N(L345)*N(M345)+N(N345)*N(O345))-(N(J345)+N(L345)+N(N345))*F345)-N(Q345))</f>
        <v/>
      </c>
      <c r="V345" s="9">
        <f>IF(OR(B345="",P345=""),"",U345/S345)</f>
        <v/>
      </c>
      <c r="W345">
        <f>IF(OR(B345="",P345=""),"",NETWORKDAYS(C345,P345)-1)</f>
        <v/>
      </c>
      <c r="X345">
        <f>IF(B345="","",IF(P345="","Aberto","Fechado"))</f>
        <v/>
      </c>
    </row>
    <row r="346">
      <c r="C346" s="6" t="n"/>
      <c r="E346" s="7" t="n"/>
      <c r="F346" s="8" t="n"/>
      <c r="G346" s="8" t="n"/>
      <c r="H346" s="8" t="n"/>
      <c r="J346" s="7" t="n"/>
      <c r="K346" s="8" t="n"/>
      <c r="L346" s="7" t="n"/>
      <c r="M346" s="8" t="n"/>
      <c r="N346" s="7" t="n"/>
      <c r="O346" s="8" t="n"/>
      <c r="P346" s="6" t="n"/>
      <c r="Q346" s="8" t="n"/>
      <c r="S346" s="8">
        <f>IF(B346="","",E346*F346)</f>
        <v/>
      </c>
      <c r="T346" s="8">
        <f>IF(OR(B346="",N(G346)=0),"",ABS(F346-G346)*E346)</f>
        <v/>
      </c>
      <c r="U346" s="8">
        <f>IF(OR(B346="",P346=""),"",IF(D346="Venda",-1,1)*((N(J346)*N(K346)+N(L346)*N(M346)+N(N346)*N(O346))-(N(J346)+N(L346)+N(N346))*F346)-N(Q346))</f>
        <v/>
      </c>
      <c r="V346" s="9">
        <f>IF(OR(B346="",P346=""),"",U346/S346)</f>
        <v/>
      </c>
      <c r="W346">
        <f>IF(OR(B346="",P346=""),"",NETWORKDAYS(C346,P346)-1)</f>
        <v/>
      </c>
      <c r="X346">
        <f>IF(B346="","",IF(P346="","Aberto","Fechado"))</f>
        <v/>
      </c>
    </row>
    <row r="347">
      <c r="C347" s="6" t="n"/>
      <c r="E347" s="7" t="n"/>
      <c r="F347" s="8" t="n"/>
      <c r="G347" s="8" t="n"/>
      <c r="H347" s="8" t="n"/>
      <c r="J347" s="7" t="n"/>
      <c r="K347" s="8" t="n"/>
      <c r="L347" s="7" t="n"/>
      <c r="M347" s="8" t="n"/>
      <c r="N347" s="7" t="n"/>
      <c r="O347" s="8" t="n"/>
      <c r="P347" s="6" t="n"/>
      <c r="Q347" s="8" t="n"/>
      <c r="S347" s="8">
        <f>IF(B347="","",E347*F347)</f>
        <v/>
      </c>
      <c r="T347" s="8">
        <f>IF(OR(B347="",N(G347)=0),"",ABS(F347-G347)*E347)</f>
        <v/>
      </c>
      <c r="U347" s="8">
        <f>IF(OR(B347="",P347=""),"",IF(D347="Venda",-1,1)*((N(J347)*N(K347)+N(L347)*N(M347)+N(N347)*N(O347))-(N(J347)+N(L347)+N(N347))*F347)-N(Q347))</f>
        <v/>
      </c>
      <c r="V347" s="9">
        <f>IF(OR(B347="",P347=""),"",U347/S347)</f>
        <v/>
      </c>
      <c r="W347">
        <f>IF(OR(B347="",P347=""),"",NETWORKDAYS(C347,P347)-1)</f>
        <v/>
      </c>
      <c r="X347">
        <f>IF(B347="","",IF(P347="","Aberto","Fechado"))</f>
        <v/>
      </c>
    </row>
    <row r="348">
      <c r="C348" s="6" t="n"/>
      <c r="E348" s="7" t="n"/>
      <c r="F348" s="8" t="n"/>
      <c r="G348" s="8" t="n"/>
      <c r="H348" s="8" t="n"/>
      <c r="J348" s="7" t="n"/>
      <c r="K348" s="8" t="n"/>
      <c r="L348" s="7" t="n"/>
      <c r="M348" s="8" t="n"/>
      <c r="N348" s="7" t="n"/>
      <c r="O348" s="8" t="n"/>
      <c r="P348" s="6" t="n"/>
      <c r="Q348" s="8" t="n"/>
      <c r="S348" s="8">
        <f>IF(B348="","",E348*F348)</f>
        <v/>
      </c>
      <c r="T348" s="8">
        <f>IF(OR(B348="",N(G348)=0),"",ABS(F348-G348)*E348)</f>
        <v/>
      </c>
      <c r="U348" s="8">
        <f>IF(OR(B348="",P348=""),"",IF(D348="Venda",-1,1)*((N(J348)*N(K348)+N(L348)*N(M348)+N(N348)*N(O348))-(N(J348)+N(L348)+N(N348))*F348)-N(Q348))</f>
        <v/>
      </c>
      <c r="V348" s="9">
        <f>IF(OR(B348="",P348=""),"",U348/S348)</f>
        <v/>
      </c>
      <c r="W348">
        <f>IF(OR(B348="",P348=""),"",NETWORKDAYS(C348,P348)-1)</f>
        <v/>
      </c>
      <c r="X348">
        <f>IF(B348="","",IF(P348="","Aberto","Fechado"))</f>
        <v/>
      </c>
    </row>
    <row r="349">
      <c r="C349" s="6" t="n"/>
      <c r="E349" s="7" t="n"/>
      <c r="F349" s="8" t="n"/>
      <c r="G349" s="8" t="n"/>
      <c r="H349" s="8" t="n"/>
      <c r="J349" s="7" t="n"/>
      <c r="K349" s="8" t="n"/>
      <c r="L349" s="7" t="n"/>
      <c r="M349" s="8" t="n"/>
      <c r="N349" s="7" t="n"/>
      <c r="O349" s="8" t="n"/>
      <c r="P349" s="6" t="n"/>
      <c r="Q349" s="8" t="n"/>
      <c r="S349" s="8">
        <f>IF(B349="","",E349*F349)</f>
        <v/>
      </c>
      <c r="T349" s="8">
        <f>IF(OR(B349="",N(G349)=0),"",ABS(F349-G349)*E349)</f>
        <v/>
      </c>
      <c r="U349" s="8">
        <f>IF(OR(B349="",P349=""),"",IF(D349="Venda",-1,1)*((N(J349)*N(K349)+N(L349)*N(M349)+N(N349)*N(O349))-(N(J349)+N(L349)+N(N349))*F349)-N(Q349))</f>
        <v/>
      </c>
      <c r="V349" s="9">
        <f>IF(OR(B349="",P349=""),"",U349/S349)</f>
        <v/>
      </c>
      <c r="W349">
        <f>IF(OR(B349="",P349=""),"",NETWORKDAYS(C349,P349)-1)</f>
        <v/>
      </c>
      <c r="X349">
        <f>IF(B349="","",IF(P349="","Aberto","Fechado"))</f>
        <v/>
      </c>
    </row>
    <row r="350">
      <c r="C350" s="6" t="n"/>
      <c r="E350" s="7" t="n"/>
      <c r="F350" s="8" t="n"/>
      <c r="G350" s="8" t="n"/>
      <c r="H350" s="8" t="n"/>
      <c r="J350" s="7" t="n"/>
      <c r="K350" s="8" t="n"/>
      <c r="L350" s="7" t="n"/>
      <c r="M350" s="8" t="n"/>
      <c r="N350" s="7" t="n"/>
      <c r="O350" s="8" t="n"/>
      <c r="P350" s="6" t="n"/>
      <c r="Q350" s="8" t="n"/>
      <c r="S350" s="8">
        <f>IF(B350="","",E350*F350)</f>
        <v/>
      </c>
      <c r="T350" s="8">
        <f>IF(OR(B350="",N(G350)=0),"",ABS(F350-G350)*E350)</f>
        <v/>
      </c>
      <c r="U350" s="8">
        <f>IF(OR(B350="",P350=""),"",IF(D350="Venda",-1,1)*((N(J350)*N(K350)+N(L350)*N(M350)+N(N350)*N(O350))-(N(J350)+N(L350)+N(N350))*F350)-N(Q350))</f>
        <v/>
      </c>
      <c r="V350" s="9">
        <f>IF(OR(B350="",P350=""),"",U350/S350)</f>
        <v/>
      </c>
      <c r="W350">
        <f>IF(OR(B350="",P350=""),"",NETWORKDAYS(C350,P350)-1)</f>
        <v/>
      </c>
      <c r="X350">
        <f>IF(B350="","",IF(P350="","Aberto","Fechado"))</f>
        <v/>
      </c>
    </row>
    <row r="351">
      <c r="C351" s="6" t="n"/>
      <c r="E351" s="7" t="n"/>
      <c r="F351" s="8" t="n"/>
      <c r="G351" s="8" t="n"/>
      <c r="H351" s="8" t="n"/>
      <c r="J351" s="7" t="n"/>
      <c r="K351" s="8" t="n"/>
      <c r="L351" s="7" t="n"/>
      <c r="M351" s="8" t="n"/>
      <c r="N351" s="7" t="n"/>
      <c r="O351" s="8" t="n"/>
      <c r="P351" s="6" t="n"/>
      <c r="Q351" s="8" t="n"/>
      <c r="S351" s="8">
        <f>IF(B351="","",E351*F351)</f>
        <v/>
      </c>
      <c r="T351" s="8">
        <f>IF(OR(B351="",N(G351)=0),"",ABS(F351-G351)*E351)</f>
        <v/>
      </c>
      <c r="U351" s="8">
        <f>IF(OR(B351="",P351=""),"",IF(D351="Venda",-1,1)*((N(J351)*N(K351)+N(L351)*N(M351)+N(N351)*N(O351))-(N(J351)+N(L351)+N(N351))*F351)-N(Q351))</f>
        <v/>
      </c>
      <c r="V351" s="9">
        <f>IF(OR(B351="",P351=""),"",U351/S351)</f>
        <v/>
      </c>
      <c r="W351">
        <f>IF(OR(B351="",P351=""),"",NETWORKDAYS(C351,P351)-1)</f>
        <v/>
      </c>
      <c r="X351">
        <f>IF(B351="","",IF(P351="","Aberto","Fechado"))</f>
        <v/>
      </c>
    </row>
    <row r="352">
      <c r="C352" s="6" t="n"/>
      <c r="E352" s="7" t="n"/>
      <c r="F352" s="8" t="n"/>
      <c r="G352" s="8" t="n"/>
      <c r="H352" s="8" t="n"/>
      <c r="J352" s="7" t="n"/>
      <c r="K352" s="8" t="n"/>
      <c r="L352" s="7" t="n"/>
      <c r="M352" s="8" t="n"/>
      <c r="N352" s="7" t="n"/>
      <c r="O352" s="8" t="n"/>
      <c r="P352" s="6" t="n"/>
      <c r="Q352" s="8" t="n"/>
      <c r="S352" s="8">
        <f>IF(B352="","",E352*F352)</f>
        <v/>
      </c>
      <c r="T352" s="8">
        <f>IF(OR(B352="",N(G352)=0),"",ABS(F352-G352)*E352)</f>
        <v/>
      </c>
      <c r="U352" s="8">
        <f>IF(OR(B352="",P352=""),"",IF(D352="Venda",-1,1)*((N(J352)*N(K352)+N(L352)*N(M352)+N(N352)*N(O352))-(N(J352)+N(L352)+N(N352))*F352)-N(Q352))</f>
        <v/>
      </c>
      <c r="V352" s="9">
        <f>IF(OR(B352="",P352=""),"",U352/S352)</f>
        <v/>
      </c>
      <c r="W352">
        <f>IF(OR(B352="",P352=""),"",NETWORKDAYS(C352,P352)-1)</f>
        <v/>
      </c>
      <c r="X352">
        <f>IF(B352="","",IF(P352="","Aberto","Fechado"))</f>
        <v/>
      </c>
    </row>
    <row r="353">
      <c r="C353" s="6" t="n"/>
      <c r="E353" s="7" t="n"/>
      <c r="F353" s="8" t="n"/>
      <c r="G353" s="8" t="n"/>
      <c r="H353" s="8" t="n"/>
      <c r="J353" s="7" t="n"/>
      <c r="K353" s="8" t="n"/>
      <c r="L353" s="7" t="n"/>
      <c r="M353" s="8" t="n"/>
      <c r="N353" s="7" t="n"/>
      <c r="O353" s="8" t="n"/>
      <c r="P353" s="6" t="n"/>
      <c r="Q353" s="8" t="n"/>
      <c r="S353" s="8">
        <f>IF(B353="","",E353*F353)</f>
        <v/>
      </c>
      <c r="T353" s="8">
        <f>IF(OR(B353="",N(G353)=0),"",ABS(F353-G353)*E353)</f>
        <v/>
      </c>
      <c r="U353" s="8">
        <f>IF(OR(B353="",P353=""),"",IF(D353="Venda",-1,1)*((N(J353)*N(K353)+N(L353)*N(M353)+N(N353)*N(O353))-(N(J353)+N(L353)+N(N353))*F353)-N(Q353))</f>
        <v/>
      </c>
      <c r="V353" s="9">
        <f>IF(OR(B353="",P353=""),"",U353/S353)</f>
        <v/>
      </c>
      <c r="W353">
        <f>IF(OR(B353="",P353=""),"",NETWORKDAYS(C353,P353)-1)</f>
        <v/>
      </c>
      <c r="X353">
        <f>IF(B353="","",IF(P353="","Aberto","Fechado"))</f>
        <v/>
      </c>
    </row>
    <row r="354">
      <c r="C354" s="6" t="n"/>
      <c r="E354" s="7" t="n"/>
      <c r="F354" s="8" t="n"/>
      <c r="G354" s="8" t="n"/>
      <c r="H354" s="8" t="n"/>
      <c r="J354" s="7" t="n"/>
      <c r="K354" s="8" t="n"/>
      <c r="L354" s="7" t="n"/>
      <c r="M354" s="8" t="n"/>
      <c r="N354" s="7" t="n"/>
      <c r="O354" s="8" t="n"/>
      <c r="P354" s="6" t="n"/>
      <c r="Q354" s="8" t="n"/>
      <c r="S354" s="8">
        <f>IF(B354="","",E354*F354)</f>
        <v/>
      </c>
      <c r="T354" s="8">
        <f>IF(OR(B354="",N(G354)=0),"",ABS(F354-G354)*E354)</f>
        <v/>
      </c>
      <c r="U354" s="8">
        <f>IF(OR(B354="",P354=""),"",IF(D354="Venda",-1,1)*((N(J354)*N(K354)+N(L354)*N(M354)+N(N354)*N(O354))-(N(J354)+N(L354)+N(N354))*F354)-N(Q354))</f>
        <v/>
      </c>
      <c r="V354" s="9">
        <f>IF(OR(B354="",P354=""),"",U354/S354)</f>
        <v/>
      </c>
      <c r="W354">
        <f>IF(OR(B354="",P354=""),"",NETWORKDAYS(C354,P354)-1)</f>
        <v/>
      </c>
      <c r="X354">
        <f>IF(B354="","",IF(P354="","Aberto","Fechado"))</f>
        <v/>
      </c>
    </row>
    <row r="355">
      <c r="C355" s="6" t="n"/>
      <c r="E355" s="7" t="n"/>
      <c r="F355" s="8" t="n"/>
      <c r="G355" s="8" t="n"/>
      <c r="H355" s="8" t="n"/>
      <c r="J355" s="7" t="n"/>
      <c r="K355" s="8" t="n"/>
      <c r="L355" s="7" t="n"/>
      <c r="M355" s="8" t="n"/>
      <c r="N355" s="7" t="n"/>
      <c r="O355" s="8" t="n"/>
      <c r="P355" s="6" t="n"/>
      <c r="Q355" s="8" t="n"/>
      <c r="S355" s="8">
        <f>IF(B355="","",E355*F355)</f>
        <v/>
      </c>
      <c r="T355" s="8">
        <f>IF(OR(B355="",N(G355)=0),"",ABS(F355-G355)*E355)</f>
        <v/>
      </c>
      <c r="U355" s="8">
        <f>IF(OR(B355="",P355=""),"",IF(D355="Venda",-1,1)*((N(J355)*N(K355)+N(L355)*N(M355)+N(N355)*N(O355))-(N(J355)+N(L355)+N(N355))*F355)-N(Q355))</f>
        <v/>
      </c>
      <c r="V355" s="9">
        <f>IF(OR(B355="",P355=""),"",U355/S355)</f>
        <v/>
      </c>
      <c r="W355">
        <f>IF(OR(B355="",P355=""),"",NETWORKDAYS(C355,P355)-1)</f>
        <v/>
      </c>
      <c r="X355">
        <f>IF(B355="","",IF(P355="","Aberto","Fechado"))</f>
        <v/>
      </c>
    </row>
    <row r="356">
      <c r="C356" s="6" t="n"/>
      <c r="E356" s="7" t="n"/>
      <c r="F356" s="8" t="n"/>
      <c r="G356" s="8" t="n"/>
      <c r="H356" s="8" t="n"/>
      <c r="J356" s="7" t="n"/>
      <c r="K356" s="8" t="n"/>
      <c r="L356" s="7" t="n"/>
      <c r="M356" s="8" t="n"/>
      <c r="N356" s="7" t="n"/>
      <c r="O356" s="8" t="n"/>
      <c r="P356" s="6" t="n"/>
      <c r="Q356" s="8" t="n"/>
      <c r="S356" s="8">
        <f>IF(B356="","",E356*F356)</f>
        <v/>
      </c>
      <c r="T356" s="8">
        <f>IF(OR(B356="",N(G356)=0),"",ABS(F356-G356)*E356)</f>
        <v/>
      </c>
      <c r="U356" s="8">
        <f>IF(OR(B356="",P356=""),"",IF(D356="Venda",-1,1)*((N(J356)*N(K356)+N(L356)*N(M356)+N(N356)*N(O356))-(N(J356)+N(L356)+N(N356))*F356)-N(Q356))</f>
        <v/>
      </c>
      <c r="V356" s="9">
        <f>IF(OR(B356="",P356=""),"",U356/S356)</f>
        <v/>
      </c>
      <c r="W356">
        <f>IF(OR(B356="",P356=""),"",NETWORKDAYS(C356,P356)-1)</f>
        <v/>
      </c>
      <c r="X356">
        <f>IF(B356="","",IF(P356="","Aberto","Fechado"))</f>
        <v/>
      </c>
    </row>
    <row r="357">
      <c r="C357" s="6" t="n"/>
      <c r="E357" s="7" t="n"/>
      <c r="F357" s="8" t="n"/>
      <c r="G357" s="8" t="n"/>
      <c r="H357" s="8" t="n"/>
      <c r="J357" s="7" t="n"/>
      <c r="K357" s="8" t="n"/>
      <c r="L357" s="7" t="n"/>
      <c r="M357" s="8" t="n"/>
      <c r="N357" s="7" t="n"/>
      <c r="O357" s="8" t="n"/>
      <c r="P357" s="6" t="n"/>
      <c r="Q357" s="8" t="n"/>
      <c r="S357" s="8">
        <f>IF(B357="","",E357*F357)</f>
        <v/>
      </c>
      <c r="T357" s="8">
        <f>IF(OR(B357="",N(G357)=0),"",ABS(F357-G357)*E357)</f>
        <v/>
      </c>
      <c r="U357" s="8">
        <f>IF(OR(B357="",P357=""),"",IF(D357="Venda",-1,1)*((N(J357)*N(K357)+N(L357)*N(M357)+N(N357)*N(O357))-(N(J357)+N(L357)+N(N357))*F357)-N(Q357))</f>
        <v/>
      </c>
      <c r="V357" s="9">
        <f>IF(OR(B357="",P357=""),"",U357/S357)</f>
        <v/>
      </c>
      <c r="W357">
        <f>IF(OR(B357="",P357=""),"",NETWORKDAYS(C357,P357)-1)</f>
        <v/>
      </c>
      <c r="X357">
        <f>IF(B357="","",IF(P357="","Aberto","Fechado"))</f>
        <v/>
      </c>
    </row>
    <row r="358">
      <c r="C358" s="6" t="n"/>
      <c r="E358" s="7" t="n"/>
      <c r="F358" s="8" t="n"/>
      <c r="G358" s="8" t="n"/>
      <c r="H358" s="8" t="n"/>
      <c r="J358" s="7" t="n"/>
      <c r="K358" s="8" t="n"/>
      <c r="L358" s="7" t="n"/>
      <c r="M358" s="8" t="n"/>
      <c r="N358" s="7" t="n"/>
      <c r="O358" s="8" t="n"/>
      <c r="P358" s="6" t="n"/>
      <c r="Q358" s="8" t="n"/>
      <c r="S358" s="8">
        <f>IF(B358="","",E358*F358)</f>
        <v/>
      </c>
      <c r="T358" s="8">
        <f>IF(OR(B358="",N(G358)=0),"",ABS(F358-G358)*E358)</f>
        <v/>
      </c>
      <c r="U358" s="8">
        <f>IF(OR(B358="",P358=""),"",IF(D358="Venda",-1,1)*((N(J358)*N(K358)+N(L358)*N(M358)+N(N358)*N(O358))-(N(J358)+N(L358)+N(N358))*F358)-N(Q358))</f>
        <v/>
      </c>
      <c r="V358" s="9">
        <f>IF(OR(B358="",P358=""),"",U358/S358)</f>
        <v/>
      </c>
      <c r="W358">
        <f>IF(OR(B358="",P358=""),"",NETWORKDAYS(C358,P358)-1)</f>
        <v/>
      </c>
      <c r="X358">
        <f>IF(B358="","",IF(P358="","Aberto","Fechado"))</f>
        <v/>
      </c>
    </row>
    <row r="359">
      <c r="C359" s="6" t="n"/>
      <c r="E359" s="7" t="n"/>
      <c r="F359" s="8" t="n"/>
      <c r="G359" s="8" t="n"/>
      <c r="H359" s="8" t="n"/>
      <c r="J359" s="7" t="n"/>
      <c r="K359" s="8" t="n"/>
      <c r="L359" s="7" t="n"/>
      <c r="M359" s="8" t="n"/>
      <c r="N359" s="7" t="n"/>
      <c r="O359" s="8" t="n"/>
      <c r="P359" s="6" t="n"/>
      <c r="Q359" s="8" t="n"/>
      <c r="S359" s="8">
        <f>IF(B359="","",E359*F359)</f>
        <v/>
      </c>
      <c r="T359" s="8">
        <f>IF(OR(B359="",N(G359)=0),"",ABS(F359-G359)*E359)</f>
        <v/>
      </c>
      <c r="U359" s="8">
        <f>IF(OR(B359="",P359=""),"",IF(D359="Venda",-1,1)*((N(J359)*N(K359)+N(L359)*N(M359)+N(N359)*N(O359))-(N(J359)+N(L359)+N(N359))*F359)-N(Q359))</f>
        <v/>
      </c>
      <c r="V359" s="9">
        <f>IF(OR(B359="",P359=""),"",U359/S359)</f>
        <v/>
      </c>
      <c r="W359">
        <f>IF(OR(B359="",P359=""),"",NETWORKDAYS(C359,P359)-1)</f>
        <v/>
      </c>
      <c r="X359">
        <f>IF(B359="","",IF(P359="","Aberto","Fechado"))</f>
        <v/>
      </c>
    </row>
    <row r="360">
      <c r="C360" s="6" t="n"/>
      <c r="E360" s="7" t="n"/>
      <c r="F360" s="8" t="n"/>
      <c r="G360" s="8" t="n"/>
      <c r="H360" s="8" t="n"/>
      <c r="J360" s="7" t="n"/>
      <c r="K360" s="8" t="n"/>
      <c r="L360" s="7" t="n"/>
      <c r="M360" s="8" t="n"/>
      <c r="N360" s="7" t="n"/>
      <c r="O360" s="8" t="n"/>
      <c r="P360" s="6" t="n"/>
      <c r="Q360" s="8" t="n"/>
      <c r="S360" s="8">
        <f>IF(B360="","",E360*F360)</f>
        <v/>
      </c>
      <c r="T360" s="8">
        <f>IF(OR(B360="",N(G360)=0),"",ABS(F360-G360)*E360)</f>
        <v/>
      </c>
      <c r="U360" s="8">
        <f>IF(OR(B360="",P360=""),"",IF(D360="Venda",-1,1)*((N(J360)*N(K360)+N(L360)*N(M360)+N(N360)*N(O360))-(N(J360)+N(L360)+N(N360))*F360)-N(Q360))</f>
        <v/>
      </c>
      <c r="V360" s="9">
        <f>IF(OR(B360="",P360=""),"",U360/S360)</f>
        <v/>
      </c>
      <c r="W360">
        <f>IF(OR(B360="",P360=""),"",NETWORKDAYS(C360,P360)-1)</f>
        <v/>
      </c>
      <c r="X360">
        <f>IF(B360="","",IF(P360="","Aberto","Fechado"))</f>
        <v/>
      </c>
    </row>
    <row r="361">
      <c r="C361" s="6" t="n"/>
      <c r="E361" s="7" t="n"/>
      <c r="F361" s="8" t="n"/>
      <c r="G361" s="8" t="n"/>
      <c r="H361" s="8" t="n"/>
      <c r="J361" s="7" t="n"/>
      <c r="K361" s="8" t="n"/>
      <c r="L361" s="7" t="n"/>
      <c r="M361" s="8" t="n"/>
      <c r="N361" s="7" t="n"/>
      <c r="O361" s="8" t="n"/>
      <c r="P361" s="6" t="n"/>
      <c r="Q361" s="8" t="n"/>
      <c r="S361" s="8">
        <f>IF(B361="","",E361*F361)</f>
        <v/>
      </c>
      <c r="T361" s="8">
        <f>IF(OR(B361="",N(G361)=0),"",ABS(F361-G361)*E361)</f>
        <v/>
      </c>
      <c r="U361" s="8">
        <f>IF(OR(B361="",P361=""),"",IF(D361="Venda",-1,1)*((N(J361)*N(K361)+N(L361)*N(M361)+N(N361)*N(O361))-(N(J361)+N(L361)+N(N361))*F361)-N(Q361))</f>
        <v/>
      </c>
      <c r="V361" s="9">
        <f>IF(OR(B361="",P361=""),"",U361/S361)</f>
        <v/>
      </c>
      <c r="W361">
        <f>IF(OR(B361="",P361=""),"",NETWORKDAYS(C361,P361)-1)</f>
        <v/>
      </c>
      <c r="X361">
        <f>IF(B361="","",IF(P361="","Aberto","Fechado"))</f>
        <v/>
      </c>
    </row>
    <row r="362">
      <c r="C362" s="6" t="n"/>
      <c r="E362" s="7" t="n"/>
      <c r="F362" s="8" t="n"/>
      <c r="G362" s="8" t="n"/>
      <c r="H362" s="8" t="n"/>
      <c r="J362" s="7" t="n"/>
      <c r="K362" s="8" t="n"/>
      <c r="L362" s="7" t="n"/>
      <c r="M362" s="8" t="n"/>
      <c r="N362" s="7" t="n"/>
      <c r="O362" s="8" t="n"/>
      <c r="P362" s="6" t="n"/>
      <c r="Q362" s="8" t="n"/>
      <c r="S362" s="8">
        <f>IF(B362="","",E362*F362)</f>
        <v/>
      </c>
      <c r="T362" s="8">
        <f>IF(OR(B362="",N(G362)=0),"",ABS(F362-G362)*E362)</f>
        <v/>
      </c>
      <c r="U362" s="8">
        <f>IF(OR(B362="",P362=""),"",IF(D362="Venda",-1,1)*((N(J362)*N(K362)+N(L362)*N(M362)+N(N362)*N(O362))-(N(J362)+N(L362)+N(N362))*F362)-N(Q362))</f>
        <v/>
      </c>
      <c r="V362" s="9">
        <f>IF(OR(B362="",P362=""),"",U362/S362)</f>
        <v/>
      </c>
      <c r="W362">
        <f>IF(OR(B362="",P362=""),"",NETWORKDAYS(C362,P362)-1)</f>
        <v/>
      </c>
      <c r="X362">
        <f>IF(B362="","",IF(P362="","Aberto","Fechado"))</f>
        <v/>
      </c>
    </row>
    <row r="363">
      <c r="C363" s="6" t="n"/>
      <c r="E363" s="7" t="n"/>
      <c r="F363" s="8" t="n"/>
      <c r="G363" s="8" t="n"/>
      <c r="H363" s="8" t="n"/>
      <c r="J363" s="7" t="n"/>
      <c r="K363" s="8" t="n"/>
      <c r="L363" s="7" t="n"/>
      <c r="M363" s="8" t="n"/>
      <c r="N363" s="7" t="n"/>
      <c r="O363" s="8" t="n"/>
      <c r="P363" s="6" t="n"/>
      <c r="Q363" s="8" t="n"/>
      <c r="S363" s="8">
        <f>IF(B363="","",E363*F363)</f>
        <v/>
      </c>
      <c r="T363" s="8">
        <f>IF(OR(B363="",N(G363)=0),"",ABS(F363-G363)*E363)</f>
        <v/>
      </c>
      <c r="U363" s="8">
        <f>IF(OR(B363="",P363=""),"",IF(D363="Venda",-1,1)*((N(J363)*N(K363)+N(L363)*N(M363)+N(N363)*N(O363))-(N(J363)+N(L363)+N(N363))*F363)-N(Q363))</f>
        <v/>
      </c>
      <c r="V363" s="9">
        <f>IF(OR(B363="",P363=""),"",U363/S363)</f>
        <v/>
      </c>
      <c r="W363">
        <f>IF(OR(B363="",P363=""),"",NETWORKDAYS(C363,P363)-1)</f>
        <v/>
      </c>
      <c r="X363">
        <f>IF(B363="","",IF(P363="","Aberto","Fechado"))</f>
        <v/>
      </c>
    </row>
    <row r="364">
      <c r="C364" s="6" t="n"/>
      <c r="E364" s="7" t="n"/>
      <c r="F364" s="8" t="n"/>
      <c r="G364" s="8" t="n"/>
      <c r="H364" s="8" t="n"/>
      <c r="J364" s="7" t="n"/>
      <c r="K364" s="8" t="n"/>
      <c r="L364" s="7" t="n"/>
      <c r="M364" s="8" t="n"/>
      <c r="N364" s="7" t="n"/>
      <c r="O364" s="8" t="n"/>
      <c r="P364" s="6" t="n"/>
      <c r="Q364" s="8" t="n"/>
      <c r="S364" s="8">
        <f>IF(B364="","",E364*F364)</f>
        <v/>
      </c>
      <c r="T364" s="8">
        <f>IF(OR(B364="",N(G364)=0),"",ABS(F364-G364)*E364)</f>
        <v/>
      </c>
      <c r="U364" s="8">
        <f>IF(OR(B364="",P364=""),"",IF(D364="Venda",-1,1)*((N(J364)*N(K364)+N(L364)*N(M364)+N(N364)*N(O364))-(N(J364)+N(L364)+N(N364))*F364)-N(Q364))</f>
        <v/>
      </c>
      <c r="V364" s="9">
        <f>IF(OR(B364="",P364=""),"",U364/S364)</f>
        <v/>
      </c>
      <c r="W364">
        <f>IF(OR(B364="",P364=""),"",NETWORKDAYS(C364,P364)-1)</f>
        <v/>
      </c>
      <c r="X364">
        <f>IF(B364="","",IF(P364="","Aberto","Fechado"))</f>
        <v/>
      </c>
    </row>
    <row r="365">
      <c r="C365" s="6" t="n"/>
      <c r="E365" s="7" t="n"/>
      <c r="F365" s="8" t="n"/>
      <c r="G365" s="8" t="n"/>
      <c r="H365" s="8" t="n"/>
      <c r="J365" s="7" t="n"/>
      <c r="K365" s="8" t="n"/>
      <c r="L365" s="7" t="n"/>
      <c r="M365" s="8" t="n"/>
      <c r="N365" s="7" t="n"/>
      <c r="O365" s="8" t="n"/>
      <c r="P365" s="6" t="n"/>
      <c r="Q365" s="8" t="n"/>
      <c r="S365" s="8">
        <f>IF(B365="","",E365*F365)</f>
        <v/>
      </c>
      <c r="T365" s="8">
        <f>IF(OR(B365="",N(G365)=0),"",ABS(F365-G365)*E365)</f>
        <v/>
      </c>
      <c r="U365" s="8">
        <f>IF(OR(B365="",P365=""),"",IF(D365="Venda",-1,1)*((N(J365)*N(K365)+N(L365)*N(M365)+N(N365)*N(O365))-(N(J365)+N(L365)+N(N365))*F365)-N(Q365))</f>
        <v/>
      </c>
      <c r="V365" s="9">
        <f>IF(OR(B365="",P365=""),"",U365/S365)</f>
        <v/>
      </c>
      <c r="W365">
        <f>IF(OR(B365="",P365=""),"",NETWORKDAYS(C365,P365)-1)</f>
        <v/>
      </c>
      <c r="X365">
        <f>IF(B365="","",IF(P365="","Aberto","Fechado"))</f>
        <v/>
      </c>
    </row>
    <row r="366">
      <c r="C366" s="6" t="n"/>
      <c r="E366" s="7" t="n"/>
      <c r="F366" s="8" t="n"/>
      <c r="G366" s="8" t="n"/>
      <c r="H366" s="8" t="n"/>
      <c r="J366" s="7" t="n"/>
      <c r="K366" s="8" t="n"/>
      <c r="L366" s="7" t="n"/>
      <c r="M366" s="8" t="n"/>
      <c r="N366" s="7" t="n"/>
      <c r="O366" s="8" t="n"/>
      <c r="P366" s="6" t="n"/>
      <c r="Q366" s="8" t="n"/>
      <c r="S366" s="8">
        <f>IF(B366="","",E366*F366)</f>
        <v/>
      </c>
      <c r="T366" s="8">
        <f>IF(OR(B366="",N(G366)=0),"",ABS(F366-G366)*E366)</f>
        <v/>
      </c>
      <c r="U366" s="8">
        <f>IF(OR(B366="",P366=""),"",IF(D366="Venda",-1,1)*((N(J366)*N(K366)+N(L366)*N(M366)+N(N366)*N(O366))-(N(J366)+N(L366)+N(N366))*F366)-N(Q366))</f>
        <v/>
      </c>
      <c r="V366" s="9">
        <f>IF(OR(B366="",P366=""),"",U366/S366)</f>
        <v/>
      </c>
      <c r="W366">
        <f>IF(OR(B366="",P366=""),"",NETWORKDAYS(C366,P366)-1)</f>
        <v/>
      </c>
      <c r="X366">
        <f>IF(B366="","",IF(P366="","Aberto","Fechado"))</f>
        <v/>
      </c>
    </row>
    <row r="367">
      <c r="C367" s="6" t="n"/>
      <c r="E367" s="7" t="n"/>
      <c r="F367" s="8" t="n"/>
      <c r="G367" s="8" t="n"/>
      <c r="H367" s="8" t="n"/>
      <c r="J367" s="7" t="n"/>
      <c r="K367" s="8" t="n"/>
      <c r="L367" s="7" t="n"/>
      <c r="M367" s="8" t="n"/>
      <c r="N367" s="7" t="n"/>
      <c r="O367" s="8" t="n"/>
      <c r="P367" s="6" t="n"/>
      <c r="Q367" s="8" t="n"/>
      <c r="S367" s="8">
        <f>IF(B367="","",E367*F367)</f>
        <v/>
      </c>
      <c r="T367" s="8">
        <f>IF(OR(B367="",N(G367)=0),"",ABS(F367-G367)*E367)</f>
        <v/>
      </c>
      <c r="U367" s="8">
        <f>IF(OR(B367="",P367=""),"",IF(D367="Venda",-1,1)*((N(J367)*N(K367)+N(L367)*N(M367)+N(N367)*N(O367))-(N(J367)+N(L367)+N(N367))*F367)-N(Q367))</f>
        <v/>
      </c>
      <c r="V367" s="9">
        <f>IF(OR(B367="",P367=""),"",U367/S367)</f>
        <v/>
      </c>
      <c r="W367">
        <f>IF(OR(B367="",P367=""),"",NETWORKDAYS(C367,P367)-1)</f>
        <v/>
      </c>
      <c r="X367">
        <f>IF(B367="","",IF(P367="","Aberto","Fechado"))</f>
        <v/>
      </c>
    </row>
    <row r="368">
      <c r="C368" s="6" t="n"/>
      <c r="E368" s="7" t="n"/>
      <c r="F368" s="8" t="n"/>
      <c r="G368" s="8" t="n"/>
      <c r="H368" s="8" t="n"/>
      <c r="J368" s="7" t="n"/>
      <c r="K368" s="8" t="n"/>
      <c r="L368" s="7" t="n"/>
      <c r="M368" s="8" t="n"/>
      <c r="N368" s="7" t="n"/>
      <c r="O368" s="8" t="n"/>
      <c r="P368" s="6" t="n"/>
      <c r="Q368" s="8" t="n"/>
      <c r="S368" s="8">
        <f>IF(B368="","",E368*F368)</f>
        <v/>
      </c>
      <c r="T368" s="8">
        <f>IF(OR(B368="",N(G368)=0),"",ABS(F368-G368)*E368)</f>
        <v/>
      </c>
      <c r="U368" s="8">
        <f>IF(OR(B368="",P368=""),"",IF(D368="Venda",-1,1)*((N(J368)*N(K368)+N(L368)*N(M368)+N(N368)*N(O368))-(N(J368)+N(L368)+N(N368))*F368)-N(Q368))</f>
        <v/>
      </c>
      <c r="V368" s="9">
        <f>IF(OR(B368="",P368=""),"",U368/S368)</f>
        <v/>
      </c>
      <c r="W368">
        <f>IF(OR(B368="",P368=""),"",NETWORKDAYS(C368,P368)-1)</f>
        <v/>
      </c>
      <c r="X368">
        <f>IF(B368="","",IF(P368="","Aberto","Fechado"))</f>
        <v/>
      </c>
    </row>
    <row r="369">
      <c r="C369" s="6" t="n"/>
      <c r="E369" s="7" t="n"/>
      <c r="F369" s="8" t="n"/>
      <c r="G369" s="8" t="n"/>
      <c r="H369" s="8" t="n"/>
      <c r="J369" s="7" t="n"/>
      <c r="K369" s="8" t="n"/>
      <c r="L369" s="7" t="n"/>
      <c r="M369" s="8" t="n"/>
      <c r="N369" s="7" t="n"/>
      <c r="O369" s="8" t="n"/>
      <c r="P369" s="6" t="n"/>
      <c r="Q369" s="8" t="n"/>
      <c r="S369" s="8">
        <f>IF(B369="","",E369*F369)</f>
        <v/>
      </c>
      <c r="T369" s="8">
        <f>IF(OR(B369="",N(G369)=0),"",ABS(F369-G369)*E369)</f>
        <v/>
      </c>
      <c r="U369" s="8">
        <f>IF(OR(B369="",P369=""),"",IF(D369="Venda",-1,1)*((N(J369)*N(K369)+N(L369)*N(M369)+N(N369)*N(O369))-(N(J369)+N(L369)+N(N369))*F369)-N(Q369))</f>
        <v/>
      </c>
      <c r="V369" s="9">
        <f>IF(OR(B369="",P369=""),"",U369/S369)</f>
        <v/>
      </c>
      <c r="W369">
        <f>IF(OR(B369="",P369=""),"",NETWORKDAYS(C369,P369)-1)</f>
        <v/>
      </c>
      <c r="X369">
        <f>IF(B369="","",IF(P369="","Aberto","Fechado"))</f>
        <v/>
      </c>
    </row>
    <row r="370">
      <c r="C370" s="6" t="n"/>
      <c r="E370" s="7" t="n"/>
      <c r="F370" s="8" t="n"/>
      <c r="G370" s="8" t="n"/>
      <c r="H370" s="8" t="n"/>
      <c r="J370" s="7" t="n"/>
      <c r="K370" s="8" t="n"/>
      <c r="L370" s="7" t="n"/>
      <c r="M370" s="8" t="n"/>
      <c r="N370" s="7" t="n"/>
      <c r="O370" s="8" t="n"/>
      <c r="P370" s="6" t="n"/>
      <c r="Q370" s="8" t="n"/>
      <c r="S370" s="8">
        <f>IF(B370="","",E370*F370)</f>
        <v/>
      </c>
      <c r="T370" s="8">
        <f>IF(OR(B370="",N(G370)=0),"",ABS(F370-G370)*E370)</f>
        <v/>
      </c>
      <c r="U370" s="8">
        <f>IF(OR(B370="",P370=""),"",IF(D370="Venda",-1,1)*((N(J370)*N(K370)+N(L370)*N(M370)+N(N370)*N(O370))-(N(J370)+N(L370)+N(N370))*F370)-N(Q370))</f>
        <v/>
      </c>
      <c r="V370" s="9">
        <f>IF(OR(B370="",P370=""),"",U370/S370)</f>
        <v/>
      </c>
      <c r="W370">
        <f>IF(OR(B370="",P370=""),"",NETWORKDAYS(C370,P370)-1)</f>
        <v/>
      </c>
      <c r="X370">
        <f>IF(B370="","",IF(P370="","Aberto","Fechado"))</f>
        <v/>
      </c>
    </row>
    <row r="371">
      <c r="C371" s="6" t="n"/>
      <c r="E371" s="7" t="n"/>
      <c r="F371" s="8" t="n"/>
      <c r="G371" s="8" t="n"/>
      <c r="H371" s="8" t="n"/>
      <c r="J371" s="7" t="n"/>
      <c r="K371" s="8" t="n"/>
      <c r="L371" s="7" t="n"/>
      <c r="M371" s="8" t="n"/>
      <c r="N371" s="7" t="n"/>
      <c r="O371" s="8" t="n"/>
      <c r="P371" s="6" t="n"/>
      <c r="Q371" s="8" t="n"/>
      <c r="S371" s="8">
        <f>IF(B371="","",E371*F371)</f>
        <v/>
      </c>
      <c r="T371" s="8">
        <f>IF(OR(B371="",N(G371)=0),"",ABS(F371-G371)*E371)</f>
        <v/>
      </c>
      <c r="U371" s="8">
        <f>IF(OR(B371="",P371=""),"",IF(D371="Venda",-1,1)*((N(J371)*N(K371)+N(L371)*N(M371)+N(N371)*N(O371))-(N(J371)+N(L371)+N(N371))*F371)-N(Q371))</f>
        <v/>
      </c>
      <c r="V371" s="9">
        <f>IF(OR(B371="",P371=""),"",U371/S371)</f>
        <v/>
      </c>
      <c r="W371">
        <f>IF(OR(B371="",P371=""),"",NETWORKDAYS(C371,P371)-1)</f>
        <v/>
      </c>
      <c r="X371">
        <f>IF(B371="","",IF(P371="","Aberto","Fechado"))</f>
        <v/>
      </c>
    </row>
    <row r="372">
      <c r="C372" s="6" t="n"/>
      <c r="E372" s="7" t="n"/>
      <c r="F372" s="8" t="n"/>
      <c r="G372" s="8" t="n"/>
      <c r="H372" s="8" t="n"/>
      <c r="J372" s="7" t="n"/>
      <c r="K372" s="8" t="n"/>
      <c r="L372" s="7" t="n"/>
      <c r="M372" s="8" t="n"/>
      <c r="N372" s="7" t="n"/>
      <c r="O372" s="8" t="n"/>
      <c r="P372" s="6" t="n"/>
      <c r="Q372" s="8" t="n"/>
      <c r="S372" s="8">
        <f>IF(B372="","",E372*F372)</f>
        <v/>
      </c>
      <c r="T372" s="8">
        <f>IF(OR(B372="",N(G372)=0),"",ABS(F372-G372)*E372)</f>
        <v/>
      </c>
      <c r="U372" s="8">
        <f>IF(OR(B372="",P372=""),"",IF(D372="Venda",-1,1)*((N(J372)*N(K372)+N(L372)*N(M372)+N(N372)*N(O372))-(N(J372)+N(L372)+N(N372))*F372)-N(Q372))</f>
        <v/>
      </c>
      <c r="V372" s="9">
        <f>IF(OR(B372="",P372=""),"",U372/S372)</f>
        <v/>
      </c>
      <c r="W372">
        <f>IF(OR(B372="",P372=""),"",NETWORKDAYS(C372,P372)-1)</f>
        <v/>
      </c>
      <c r="X372">
        <f>IF(B372="","",IF(P372="","Aberto","Fechado"))</f>
        <v/>
      </c>
    </row>
    <row r="373">
      <c r="C373" s="6" t="n"/>
      <c r="E373" s="7" t="n"/>
      <c r="F373" s="8" t="n"/>
      <c r="G373" s="8" t="n"/>
      <c r="H373" s="8" t="n"/>
      <c r="J373" s="7" t="n"/>
      <c r="K373" s="8" t="n"/>
      <c r="L373" s="7" t="n"/>
      <c r="M373" s="8" t="n"/>
      <c r="N373" s="7" t="n"/>
      <c r="O373" s="8" t="n"/>
      <c r="P373" s="6" t="n"/>
      <c r="Q373" s="8" t="n"/>
      <c r="S373" s="8">
        <f>IF(B373="","",E373*F373)</f>
        <v/>
      </c>
      <c r="T373" s="8">
        <f>IF(OR(B373="",N(G373)=0),"",ABS(F373-G373)*E373)</f>
        <v/>
      </c>
      <c r="U373" s="8">
        <f>IF(OR(B373="",P373=""),"",IF(D373="Venda",-1,1)*((N(J373)*N(K373)+N(L373)*N(M373)+N(N373)*N(O373))-(N(J373)+N(L373)+N(N373))*F373)-N(Q373))</f>
        <v/>
      </c>
      <c r="V373" s="9">
        <f>IF(OR(B373="",P373=""),"",U373/S373)</f>
        <v/>
      </c>
      <c r="W373">
        <f>IF(OR(B373="",P373=""),"",NETWORKDAYS(C373,P373)-1)</f>
        <v/>
      </c>
      <c r="X373">
        <f>IF(B373="","",IF(P373="","Aberto","Fechado"))</f>
        <v/>
      </c>
    </row>
    <row r="374">
      <c r="C374" s="6" t="n"/>
      <c r="E374" s="7" t="n"/>
      <c r="F374" s="8" t="n"/>
      <c r="G374" s="8" t="n"/>
      <c r="H374" s="8" t="n"/>
      <c r="J374" s="7" t="n"/>
      <c r="K374" s="8" t="n"/>
      <c r="L374" s="7" t="n"/>
      <c r="M374" s="8" t="n"/>
      <c r="N374" s="7" t="n"/>
      <c r="O374" s="8" t="n"/>
      <c r="P374" s="6" t="n"/>
      <c r="Q374" s="8" t="n"/>
      <c r="S374" s="8">
        <f>IF(B374="","",E374*F374)</f>
        <v/>
      </c>
      <c r="T374" s="8">
        <f>IF(OR(B374="",N(G374)=0),"",ABS(F374-G374)*E374)</f>
        <v/>
      </c>
      <c r="U374" s="8">
        <f>IF(OR(B374="",P374=""),"",IF(D374="Venda",-1,1)*((N(J374)*N(K374)+N(L374)*N(M374)+N(N374)*N(O374))-(N(J374)+N(L374)+N(N374))*F374)-N(Q374))</f>
        <v/>
      </c>
      <c r="V374" s="9">
        <f>IF(OR(B374="",P374=""),"",U374/S374)</f>
        <v/>
      </c>
      <c r="W374">
        <f>IF(OR(B374="",P374=""),"",NETWORKDAYS(C374,P374)-1)</f>
        <v/>
      </c>
      <c r="X374">
        <f>IF(B374="","",IF(P374="","Aberto","Fechado"))</f>
        <v/>
      </c>
    </row>
    <row r="375">
      <c r="C375" s="6" t="n"/>
      <c r="E375" s="7" t="n"/>
      <c r="F375" s="8" t="n"/>
      <c r="G375" s="8" t="n"/>
      <c r="H375" s="8" t="n"/>
      <c r="J375" s="7" t="n"/>
      <c r="K375" s="8" t="n"/>
      <c r="L375" s="7" t="n"/>
      <c r="M375" s="8" t="n"/>
      <c r="N375" s="7" t="n"/>
      <c r="O375" s="8" t="n"/>
      <c r="P375" s="6" t="n"/>
      <c r="Q375" s="8" t="n"/>
      <c r="S375" s="8">
        <f>IF(B375="","",E375*F375)</f>
        <v/>
      </c>
      <c r="T375" s="8">
        <f>IF(OR(B375="",N(G375)=0),"",ABS(F375-G375)*E375)</f>
        <v/>
      </c>
      <c r="U375" s="8">
        <f>IF(OR(B375="",P375=""),"",IF(D375="Venda",-1,1)*((N(J375)*N(K375)+N(L375)*N(M375)+N(N375)*N(O375))-(N(J375)+N(L375)+N(N375))*F375)-N(Q375))</f>
        <v/>
      </c>
      <c r="V375" s="9">
        <f>IF(OR(B375="",P375=""),"",U375/S375)</f>
        <v/>
      </c>
      <c r="W375">
        <f>IF(OR(B375="",P375=""),"",NETWORKDAYS(C375,P375)-1)</f>
        <v/>
      </c>
      <c r="X375">
        <f>IF(B375="","",IF(P375="","Aberto","Fechado"))</f>
        <v/>
      </c>
    </row>
    <row r="376">
      <c r="C376" s="6" t="n"/>
      <c r="E376" s="7" t="n"/>
      <c r="F376" s="8" t="n"/>
      <c r="G376" s="8" t="n"/>
      <c r="H376" s="8" t="n"/>
      <c r="J376" s="7" t="n"/>
      <c r="K376" s="8" t="n"/>
      <c r="L376" s="7" t="n"/>
      <c r="M376" s="8" t="n"/>
      <c r="N376" s="7" t="n"/>
      <c r="O376" s="8" t="n"/>
      <c r="P376" s="6" t="n"/>
      <c r="Q376" s="8" t="n"/>
      <c r="S376" s="8">
        <f>IF(B376="","",E376*F376)</f>
        <v/>
      </c>
      <c r="T376" s="8">
        <f>IF(OR(B376="",N(G376)=0),"",ABS(F376-G376)*E376)</f>
        <v/>
      </c>
      <c r="U376" s="8">
        <f>IF(OR(B376="",P376=""),"",IF(D376="Venda",-1,1)*((N(J376)*N(K376)+N(L376)*N(M376)+N(N376)*N(O376))-(N(J376)+N(L376)+N(N376))*F376)-N(Q376))</f>
        <v/>
      </c>
      <c r="V376" s="9">
        <f>IF(OR(B376="",P376=""),"",U376/S376)</f>
        <v/>
      </c>
      <c r="W376">
        <f>IF(OR(B376="",P376=""),"",NETWORKDAYS(C376,P376)-1)</f>
        <v/>
      </c>
      <c r="X376">
        <f>IF(B376="","",IF(P376="","Aberto","Fechado"))</f>
        <v/>
      </c>
    </row>
    <row r="377">
      <c r="C377" s="6" t="n"/>
      <c r="E377" s="7" t="n"/>
      <c r="F377" s="8" t="n"/>
      <c r="G377" s="8" t="n"/>
      <c r="H377" s="8" t="n"/>
      <c r="J377" s="7" t="n"/>
      <c r="K377" s="8" t="n"/>
      <c r="L377" s="7" t="n"/>
      <c r="M377" s="8" t="n"/>
      <c r="N377" s="7" t="n"/>
      <c r="O377" s="8" t="n"/>
      <c r="P377" s="6" t="n"/>
      <c r="Q377" s="8" t="n"/>
      <c r="S377" s="8">
        <f>IF(B377="","",E377*F377)</f>
        <v/>
      </c>
      <c r="T377" s="8">
        <f>IF(OR(B377="",N(G377)=0),"",ABS(F377-G377)*E377)</f>
        <v/>
      </c>
      <c r="U377" s="8">
        <f>IF(OR(B377="",P377=""),"",IF(D377="Venda",-1,1)*((N(J377)*N(K377)+N(L377)*N(M377)+N(N377)*N(O377))-(N(J377)+N(L377)+N(N377))*F377)-N(Q377))</f>
        <v/>
      </c>
      <c r="V377" s="9">
        <f>IF(OR(B377="",P377=""),"",U377/S377)</f>
        <v/>
      </c>
      <c r="W377">
        <f>IF(OR(B377="",P377=""),"",NETWORKDAYS(C377,P377)-1)</f>
        <v/>
      </c>
      <c r="X377">
        <f>IF(B377="","",IF(P377="","Aberto","Fechado"))</f>
        <v/>
      </c>
    </row>
    <row r="378">
      <c r="C378" s="6" t="n"/>
      <c r="E378" s="7" t="n"/>
      <c r="F378" s="8" t="n"/>
      <c r="G378" s="8" t="n"/>
      <c r="H378" s="8" t="n"/>
      <c r="J378" s="7" t="n"/>
      <c r="K378" s="8" t="n"/>
      <c r="L378" s="7" t="n"/>
      <c r="M378" s="8" t="n"/>
      <c r="N378" s="7" t="n"/>
      <c r="O378" s="8" t="n"/>
      <c r="P378" s="6" t="n"/>
      <c r="Q378" s="8" t="n"/>
      <c r="S378" s="8">
        <f>IF(B378="","",E378*F378)</f>
        <v/>
      </c>
      <c r="T378" s="8">
        <f>IF(OR(B378="",N(G378)=0),"",ABS(F378-G378)*E378)</f>
        <v/>
      </c>
      <c r="U378" s="8">
        <f>IF(OR(B378="",P378=""),"",IF(D378="Venda",-1,1)*((N(J378)*N(K378)+N(L378)*N(M378)+N(N378)*N(O378))-(N(J378)+N(L378)+N(N378))*F378)-N(Q378))</f>
        <v/>
      </c>
      <c r="V378" s="9">
        <f>IF(OR(B378="",P378=""),"",U378/S378)</f>
        <v/>
      </c>
      <c r="W378">
        <f>IF(OR(B378="",P378=""),"",NETWORKDAYS(C378,P378)-1)</f>
        <v/>
      </c>
      <c r="X378">
        <f>IF(B378="","",IF(P378="","Aberto","Fechado"))</f>
        <v/>
      </c>
    </row>
    <row r="379">
      <c r="C379" s="6" t="n"/>
      <c r="E379" s="7" t="n"/>
      <c r="F379" s="8" t="n"/>
      <c r="G379" s="8" t="n"/>
      <c r="H379" s="8" t="n"/>
      <c r="J379" s="7" t="n"/>
      <c r="K379" s="8" t="n"/>
      <c r="L379" s="7" t="n"/>
      <c r="M379" s="8" t="n"/>
      <c r="N379" s="7" t="n"/>
      <c r="O379" s="8" t="n"/>
      <c r="P379" s="6" t="n"/>
      <c r="Q379" s="8" t="n"/>
      <c r="S379" s="8">
        <f>IF(B379="","",E379*F379)</f>
        <v/>
      </c>
      <c r="T379" s="8">
        <f>IF(OR(B379="",N(G379)=0),"",ABS(F379-G379)*E379)</f>
        <v/>
      </c>
      <c r="U379" s="8">
        <f>IF(OR(B379="",P379=""),"",IF(D379="Venda",-1,1)*((N(J379)*N(K379)+N(L379)*N(M379)+N(N379)*N(O379))-(N(J379)+N(L379)+N(N379))*F379)-N(Q379))</f>
        <v/>
      </c>
      <c r="V379" s="9">
        <f>IF(OR(B379="",P379=""),"",U379/S379)</f>
        <v/>
      </c>
      <c r="W379">
        <f>IF(OR(B379="",P379=""),"",NETWORKDAYS(C379,P379)-1)</f>
        <v/>
      </c>
      <c r="X379">
        <f>IF(B379="","",IF(P379="","Aberto","Fechado"))</f>
        <v/>
      </c>
    </row>
    <row r="380">
      <c r="C380" s="6" t="n"/>
      <c r="E380" s="7" t="n"/>
      <c r="F380" s="8" t="n"/>
      <c r="G380" s="8" t="n"/>
      <c r="H380" s="8" t="n"/>
      <c r="J380" s="7" t="n"/>
      <c r="K380" s="8" t="n"/>
      <c r="L380" s="7" t="n"/>
      <c r="M380" s="8" t="n"/>
      <c r="N380" s="7" t="n"/>
      <c r="O380" s="8" t="n"/>
      <c r="P380" s="6" t="n"/>
      <c r="Q380" s="8" t="n"/>
      <c r="S380" s="8">
        <f>IF(B380="","",E380*F380)</f>
        <v/>
      </c>
      <c r="T380" s="8">
        <f>IF(OR(B380="",N(G380)=0),"",ABS(F380-G380)*E380)</f>
        <v/>
      </c>
      <c r="U380" s="8">
        <f>IF(OR(B380="",P380=""),"",IF(D380="Venda",-1,1)*((N(J380)*N(K380)+N(L380)*N(M380)+N(N380)*N(O380))-(N(J380)+N(L380)+N(N380))*F380)-N(Q380))</f>
        <v/>
      </c>
      <c r="V380" s="9">
        <f>IF(OR(B380="",P380=""),"",U380/S380)</f>
        <v/>
      </c>
      <c r="W380">
        <f>IF(OR(B380="",P380=""),"",NETWORKDAYS(C380,P380)-1)</f>
        <v/>
      </c>
      <c r="X380">
        <f>IF(B380="","",IF(P380="","Aberto","Fechado"))</f>
        <v/>
      </c>
    </row>
    <row r="381">
      <c r="C381" s="6" t="n"/>
      <c r="E381" s="7" t="n"/>
      <c r="F381" s="8" t="n"/>
      <c r="G381" s="8" t="n"/>
      <c r="H381" s="8" t="n"/>
      <c r="J381" s="7" t="n"/>
      <c r="K381" s="8" t="n"/>
      <c r="L381" s="7" t="n"/>
      <c r="M381" s="8" t="n"/>
      <c r="N381" s="7" t="n"/>
      <c r="O381" s="8" t="n"/>
      <c r="P381" s="6" t="n"/>
      <c r="Q381" s="8" t="n"/>
      <c r="S381" s="8">
        <f>IF(B381="","",E381*F381)</f>
        <v/>
      </c>
      <c r="T381" s="8">
        <f>IF(OR(B381="",N(G381)=0),"",ABS(F381-G381)*E381)</f>
        <v/>
      </c>
      <c r="U381" s="8">
        <f>IF(OR(B381="",P381=""),"",IF(D381="Venda",-1,1)*((N(J381)*N(K381)+N(L381)*N(M381)+N(N381)*N(O381))-(N(J381)+N(L381)+N(N381))*F381)-N(Q381))</f>
        <v/>
      </c>
      <c r="V381" s="9">
        <f>IF(OR(B381="",P381=""),"",U381/S381)</f>
        <v/>
      </c>
      <c r="W381">
        <f>IF(OR(B381="",P381=""),"",NETWORKDAYS(C381,P381)-1)</f>
        <v/>
      </c>
      <c r="X381">
        <f>IF(B381="","",IF(P381="","Aberto","Fechado"))</f>
        <v/>
      </c>
    </row>
    <row r="382">
      <c r="C382" s="6" t="n"/>
      <c r="E382" s="7" t="n"/>
      <c r="F382" s="8" t="n"/>
      <c r="G382" s="8" t="n"/>
      <c r="H382" s="8" t="n"/>
      <c r="J382" s="7" t="n"/>
      <c r="K382" s="8" t="n"/>
      <c r="L382" s="7" t="n"/>
      <c r="M382" s="8" t="n"/>
      <c r="N382" s="7" t="n"/>
      <c r="O382" s="8" t="n"/>
      <c r="P382" s="6" t="n"/>
      <c r="Q382" s="8" t="n"/>
      <c r="S382" s="8">
        <f>IF(B382="","",E382*F382)</f>
        <v/>
      </c>
      <c r="T382" s="8">
        <f>IF(OR(B382="",N(G382)=0),"",ABS(F382-G382)*E382)</f>
        <v/>
      </c>
      <c r="U382" s="8">
        <f>IF(OR(B382="",P382=""),"",IF(D382="Venda",-1,1)*((N(J382)*N(K382)+N(L382)*N(M382)+N(N382)*N(O382))-(N(J382)+N(L382)+N(N382))*F382)-N(Q382))</f>
        <v/>
      </c>
      <c r="V382" s="9">
        <f>IF(OR(B382="",P382=""),"",U382/S382)</f>
        <v/>
      </c>
      <c r="W382">
        <f>IF(OR(B382="",P382=""),"",NETWORKDAYS(C382,P382)-1)</f>
        <v/>
      </c>
      <c r="X382">
        <f>IF(B382="","",IF(P382="","Aberto","Fechado"))</f>
        <v/>
      </c>
    </row>
    <row r="383">
      <c r="C383" s="6" t="n"/>
      <c r="E383" s="7" t="n"/>
      <c r="F383" s="8" t="n"/>
      <c r="G383" s="8" t="n"/>
      <c r="H383" s="8" t="n"/>
      <c r="J383" s="7" t="n"/>
      <c r="K383" s="8" t="n"/>
      <c r="L383" s="7" t="n"/>
      <c r="M383" s="8" t="n"/>
      <c r="N383" s="7" t="n"/>
      <c r="O383" s="8" t="n"/>
      <c r="P383" s="6" t="n"/>
      <c r="Q383" s="8" t="n"/>
      <c r="S383" s="8">
        <f>IF(B383="","",E383*F383)</f>
        <v/>
      </c>
      <c r="T383" s="8">
        <f>IF(OR(B383="",N(G383)=0),"",ABS(F383-G383)*E383)</f>
        <v/>
      </c>
      <c r="U383" s="8">
        <f>IF(OR(B383="",P383=""),"",IF(D383="Venda",-1,1)*((N(J383)*N(K383)+N(L383)*N(M383)+N(N383)*N(O383))-(N(J383)+N(L383)+N(N383))*F383)-N(Q383))</f>
        <v/>
      </c>
      <c r="V383" s="9">
        <f>IF(OR(B383="",P383=""),"",U383/S383)</f>
        <v/>
      </c>
      <c r="W383">
        <f>IF(OR(B383="",P383=""),"",NETWORKDAYS(C383,P383)-1)</f>
        <v/>
      </c>
      <c r="X383">
        <f>IF(B383="","",IF(P383="","Aberto","Fechado"))</f>
        <v/>
      </c>
    </row>
    <row r="384">
      <c r="C384" s="6" t="n"/>
      <c r="E384" s="7" t="n"/>
      <c r="F384" s="8" t="n"/>
      <c r="G384" s="8" t="n"/>
      <c r="H384" s="8" t="n"/>
      <c r="J384" s="7" t="n"/>
      <c r="K384" s="8" t="n"/>
      <c r="L384" s="7" t="n"/>
      <c r="M384" s="8" t="n"/>
      <c r="N384" s="7" t="n"/>
      <c r="O384" s="8" t="n"/>
      <c r="P384" s="6" t="n"/>
      <c r="Q384" s="8" t="n"/>
      <c r="S384" s="8">
        <f>IF(B384="","",E384*F384)</f>
        <v/>
      </c>
      <c r="T384" s="8">
        <f>IF(OR(B384="",N(G384)=0),"",ABS(F384-G384)*E384)</f>
        <v/>
      </c>
      <c r="U384" s="8">
        <f>IF(OR(B384="",P384=""),"",IF(D384="Venda",-1,1)*((N(J384)*N(K384)+N(L384)*N(M384)+N(N384)*N(O384))-(N(J384)+N(L384)+N(N384))*F384)-N(Q384))</f>
        <v/>
      </c>
      <c r="V384" s="9">
        <f>IF(OR(B384="",P384=""),"",U384/S384)</f>
        <v/>
      </c>
      <c r="W384">
        <f>IF(OR(B384="",P384=""),"",NETWORKDAYS(C384,P384)-1)</f>
        <v/>
      </c>
      <c r="X384">
        <f>IF(B384="","",IF(P384="","Aberto","Fechado"))</f>
        <v/>
      </c>
    </row>
    <row r="385">
      <c r="C385" s="6" t="n"/>
      <c r="E385" s="7" t="n"/>
      <c r="F385" s="8" t="n"/>
      <c r="G385" s="8" t="n"/>
      <c r="H385" s="8" t="n"/>
      <c r="J385" s="7" t="n"/>
      <c r="K385" s="8" t="n"/>
      <c r="L385" s="7" t="n"/>
      <c r="M385" s="8" t="n"/>
      <c r="N385" s="7" t="n"/>
      <c r="O385" s="8" t="n"/>
      <c r="P385" s="6" t="n"/>
      <c r="Q385" s="8" t="n"/>
      <c r="S385" s="8">
        <f>IF(B385="","",E385*F385)</f>
        <v/>
      </c>
      <c r="T385" s="8">
        <f>IF(OR(B385="",N(G385)=0),"",ABS(F385-G385)*E385)</f>
        <v/>
      </c>
      <c r="U385" s="8">
        <f>IF(OR(B385="",P385=""),"",IF(D385="Venda",-1,1)*((N(J385)*N(K385)+N(L385)*N(M385)+N(N385)*N(O385))-(N(J385)+N(L385)+N(N385))*F385)-N(Q385))</f>
        <v/>
      </c>
      <c r="V385" s="9">
        <f>IF(OR(B385="",P385=""),"",U385/S385)</f>
        <v/>
      </c>
      <c r="W385">
        <f>IF(OR(B385="",P385=""),"",NETWORKDAYS(C385,P385)-1)</f>
        <v/>
      </c>
      <c r="X385">
        <f>IF(B385="","",IF(P385="","Aberto","Fechado"))</f>
        <v/>
      </c>
    </row>
    <row r="386">
      <c r="C386" s="6" t="n"/>
      <c r="E386" s="7" t="n"/>
      <c r="F386" s="8" t="n"/>
      <c r="G386" s="8" t="n"/>
      <c r="H386" s="8" t="n"/>
      <c r="J386" s="7" t="n"/>
      <c r="K386" s="8" t="n"/>
      <c r="L386" s="7" t="n"/>
      <c r="M386" s="8" t="n"/>
      <c r="N386" s="7" t="n"/>
      <c r="O386" s="8" t="n"/>
      <c r="P386" s="6" t="n"/>
      <c r="Q386" s="8" t="n"/>
      <c r="S386" s="8">
        <f>IF(B386="","",E386*F386)</f>
        <v/>
      </c>
      <c r="T386" s="8">
        <f>IF(OR(B386="",N(G386)=0),"",ABS(F386-G386)*E386)</f>
        <v/>
      </c>
      <c r="U386" s="8">
        <f>IF(OR(B386="",P386=""),"",IF(D386="Venda",-1,1)*((N(J386)*N(K386)+N(L386)*N(M386)+N(N386)*N(O386))-(N(J386)+N(L386)+N(N386))*F386)-N(Q386))</f>
        <v/>
      </c>
      <c r="V386" s="9">
        <f>IF(OR(B386="",P386=""),"",U386/S386)</f>
        <v/>
      </c>
      <c r="W386">
        <f>IF(OR(B386="",P386=""),"",NETWORKDAYS(C386,P386)-1)</f>
        <v/>
      </c>
      <c r="X386">
        <f>IF(B386="","",IF(P386="","Aberto","Fechado"))</f>
        <v/>
      </c>
    </row>
    <row r="387">
      <c r="C387" s="6" t="n"/>
      <c r="E387" s="7" t="n"/>
      <c r="F387" s="8" t="n"/>
      <c r="G387" s="8" t="n"/>
      <c r="H387" s="8" t="n"/>
      <c r="J387" s="7" t="n"/>
      <c r="K387" s="8" t="n"/>
      <c r="L387" s="7" t="n"/>
      <c r="M387" s="8" t="n"/>
      <c r="N387" s="7" t="n"/>
      <c r="O387" s="8" t="n"/>
      <c r="P387" s="6" t="n"/>
      <c r="Q387" s="8" t="n"/>
      <c r="S387" s="8">
        <f>IF(B387="","",E387*F387)</f>
        <v/>
      </c>
      <c r="T387" s="8">
        <f>IF(OR(B387="",N(G387)=0),"",ABS(F387-G387)*E387)</f>
        <v/>
      </c>
      <c r="U387" s="8">
        <f>IF(OR(B387="",P387=""),"",IF(D387="Venda",-1,1)*((N(J387)*N(K387)+N(L387)*N(M387)+N(N387)*N(O387))-(N(J387)+N(L387)+N(N387))*F387)-N(Q387))</f>
        <v/>
      </c>
      <c r="V387" s="9">
        <f>IF(OR(B387="",P387=""),"",U387/S387)</f>
        <v/>
      </c>
      <c r="W387">
        <f>IF(OR(B387="",P387=""),"",NETWORKDAYS(C387,P387)-1)</f>
        <v/>
      </c>
      <c r="X387">
        <f>IF(B387="","",IF(P387="","Aberto","Fechado"))</f>
        <v/>
      </c>
    </row>
    <row r="388">
      <c r="C388" s="6" t="n"/>
      <c r="E388" s="7" t="n"/>
      <c r="F388" s="8" t="n"/>
      <c r="G388" s="8" t="n"/>
      <c r="H388" s="8" t="n"/>
      <c r="J388" s="7" t="n"/>
      <c r="K388" s="8" t="n"/>
      <c r="L388" s="7" t="n"/>
      <c r="M388" s="8" t="n"/>
      <c r="N388" s="7" t="n"/>
      <c r="O388" s="8" t="n"/>
      <c r="P388" s="6" t="n"/>
      <c r="Q388" s="8" t="n"/>
      <c r="S388" s="8">
        <f>IF(B388="","",E388*F388)</f>
        <v/>
      </c>
      <c r="T388" s="8">
        <f>IF(OR(B388="",N(G388)=0),"",ABS(F388-G388)*E388)</f>
        <v/>
      </c>
      <c r="U388" s="8">
        <f>IF(OR(B388="",P388=""),"",IF(D388="Venda",-1,1)*((N(J388)*N(K388)+N(L388)*N(M388)+N(N388)*N(O388))-(N(J388)+N(L388)+N(N388))*F388)-N(Q388))</f>
        <v/>
      </c>
      <c r="V388" s="9">
        <f>IF(OR(B388="",P388=""),"",U388/S388)</f>
        <v/>
      </c>
      <c r="W388">
        <f>IF(OR(B388="",P388=""),"",NETWORKDAYS(C388,P388)-1)</f>
        <v/>
      </c>
      <c r="X388">
        <f>IF(B388="","",IF(P388="","Aberto","Fechado"))</f>
        <v/>
      </c>
    </row>
    <row r="389">
      <c r="C389" s="6" t="n"/>
      <c r="E389" s="7" t="n"/>
      <c r="F389" s="8" t="n"/>
      <c r="G389" s="8" t="n"/>
      <c r="H389" s="8" t="n"/>
      <c r="J389" s="7" t="n"/>
      <c r="K389" s="8" t="n"/>
      <c r="L389" s="7" t="n"/>
      <c r="M389" s="8" t="n"/>
      <c r="N389" s="7" t="n"/>
      <c r="O389" s="8" t="n"/>
      <c r="P389" s="6" t="n"/>
      <c r="Q389" s="8" t="n"/>
      <c r="S389" s="8">
        <f>IF(B389="","",E389*F389)</f>
        <v/>
      </c>
      <c r="T389" s="8">
        <f>IF(OR(B389="",N(G389)=0),"",ABS(F389-G389)*E389)</f>
        <v/>
      </c>
      <c r="U389" s="8">
        <f>IF(OR(B389="",P389=""),"",IF(D389="Venda",-1,1)*((N(J389)*N(K389)+N(L389)*N(M389)+N(N389)*N(O389))-(N(J389)+N(L389)+N(N389))*F389)-N(Q389))</f>
        <v/>
      </c>
      <c r="V389" s="9">
        <f>IF(OR(B389="",P389=""),"",U389/S389)</f>
        <v/>
      </c>
      <c r="W389">
        <f>IF(OR(B389="",P389=""),"",NETWORKDAYS(C389,P389)-1)</f>
        <v/>
      </c>
      <c r="X389">
        <f>IF(B389="","",IF(P389="","Aberto","Fechado"))</f>
        <v/>
      </c>
    </row>
    <row r="390">
      <c r="C390" s="6" t="n"/>
      <c r="E390" s="7" t="n"/>
      <c r="F390" s="8" t="n"/>
      <c r="G390" s="8" t="n"/>
      <c r="H390" s="8" t="n"/>
      <c r="J390" s="7" t="n"/>
      <c r="K390" s="8" t="n"/>
      <c r="L390" s="7" t="n"/>
      <c r="M390" s="8" t="n"/>
      <c r="N390" s="7" t="n"/>
      <c r="O390" s="8" t="n"/>
      <c r="P390" s="6" t="n"/>
      <c r="Q390" s="8" t="n"/>
      <c r="S390" s="8">
        <f>IF(B390="","",E390*F390)</f>
        <v/>
      </c>
      <c r="T390" s="8">
        <f>IF(OR(B390="",N(G390)=0),"",ABS(F390-G390)*E390)</f>
        <v/>
      </c>
      <c r="U390" s="8">
        <f>IF(OR(B390="",P390=""),"",IF(D390="Venda",-1,1)*((N(J390)*N(K390)+N(L390)*N(M390)+N(N390)*N(O390))-(N(J390)+N(L390)+N(N390))*F390)-N(Q390))</f>
        <v/>
      </c>
      <c r="V390" s="9">
        <f>IF(OR(B390="",P390=""),"",U390/S390)</f>
        <v/>
      </c>
      <c r="W390">
        <f>IF(OR(B390="",P390=""),"",NETWORKDAYS(C390,P390)-1)</f>
        <v/>
      </c>
      <c r="X390">
        <f>IF(B390="","",IF(P390="","Aberto","Fechado"))</f>
        <v/>
      </c>
    </row>
    <row r="391">
      <c r="C391" s="6" t="n"/>
      <c r="E391" s="7" t="n"/>
      <c r="F391" s="8" t="n"/>
      <c r="G391" s="8" t="n"/>
      <c r="H391" s="8" t="n"/>
      <c r="J391" s="7" t="n"/>
      <c r="K391" s="8" t="n"/>
      <c r="L391" s="7" t="n"/>
      <c r="M391" s="8" t="n"/>
      <c r="N391" s="7" t="n"/>
      <c r="O391" s="8" t="n"/>
      <c r="P391" s="6" t="n"/>
      <c r="Q391" s="8" t="n"/>
      <c r="S391" s="8">
        <f>IF(B391="","",E391*F391)</f>
        <v/>
      </c>
      <c r="T391" s="8">
        <f>IF(OR(B391="",N(G391)=0),"",ABS(F391-G391)*E391)</f>
        <v/>
      </c>
      <c r="U391" s="8">
        <f>IF(OR(B391="",P391=""),"",IF(D391="Venda",-1,1)*((N(J391)*N(K391)+N(L391)*N(M391)+N(N391)*N(O391))-(N(J391)+N(L391)+N(N391))*F391)-N(Q391))</f>
        <v/>
      </c>
      <c r="V391" s="9">
        <f>IF(OR(B391="",P391=""),"",U391/S391)</f>
        <v/>
      </c>
      <c r="W391">
        <f>IF(OR(B391="",P391=""),"",NETWORKDAYS(C391,P391)-1)</f>
        <v/>
      </c>
      <c r="X391">
        <f>IF(B391="","",IF(P391="","Aberto","Fechado"))</f>
        <v/>
      </c>
    </row>
    <row r="392">
      <c r="C392" s="6" t="n"/>
      <c r="E392" s="7" t="n"/>
      <c r="F392" s="8" t="n"/>
      <c r="G392" s="8" t="n"/>
      <c r="H392" s="8" t="n"/>
      <c r="J392" s="7" t="n"/>
      <c r="K392" s="8" t="n"/>
      <c r="L392" s="7" t="n"/>
      <c r="M392" s="8" t="n"/>
      <c r="N392" s="7" t="n"/>
      <c r="O392" s="8" t="n"/>
      <c r="P392" s="6" t="n"/>
      <c r="Q392" s="8" t="n"/>
      <c r="S392" s="8">
        <f>IF(B392="","",E392*F392)</f>
        <v/>
      </c>
      <c r="T392" s="8">
        <f>IF(OR(B392="",N(G392)=0),"",ABS(F392-G392)*E392)</f>
        <v/>
      </c>
      <c r="U392" s="8">
        <f>IF(OR(B392="",P392=""),"",IF(D392="Venda",-1,1)*((N(J392)*N(K392)+N(L392)*N(M392)+N(N392)*N(O392))-(N(J392)+N(L392)+N(N392))*F392)-N(Q392))</f>
        <v/>
      </c>
      <c r="V392" s="9">
        <f>IF(OR(B392="",P392=""),"",U392/S392)</f>
        <v/>
      </c>
      <c r="W392">
        <f>IF(OR(B392="",P392=""),"",NETWORKDAYS(C392,P392)-1)</f>
        <v/>
      </c>
      <c r="X392">
        <f>IF(B392="","",IF(P392="","Aberto","Fechado"))</f>
        <v/>
      </c>
    </row>
    <row r="393">
      <c r="C393" s="6" t="n"/>
      <c r="E393" s="7" t="n"/>
      <c r="F393" s="8" t="n"/>
      <c r="G393" s="8" t="n"/>
      <c r="H393" s="8" t="n"/>
      <c r="J393" s="7" t="n"/>
      <c r="K393" s="8" t="n"/>
      <c r="L393" s="7" t="n"/>
      <c r="M393" s="8" t="n"/>
      <c r="N393" s="7" t="n"/>
      <c r="O393" s="8" t="n"/>
      <c r="P393" s="6" t="n"/>
      <c r="Q393" s="8" t="n"/>
      <c r="S393" s="8">
        <f>IF(B393="","",E393*F393)</f>
        <v/>
      </c>
      <c r="T393" s="8">
        <f>IF(OR(B393="",N(G393)=0),"",ABS(F393-G393)*E393)</f>
        <v/>
      </c>
      <c r="U393" s="8">
        <f>IF(OR(B393="",P393=""),"",IF(D393="Venda",-1,1)*((N(J393)*N(K393)+N(L393)*N(M393)+N(N393)*N(O393))-(N(J393)+N(L393)+N(N393))*F393)-N(Q393))</f>
        <v/>
      </c>
      <c r="V393" s="9">
        <f>IF(OR(B393="",P393=""),"",U393/S393)</f>
        <v/>
      </c>
      <c r="W393">
        <f>IF(OR(B393="",P393=""),"",NETWORKDAYS(C393,P393)-1)</f>
        <v/>
      </c>
      <c r="X393">
        <f>IF(B393="","",IF(P393="","Aberto","Fechado"))</f>
        <v/>
      </c>
    </row>
    <row r="394">
      <c r="C394" s="6" t="n"/>
      <c r="E394" s="7" t="n"/>
      <c r="F394" s="8" t="n"/>
      <c r="G394" s="8" t="n"/>
      <c r="H394" s="8" t="n"/>
      <c r="J394" s="7" t="n"/>
      <c r="K394" s="8" t="n"/>
      <c r="L394" s="7" t="n"/>
      <c r="M394" s="8" t="n"/>
      <c r="N394" s="7" t="n"/>
      <c r="O394" s="8" t="n"/>
      <c r="P394" s="6" t="n"/>
      <c r="Q394" s="8" t="n"/>
      <c r="S394" s="8">
        <f>IF(B394="","",E394*F394)</f>
        <v/>
      </c>
      <c r="T394" s="8">
        <f>IF(OR(B394="",N(G394)=0),"",ABS(F394-G394)*E394)</f>
        <v/>
      </c>
      <c r="U394" s="8">
        <f>IF(OR(B394="",P394=""),"",IF(D394="Venda",-1,1)*((N(J394)*N(K394)+N(L394)*N(M394)+N(N394)*N(O394))-(N(J394)+N(L394)+N(N394))*F394)-N(Q394))</f>
        <v/>
      </c>
      <c r="V394" s="9">
        <f>IF(OR(B394="",P394=""),"",U394/S394)</f>
        <v/>
      </c>
      <c r="W394">
        <f>IF(OR(B394="",P394=""),"",NETWORKDAYS(C394,P394)-1)</f>
        <v/>
      </c>
      <c r="X394">
        <f>IF(B394="","",IF(P394="","Aberto","Fechado"))</f>
        <v/>
      </c>
    </row>
    <row r="395">
      <c r="C395" s="6" t="n"/>
      <c r="E395" s="7" t="n"/>
      <c r="F395" s="8" t="n"/>
      <c r="G395" s="8" t="n"/>
      <c r="H395" s="8" t="n"/>
      <c r="J395" s="7" t="n"/>
      <c r="K395" s="8" t="n"/>
      <c r="L395" s="7" t="n"/>
      <c r="M395" s="8" t="n"/>
      <c r="N395" s="7" t="n"/>
      <c r="O395" s="8" t="n"/>
      <c r="P395" s="6" t="n"/>
      <c r="Q395" s="8" t="n"/>
      <c r="S395" s="8">
        <f>IF(B395="","",E395*F395)</f>
        <v/>
      </c>
      <c r="T395" s="8">
        <f>IF(OR(B395="",N(G395)=0),"",ABS(F395-G395)*E395)</f>
        <v/>
      </c>
      <c r="U395" s="8">
        <f>IF(OR(B395="",P395=""),"",IF(D395="Venda",-1,1)*((N(J395)*N(K395)+N(L395)*N(M395)+N(N395)*N(O395))-(N(J395)+N(L395)+N(N395))*F395)-N(Q395))</f>
        <v/>
      </c>
      <c r="V395" s="9">
        <f>IF(OR(B395="",P395=""),"",U395/S395)</f>
        <v/>
      </c>
      <c r="W395">
        <f>IF(OR(B395="",P395=""),"",NETWORKDAYS(C395,P395)-1)</f>
        <v/>
      </c>
      <c r="X395">
        <f>IF(B395="","",IF(P395="","Aberto","Fechado"))</f>
        <v/>
      </c>
    </row>
    <row r="396">
      <c r="C396" s="6" t="n"/>
      <c r="E396" s="7" t="n"/>
      <c r="F396" s="8" t="n"/>
      <c r="G396" s="8" t="n"/>
      <c r="H396" s="8" t="n"/>
      <c r="J396" s="7" t="n"/>
      <c r="K396" s="8" t="n"/>
      <c r="L396" s="7" t="n"/>
      <c r="M396" s="8" t="n"/>
      <c r="N396" s="7" t="n"/>
      <c r="O396" s="8" t="n"/>
      <c r="P396" s="6" t="n"/>
      <c r="Q396" s="8" t="n"/>
      <c r="S396" s="8">
        <f>IF(B396="","",E396*F396)</f>
        <v/>
      </c>
      <c r="T396" s="8">
        <f>IF(OR(B396="",N(G396)=0),"",ABS(F396-G396)*E396)</f>
        <v/>
      </c>
      <c r="U396" s="8">
        <f>IF(OR(B396="",P396=""),"",IF(D396="Venda",-1,1)*((N(J396)*N(K396)+N(L396)*N(M396)+N(N396)*N(O396))-(N(J396)+N(L396)+N(N396))*F396)-N(Q396))</f>
        <v/>
      </c>
      <c r="V396" s="9">
        <f>IF(OR(B396="",P396=""),"",U396/S396)</f>
        <v/>
      </c>
      <c r="W396">
        <f>IF(OR(B396="",P396=""),"",NETWORKDAYS(C396,P396)-1)</f>
        <v/>
      </c>
      <c r="X396">
        <f>IF(B396="","",IF(P396="","Aberto","Fechado"))</f>
        <v/>
      </c>
    </row>
    <row r="397">
      <c r="C397" s="6" t="n"/>
      <c r="E397" s="7" t="n"/>
      <c r="F397" s="8" t="n"/>
      <c r="G397" s="8" t="n"/>
      <c r="H397" s="8" t="n"/>
      <c r="J397" s="7" t="n"/>
      <c r="K397" s="8" t="n"/>
      <c r="L397" s="7" t="n"/>
      <c r="M397" s="8" t="n"/>
      <c r="N397" s="7" t="n"/>
      <c r="O397" s="8" t="n"/>
      <c r="P397" s="6" t="n"/>
      <c r="Q397" s="8" t="n"/>
      <c r="S397" s="8">
        <f>IF(B397="","",E397*F397)</f>
        <v/>
      </c>
      <c r="T397" s="8">
        <f>IF(OR(B397="",N(G397)=0),"",ABS(F397-G397)*E397)</f>
        <v/>
      </c>
      <c r="U397" s="8">
        <f>IF(OR(B397="",P397=""),"",IF(D397="Venda",-1,1)*((N(J397)*N(K397)+N(L397)*N(M397)+N(N397)*N(O397))-(N(J397)+N(L397)+N(N397))*F397)-N(Q397))</f>
        <v/>
      </c>
      <c r="V397" s="9">
        <f>IF(OR(B397="",P397=""),"",U397/S397)</f>
        <v/>
      </c>
      <c r="W397">
        <f>IF(OR(B397="",P397=""),"",NETWORKDAYS(C397,P397)-1)</f>
        <v/>
      </c>
      <c r="X397">
        <f>IF(B397="","",IF(P397="","Aberto","Fechado"))</f>
        <v/>
      </c>
    </row>
    <row r="398">
      <c r="C398" s="6" t="n"/>
      <c r="E398" s="7" t="n"/>
      <c r="F398" s="8" t="n"/>
      <c r="G398" s="8" t="n"/>
      <c r="H398" s="8" t="n"/>
      <c r="J398" s="7" t="n"/>
      <c r="K398" s="8" t="n"/>
      <c r="L398" s="7" t="n"/>
      <c r="M398" s="8" t="n"/>
      <c r="N398" s="7" t="n"/>
      <c r="O398" s="8" t="n"/>
      <c r="P398" s="6" t="n"/>
      <c r="Q398" s="8" t="n"/>
      <c r="S398" s="8">
        <f>IF(B398="","",E398*F398)</f>
        <v/>
      </c>
      <c r="T398" s="8">
        <f>IF(OR(B398="",N(G398)=0),"",ABS(F398-G398)*E398)</f>
        <v/>
      </c>
      <c r="U398" s="8">
        <f>IF(OR(B398="",P398=""),"",IF(D398="Venda",-1,1)*((N(J398)*N(K398)+N(L398)*N(M398)+N(N398)*N(O398))-(N(J398)+N(L398)+N(N398))*F398)-N(Q398))</f>
        <v/>
      </c>
      <c r="V398" s="9">
        <f>IF(OR(B398="",P398=""),"",U398/S398)</f>
        <v/>
      </c>
      <c r="W398">
        <f>IF(OR(B398="",P398=""),"",NETWORKDAYS(C398,P398)-1)</f>
        <v/>
      </c>
      <c r="X398">
        <f>IF(B398="","",IF(P398="","Aberto","Fechado"))</f>
        <v/>
      </c>
    </row>
    <row r="399">
      <c r="C399" s="6" t="n"/>
      <c r="E399" s="7" t="n"/>
      <c r="F399" s="8" t="n"/>
      <c r="G399" s="8" t="n"/>
      <c r="H399" s="8" t="n"/>
      <c r="J399" s="7" t="n"/>
      <c r="K399" s="8" t="n"/>
      <c r="L399" s="7" t="n"/>
      <c r="M399" s="8" t="n"/>
      <c r="N399" s="7" t="n"/>
      <c r="O399" s="8" t="n"/>
      <c r="P399" s="6" t="n"/>
      <c r="Q399" s="8" t="n"/>
      <c r="S399" s="8">
        <f>IF(B399="","",E399*F399)</f>
        <v/>
      </c>
      <c r="T399" s="8">
        <f>IF(OR(B399="",N(G399)=0),"",ABS(F399-G399)*E399)</f>
        <v/>
      </c>
      <c r="U399" s="8">
        <f>IF(OR(B399="",P399=""),"",IF(D399="Venda",-1,1)*((N(J399)*N(K399)+N(L399)*N(M399)+N(N399)*N(O399))-(N(J399)+N(L399)+N(N399))*F399)-N(Q399))</f>
        <v/>
      </c>
      <c r="V399" s="9">
        <f>IF(OR(B399="",P399=""),"",U399/S399)</f>
        <v/>
      </c>
      <c r="W399">
        <f>IF(OR(B399="",P399=""),"",NETWORKDAYS(C399,P399)-1)</f>
        <v/>
      </c>
      <c r="X399">
        <f>IF(B399="","",IF(P399="","Aberto","Fechado"))</f>
        <v/>
      </c>
    </row>
    <row r="400">
      <c r="C400" s="6" t="n"/>
      <c r="E400" s="7" t="n"/>
      <c r="F400" s="8" t="n"/>
      <c r="G400" s="8" t="n"/>
      <c r="H400" s="8" t="n"/>
      <c r="J400" s="7" t="n"/>
      <c r="K400" s="8" t="n"/>
      <c r="L400" s="7" t="n"/>
      <c r="M400" s="8" t="n"/>
      <c r="N400" s="7" t="n"/>
      <c r="O400" s="8" t="n"/>
      <c r="P400" s="6" t="n"/>
      <c r="Q400" s="8" t="n"/>
      <c r="S400" s="8">
        <f>IF(B400="","",E400*F400)</f>
        <v/>
      </c>
      <c r="T400" s="8">
        <f>IF(OR(B400="",N(G400)=0),"",ABS(F400-G400)*E400)</f>
        <v/>
      </c>
      <c r="U400" s="8">
        <f>IF(OR(B400="",P400=""),"",IF(D400="Venda",-1,1)*((N(J400)*N(K400)+N(L400)*N(M400)+N(N400)*N(O400))-(N(J400)+N(L400)+N(N400))*F400)-N(Q400))</f>
        <v/>
      </c>
      <c r="V400" s="9">
        <f>IF(OR(B400="",P400=""),"",U400/S400)</f>
        <v/>
      </c>
      <c r="W400">
        <f>IF(OR(B400="",P400=""),"",NETWORKDAYS(C400,P400)-1)</f>
        <v/>
      </c>
      <c r="X400">
        <f>IF(B400="","",IF(P400="","Aberto","Fechado"))</f>
        <v/>
      </c>
    </row>
    <row r="401">
      <c r="C401" s="6" t="n"/>
      <c r="E401" s="7" t="n"/>
      <c r="F401" s="8" t="n"/>
      <c r="G401" s="8" t="n"/>
      <c r="H401" s="8" t="n"/>
      <c r="J401" s="7" t="n"/>
      <c r="K401" s="8" t="n"/>
      <c r="L401" s="7" t="n"/>
      <c r="M401" s="8" t="n"/>
      <c r="N401" s="7" t="n"/>
      <c r="O401" s="8" t="n"/>
      <c r="P401" s="6" t="n"/>
      <c r="Q401" s="8" t="n"/>
      <c r="S401" s="8">
        <f>IF(B401="","",E401*F401)</f>
        <v/>
      </c>
      <c r="T401" s="8">
        <f>IF(OR(B401="",N(G401)=0),"",ABS(F401-G401)*E401)</f>
        <v/>
      </c>
      <c r="U401" s="8">
        <f>IF(OR(B401="",P401=""),"",IF(D401="Venda",-1,1)*((N(J401)*N(K401)+N(L401)*N(M401)+N(N401)*N(O401))-(N(J401)+N(L401)+N(N401))*F401)-N(Q401))</f>
        <v/>
      </c>
      <c r="V401" s="9">
        <f>IF(OR(B401="",P401=""),"",U401/S401)</f>
        <v/>
      </c>
      <c r="W401">
        <f>IF(OR(B401="",P401=""),"",NETWORKDAYS(C401,P401)-1)</f>
        <v/>
      </c>
      <c r="X401">
        <f>IF(B401="","",IF(P401="","Aberto","Fechado"))</f>
        <v/>
      </c>
    </row>
    <row r="402">
      <c r="C402" s="6" t="n"/>
      <c r="E402" s="7" t="n"/>
      <c r="F402" s="8" t="n"/>
      <c r="G402" s="8" t="n"/>
      <c r="H402" s="8" t="n"/>
      <c r="J402" s="7" t="n"/>
      <c r="K402" s="8" t="n"/>
      <c r="L402" s="7" t="n"/>
      <c r="M402" s="8" t="n"/>
      <c r="N402" s="7" t="n"/>
      <c r="O402" s="8" t="n"/>
      <c r="P402" s="6" t="n"/>
      <c r="Q402" s="8" t="n"/>
      <c r="S402" s="8">
        <f>IF(B402="","",E402*F402)</f>
        <v/>
      </c>
      <c r="T402" s="8">
        <f>IF(OR(B402="",N(G402)=0),"",ABS(F402-G402)*E402)</f>
        <v/>
      </c>
      <c r="U402" s="8">
        <f>IF(OR(B402="",P402=""),"",IF(D402="Venda",-1,1)*((N(J402)*N(K402)+N(L402)*N(M402)+N(N402)*N(O402))-(N(J402)+N(L402)+N(N402))*F402)-N(Q402))</f>
        <v/>
      </c>
      <c r="V402" s="9">
        <f>IF(OR(B402="",P402=""),"",U402/S402)</f>
        <v/>
      </c>
      <c r="W402">
        <f>IF(OR(B402="",P402=""),"",NETWORKDAYS(C402,P402)-1)</f>
        <v/>
      </c>
      <c r="X402">
        <f>IF(B402="","",IF(P402="","Aberto","Fechado"))</f>
        <v/>
      </c>
    </row>
    <row r="403">
      <c r="C403" s="6" t="n"/>
      <c r="E403" s="7" t="n"/>
      <c r="F403" s="8" t="n"/>
      <c r="G403" s="8" t="n"/>
      <c r="H403" s="8" t="n"/>
      <c r="J403" s="7" t="n"/>
      <c r="K403" s="8" t="n"/>
      <c r="L403" s="7" t="n"/>
      <c r="M403" s="8" t="n"/>
      <c r="N403" s="7" t="n"/>
      <c r="O403" s="8" t="n"/>
      <c r="P403" s="6" t="n"/>
      <c r="Q403" s="8" t="n"/>
      <c r="S403" s="8">
        <f>IF(B403="","",E403*F403)</f>
        <v/>
      </c>
      <c r="T403" s="8">
        <f>IF(OR(B403="",N(G403)=0),"",ABS(F403-G403)*E403)</f>
        <v/>
      </c>
      <c r="U403" s="8">
        <f>IF(OR(B403="",P403=""),"",IF(D403="Venda",-1,1)*((N(J403)*N(K403)+N(L403)*N(M403)+N(N403)*N(O403))-(N(J403)+N(L403)+N(N403))*F403)-N(Q403))</f>
        <v/>
      </c>
      <c r="V403" s="9">
        <f>IF(OR(B403="",P403=""),"",U403/S403)</f>
        <v/>
      </c>
      <c r="W403">
        <f>IF(OR(B403="",P403=""),"",NETWORKDAYS(C403,P403)-1)</f>
        <v/>
      </c>
      <c r="X403">
        <f>IF(B403="","",IF(P403="","Aberto","Fechado"))</f>
        <v/>
      </c>
    </row>
    <row r="404">
      <c r="C404" s="6" t="n"/>
      <c r="E404" s="7" t="n"/>
      <c r="F404" s="8" t="n"/>
      <c r="G404" s="8" t="n"/>
      <c r="H404" s="8" t="n"/>
      <c r="J404" s="7" t="n"/>
      <c r="K404" s="8" t="n"/>
      <c r="L404" s="7" t="n"/>
      <c r="M404" s="8" t="n"/>
      <c r="N404" s="7" t="n"/>
      <c r="O404" s="8" t="n"/>
      <c r="P404" s="6" t="n"/>
      <c r="Q404" s="8" t="n"/>
      <c r="S404" s="8">
        <f>IF(B404="","",E404*F404)</f>
        <v/>
      </c>
      <c r="T404" s="8">
        <f>IF(OR(B404="",N(G404)=0),"",ABS(F404-G404)*E404)</f>
        <v/>
      </c>
      <c r="U404" s="8">
        <f>IF(OR(B404="",P404=""),"",IF(D404="Venda",-1,1)*((N(J404)*N(K404)+N(L404)*N(M404)+N(N404)*N(O404))-(N(J404)+N(L404)+N(N404))*F404)-N(Q404))</f>
        <v/>
      </c>
      <c r="V404" s="9">
        <f>IF(OR(B404="",P404=""),"",U404/S404)</f>
        <v/>
      </c>
      <c r="W404">
        <f>IF(OR(B404="",P404=""),"",NETWORKDAYS(C404,P404)-1)</f>
        <v/>
      </c>
      <c r="X404">
        <f>IF(B404="","",IF(P404="","Aberto","Fechado"))</f>
        <v/>
      </c>
    </row>
    <row r="405">
      <c r="C405" s="6" t="n"/>
      <c r="E405" s="7" t="n"/>
      <c r="F405" s="8" t="n"/>
      <c r="G405" s="8" t="n"/>
      <c r="H405" s="8" t="n"/>
      <c r="J405" s="7" t="n"/>
      <c r="K405" s="8" t="n"/>
      <c r="L405" s="7" t="n"/>
      <c r="M405" s="8" t="n"/>
      <c r="N405" s="7" t="n"/>
      <c r="O405" s="8" t="n"/>
      <c r="P405" s="6" t="n"/>
      <c r="Q405" s="8" t="n"/>
      <c r="S405" s="8">
        <f>IF(B405="","",E405*F405)</f>
        <v/>
      </c>
      <c r="T405" s="8">
        <f>IF(OR(B405="",N(G405)=0),"",ABS(F405-G405)*E405)</f>
        <v/>
      </c>
      <c r="U405" s="8">
        <f>IF(OR(B405="",P405=""),"",IF(D405="Venda",-1,1)*((N(J405)*N(K405)+N(L405)*N(M405)+N(N405)*N(O405))-(N(J405)+N(L405)+N(N405))*F405)-N(Q405))</f>
        <v/>
      </c>
      <c r="V405" s="9">
        <f>IF(OR(B405="",P405=""),"",U405/S405)</f>
        <v/>
      </c>
      <c r="W405">
        <f>IF(OR(B405="",P405=""),"",NETWORKDAYS(C405,P405)-1)</f>
        <v/>
      </c>
      <c r="X405">
        <f>IF(B405="","",IF(P405="","Aberto","Fechado"))</f>
        <v/>
      </c>
    </row>
    <row r="406">
      <c r="C406" s="6" t="n"/>
      <c r="E406" s="7" t="n"/>
      <c r="F406" s="8" t="n"/>
      <c r="G406" s="8" t="n"/>
      <c r="H406" s="8" t="n"/>
      <c r="J406" s="7" t="n"/>
      <c r="K406" s="8" t="n"/>
      <c r="L406" s="7" t="n"/>
      <c r="M406" s="8" t="n"/>
      <c r="N406" s="7" t="n"/>
      <c r="O406" s="8" t="n"/>
      <c r="P406" s="6" t="n"/>
      <c r="Q406" s="8" t="n"/>
      <c r="S406" s="8">
        <f>IF(B406="","",E406*F406)</f>
        <v/>
      </c>
      <c r="T406" s="8">
        <f>IF(OR(B406="",N(G406)=0),"",ABS(F406-G406)*E406)</f>
        <v/>
      </c>
      <c r="U406" s="8">
        <f>IF(OR(B406="",P406=""),"",IF(D406="Venda",-1,1)*((N(J406)*N(K406)+N(L406)*N(M406)+N(N406)*N(O406))-(N(J406)+N(L406)+N(N406))*F406)-N(Q406))</f>
        <v/>
      </c>
      <c r="V406" s="9">
        <f>IF(OR(B406="",P406=""),"",U406/S406)</f>
        <v/>
      </c>
      <c r="W406">
        <f>IF(OR(B406="",P406=""),"",NETWORKDAYS(C406,P406)-1)</f>
        <v/>
      </c>
      <c r="X406">
        <f>IF(B406="","",IF(P406="","Aberto","Fechado"))</f>
        <v/>
      </c>
    </row>
    <row r="407">
      <c r="C407" s="6" t="n"/>
      <c r="E407" s="7" t="n"/>
      <c r="F407" s="8" t="n"/>
      <c r="G407" s="8" t="n"/>
      <c r="H407" s="8" t="n"/>
      <c r="J407" s="7" t="n"/>
      <c r="K407" s="8" t="n"/>
      <c r="L407" s="7" t="n"/>
      <c r="M407" s="8" t="n"/>
      <c r="N407" s="7" t="n"/>
      <c r="O407" s="8" t="n"/>
      <c r="P407" s="6" t="n"/>
      <c r="Q407" s="8" t="n"/>
      <c r="S407" s="8">
        <f>IF(B407="","",E407*F407)</f>
        <v/>
      </c>
      <c r="T407" s="8">
        <f>IF(OR(B407="",N(G407)=0),"",ABS(F407-G407)*E407)</f>
        <v/>
      </c>
      <c r="U407" s="8">
        <f>IF(OR(B407="",P407=""),"",IF(D407="Venda",-1,1)*((N(J407)*N(K407)+N(L407)*N(M407)+N(N407)*N(O407))-(N(J407)+N(L407)+N(N407))*F407)-N(Q407))</f>
        <v/>
      </c>
      <c r="V407" s="9">
        <f>IF(OR(B407="",P407=""),"",U407/S407)</f>
        <v/>
      </c>
      <c r="W407">
        <f>IF(OR(B407="",P407=""),"",NETWORKDAYS(C407,P407)-1)</f>
        <v/>
      </c>
      <c r="X407">
        <f>IF(B407="","",IF(P407="","Aberto","Fechado"))</f>
        <v/>
      </c>
    </row>
    <row r="408">
      <c r="C408" s="6" t="n"/>
      <c r="E408" s="7" t="n"/>
      <c r="F408" s="8" t="n"/>
      <c r="G408" s="8" t="n"/>
      <c r="H408" s="8" t="n"/>
      <c r="J408" s="7" t="n"/>
      <c r="K408" s="8" t="n"/>
      <c r="L408" s="7" t="n"/>
      <c r="M408" s="8" t="n"/>
      <c r="N408" s="7" t="n"/>
      <c r="O408" s="8" t="n"/>
      <c r="P408" s="6" t="n"/>
      <c r="Q408" s="8" t="n"/>
      <c r="S408" s="8">
        <f>IF(B408="","",E408*F408)</f>
        <v/>
      </c>
      <c r="T408" s="8">
        <f>IF(OR(B408="",N(G408)=0),"",ABS(F408-G408)*E408)</f>
        <v/>
      </c>
      <c r="U408" s="8">
        <f>IF(OR(B408="",P408=""),"",IF(D408="Venda",-1,1)*((N(J408)*N(K408)+N(L408)*N(M408)+N(N408)*N(O408))-(N(J408)+N(L408)+N(N408))*F408)-N(Q408))</f>
        <v/>
      </c>
      <c r="V408" s="9">
        <f>IF(OR(B408="",P408=""),"",U408/S408)</f>
        <v/>
      </c>
      <c r="W408">
        <f>IF(OR(B408="",P408=""),"",NETWORKDAYS(C408,P408)-1)</f>
        <v/>
      </c>
      <c r="X408">
        <f>IF(B408="","",IF(P408="","Aberto","Fechado"))</f>
        <v/>
      </c>
    </row>
    <row r="409">
      <c r="C409" s="6" t="n"/>
      <c r="E409" s="7" t="n"/>
      <c r="F409" s="8" t="n"/>
      <c r="G409" s="8" t="n"/>
      <c r="H409" s="8" t="n"/>
      <c r="J409" s="7" t="n"/>
      <c r="K409" s="8" t="n"/>
      <c r="L409" s="7" t="n"/>
      <c r="M409" s="8" t="n"/>
      <c r="N409" s="7" t="n"/>
      <c r="O409" s="8" t="n"/>
      <c r="P409" s="6" t="n"/>
      <c r="Q409" s="8" t="n"/>
      <c r="S409" s="8">
        <f>IF(B409="","",E409*F409)</f>
        <v/>
      </c>
      <c r="T409" s="8">
        <f>IF(OR(B409="",N(G409)=0),"",ABS(F409-G409)*E409)</f>
        <v/>
      </c>
      <c r="U409" s="8">
        <f>IF(OR(B409="",P409=""),"",IF(D409="Venda",-1,1)*((N(J409)*N(K409)+N(L409)*N(M409)+N(N409)*N(O409))-(N(J409)+N(L409)+N(N409))*F409)-N(Q409))</f>
        <v/>
      </c>
      <c r="V409" s="9">
        <f>IF(OR(B409="",P409=""),"",U409/S409)</f>
        <v/>
      </c>
      <c r="W409">
        <f>IF(OR(B409="",P409=""),"",NETWORKDAYS(C409,P409)-1)</f>
        <v/>
      </c>
      <c r="X409">
        <f>IF(B409="","",IF(P409="","Aberto","Fechado"))</f>
        <v/>
      </c>
    </row>
    <row r="410">
      <c r="C410" s="6" t="n"/>
      <c r="E410" s="7" t="n"/>
      <c r="F410" s="8" t="n"/>
      <c r="G410" s="8" t="n"/>
      <c r="H410" s="8" t="n"/>
      <c r="J410" s="7" t="n"/>
      <c r="K410" s="8" t="n"/>
      <c r="L410" s="7" t="n"/>
      <c r="M410" s="8" t="n"/>
      <c r="N410" s="7" t="n"/>
      <c r="O410" s="8" t="n"/>
      <c r="P410" s="6" t="n"/>
      <c r="Q410" s="8" t="n"/>
      <c r="S410" s="8">
        <f>IF(B410="","",E410*F410)</f>
        <v/>
      </c>
      <c r="T410" s="8">
        <f>IF(OR(B410="",N(G410)=0),"",ABS(F410-G410)*E410)</f>
        <v/>
      </c>
      <c r="U410" s="8">
        <f>IF(OR(B410="",P410=""),"",IF(D410="Venda",-1,1)*((N(J410)*N(K410)+N(L410)*N(M410)+N(N410)*N(O410))-(N(J410)+N(L410)+N(N410))*F410)-N(Q410))</f>
        <v/>
      </c>
      <c r="V410" s="9">
        <f>IF(OR(B410="",P410=""),"",U410/S410)</f>
        <v/>
      </c>
      <c r="W410">
        <f>IF(OR(B410="",P410=""),"",NETWORKDAYS(C410,P410)-1)</f>
        <v/>
      </c>
      <c r="X410">
        <f>IF(B410="","",IF(P410="","Aberto","Fechado"))</f>
        <v/>
      </c>
    </row>
    <row r="411">
      <c r="C411" s="6" t="n"/>
      <c r="E411" s="7" t="n"/>
      <c r="F411" s="8" t="n"/>
      <c r="G411" s="8" t="n"/>
      <c r="H411" s="8" t="n"/>
      <c r="J411" s="7" t="n"/>
      <c r="K411" s="8" t="n"/>
      <c r="L411" s="7" t="n"/>
      <c r="M411" s="8" t="n"/>
      <c r="N411" s="7" t="n"/>
      <c r="O411" s="8" t="n"/>
      <c r="P411" s="6" t="n"/>
      <c r="Q411" s="8" t="n"/>
      <c r="S411" s="8">
        <f>IF(B411="","",E411*F411)</f>
        <v/>
      </c>
      <c r="T411" s="8">
        <f>IF(OR(B411="",N(G411)=0),"",ABS(F411-G411)*E411)</f>
        <v/>
      </c>
      <c r="U411" s="8">
        <f>IF(OR(B411="",P411=""),"",IF(D411="Venda",-1,1)*((N(J411)*N(K411)+N(L411)*N(M411)+N(N411)*N(O411))-(N(J411)+N(L411)+N(N411))*F411)-N(Q411))</f>
        <v/>
      </c>
      <c r="V411" s="9">
        <f>IF(OR(B411="",P411=""),"",U411/S411)</f>
        <v/>
      </c>
      <c r="W411">
        <f>IF(OR(B411="",P411=""),"",NETWORKDAYS(C411,P411)-1)</f>
        <v/>
      </c>
      <c r="X411">
        <f>IF(B411="","",IF(P411="","Aberto","Fechado"))</f>
        <v/>
      </c>
    </row>
    <row r="412">
      <c r="C412" s="6" t="n"/>
      <c r="E412" s="7" t="n"/>
      <c r="F412" s="8" t="n"/>
      <c r="G412" s="8" t="n"/>
      <c r="H412" s="8" t="n"/>
      <c r="J412" s="7" t="n"/>
      <c r="K412" s="8" t="n"/>
      <c r="L412" s="7" t="n"/>
      <c r="M412" s="8" t="n"/>
      <c r="N412" s="7" t="n"/>
      <c r="O412" s="8" t="n"/>
      <c r="P412" s="6" t="n"/>
      <c r="Q412" s="8" t="n"/>
      <c r="S412" s="8">
        <f>IF(B412="","",E412*F412)</f>
        <v/>
      </c>
      <c r="T412" s="8">
        <f>IF(OR(B412="",N(G412)=0),"",ABS(F412-G412)*E412)</f>
        <v/>
      </c>
      <c r="U412" s="8">
        <f>IF(OR(B412="",P412=""),"",IF(D412="Venda",-1,1)*((N(J412)*N(K412)+N(L412)*N(M412)+N(N412)*N(O412))-(N(J412)+N(L412)+N(N412))*F412)-N(Q412))</f>
        <v/>
      </c>
      <c r="V412" s="9">
        <f>IF(OR(B412="",P412=""),"",U412/S412)</f>
        <v/>
      </c>
      <c r="W412">
        <f>IF(OR(B412="",P412=""),"",NETWORKDAYS(C412,P412)-1)</f>
        <v/>
      </c>
      <c r="X412">
        <f>IF(B412="","",IF(P412="","Aberto","Fechado"))</f>
        <v/>
      </c>
    </row>
    <row r="413">
      <c r="C413" s="6" t="n"/>
      <c r="E413" s="7" t="n"/>
      <c r="F413" s="8" t="n"/>
      <c r="G413" s="8" t="n"/>
      <c r="H413" s="8" t="n"/>
      <c r="J413" s="7" t="n"/>
      <c r="K413" s="8" t="n"/>
      <c r="L413" s="7" t="n"/>
      <c r="M413" s="8" t="n"/>
      <c r="N413" s="7" t="n"/>
      <c r="O413" s="8" t="n"/>
      <c r="P413" s="6" t="n"/>
      <c r="Q413" s="8" t="n"/>
      <c r="S413" s="8">
        <f>IF(B413="","",E413*F413)</f>
        <v/>
      </c>
      <c r="T413" s="8">
        <f>IF(OR(B413="",N(G413)=0),"",ABS(F413-G413)*E413)</f>
        <v/>
      </c>
      <c r="U413" s="8">
        <f>IF(OR(B413="",P413=""),"",IF(D413="Venda",-1,1)*((N(J413)*N(K413)+N(L413)*N(M413)+N(N413)*N(O413))-(N(J413)+N(L413)+N(N413))*F413)-N(Q413))</f>
        <v/>
      </c>
      <c r="V413" s="9">
        <f>IF(OR(B413="",P413=""),"",U413/S413)</f>
        <v/>
      </c>
      <c r="W413">
        <f>IF(OR(B413="",P413=""),"",NETWORKDAYS(C413,P413)-1)</f>
        <v/>
      </c>
      <c r="X413">
        <f>IF(B413="","",IF(P413="","Aberto","Fechado"))</f>
        <v/>
      </c>
    </row>
    <row r="414">
      <c r="C414" s="6" t="n"/>
      <c r="E414" s="7" t="n"/>
      <c r="F414" s="8" t="n"/>
      <c r="G414" s="8" t="n"/>
      <c r="H414" s="8" t="n"/>
      <c r="J414" s="7" t="n"/>
      <c r="K414" s="8" t="n"/>
      <c r="L414" s="7" t="n"/>
      <c r="M414" s="8" t="n"/>
      <c r="N414" s="7" t="n"/>
      <c r="O414" s="8" t="n"/>
      <c r="P414" s="6" t="n"/>
      <c r="Q414" s="8" t="n"/>
      <c r="S414" s="8">
        <f>IF(B414="","",E414*F414)</f>
        <v/>
      </c>
      <c r="T414" s="8">
        <f>IF(OR(B414="",N(G414)=0),"",ABS(F414-G414)*E414)</f>
        <v/>
      </c>
      <c r="U414" s="8">
        <f>IF(OR(B414="",P414=""),"",IF(D414="Venda",-1,1)*((N(J414)*N(K414)+N(L414)*N(M414)+N(N414)*N(O414))-(N(J414)+N(L414)+N(N414))*F414)-N(Q414))</f>
        <v/>
      </c>
      <c r="V414" s="9">
        <f>IF(OR(B414="",P414=""),"",U414/S414)</f>
        <v/>
      </c>
      <c r="W414">
        <f>IF(OR(B414="",P414=""),"",NETWORKDAYS(C414,P414)-1)</f>
        <v/>
      </c>
      <c r="X414">
        <f>IF(B414="","",IF(P414="","Aberto","Fechado"))</f>
        <v/>
      </c>
    </row>
    <row r="415">
      <c r="C415" s="6" t="n"/>
      <c r="E415" s="7" t="n"/>
      <c r="F415" s="8" t="n"/>
      <c r="G415" s="8" t="n"/>
      <c r="H415" s="8" t="n"/>
      <c r="J415" s="7" t="n"/>
      <c r="K415" s="8" t="n"/>
      <c r="L415" s="7" t="n"/>
      <c r="M415" s="8" t="n"/>
      <c r="N415" s="7" t="n"/>
      <c r="O415" s="8" t="n"/>
      <c r="P415" s="6" t="n"/>
      <c r="Q415" s="8" t="n"/>
      <c r="S415" s="8">
        <f>IF(B415="","",E415*F415)</f>
        <v/>
      </c>
      <c r="T415" s="8">
        <f>IF(OR(B415="",N(G415)=0),"",ABS(F415-G415)*E415)</f>
        <v/>
      </c>
      <c r="U415" s="8">
        <f>IF(OR(B415="",P415=""),"",IF(D415="Venda",-1,1)*((N(J415)*N(K415)+N(L415)*N(M415)+N(N415)*N(O415))-(N(J415)+N(L415)+N(N415))*F415)-N(Q415))</f>
        <v/>
      </c>
      <c r="V415" s="9">
        <f>IF(OR(B415="",P415=""),"",U415/S415)</f>
        <v/>
      </c>
      <c r="W415">
        <f>IF(OR(B415="",P415=""),"",NETWORKDAYS(C415,P415)-1)</f>
        <v/>
      </c>
      <c r="X415">
        <f>IF(B415="","",IF(P415="","Aberto","Fechado"))</f>
        <v/>
      </c>
    </row>
    <row r="416">
      <c r="C416" s="6" t="n"/>
      <c r="E416" s="7" t="n"/>
      <c r="F416" s="8" t="n"/>
      <c r="G416" s="8" t="n"/>
      <c r="H416" s="8" t="n"/>
      <c r="J416" s="7" t="n"/>
      <c r="K416" s="8" t="n"/>
      <c r="L416" s="7" t="n"/>
      <c r="M416" s="8" t="n"/>
      <c r="N416" s="7" t="n"/>
      <c r="O416" s="8" t="n"/>
      <c r="P416" s="6" t="n"/>
      <c r="Q416" s="8" t="n"/>
      <c r="S416" s="8">
        <f>IF(B416="","",E416*F416)</f>
        <v/>
      </c>
      <c r="T416" s="8">
        <f>IF(OR(B416="",N(G416)=0),"",ABS(F416-G416)*E416)</f>
        <v/>
      </c>
      <c r="U416" s="8">
        <f>IF(OR(B416="",P416=""),"",IF(D416="Venda",-1,1)*((N(J416)*N(K416)+N(L416)*N(M416)+N(N416)*N(O416))-(N(J416)+N(L416)+N(N416))*F416)-N(Q416))</f>
        <v/>
      </c>
      <c r="V416" s="9">
        <f>IF(OR(B416="",P416=""),"",U416/S416)</f>
        <v/>
      </c>
      <c r="W416">
        <f>IF(OR(B416="",P416=""),"",NETWORKDAYS(C416,P416)-1)</f>
        <v/>
      </c>
      <c r="X416">
        <f>IF(B416="","",IF(P416="","Aberto","Fechado"))</f>
        <v/>
      </c>
    </row>
    <row r="417">
      <c r="C417" s="6" t="n"/>
      <c r="E417" s="7" t="n"/>
      <c r="F417" s="8" t="n"/>
      <c r="G417" s="8" t="n"/>
      <c r="H417" s="8" t="n"/>
      <c r="J417" s="7" t="n"/>
      <c r="K417" s="8" t="n"/>
      <c r="L417" s="7" t="n"/>
      <c r="M417" s="8" t="n"/>
      <c r="N417" s="7" t="n"/>
      <c r="O417" s="8" t="n"/>
      <c r="P417" s="6" t="n"/>
      <c r="Q417" s="8" t="n"/>
      <c r="S417" s="8">
        <f>IF(B417="","",E417*F417)</f>
        <v/>
      </c>
      <c r="T417" s="8">
        <f>IF(OR(B417="",N(G417)=0),"",ABS(F417-G417)*E417)</f>
        <v/>
      </c>
      <c r="U417" s="8">
        <f>IF(OR(B417="",P417=""),"",IF(D417="Venda",-1,1)*((N(J417)*N(K417)+N(L417)*N(M417)+N(N417)*N(O417))-(N(J417)+N(L417)+N(N417))*F417)-N(Q417))</f>
        <v/>
      </c>
      <c r="V417" s="9">
        <f>IF(OR(B417="",P417=""),"",U417/S417)</f>
        <v/>
      </c>
      <c r="W417">
        <f>IF(OR(B417="",P417=""),"",NETWORKDAYS(C417,P417)-1)</f>
        <v/>
      </c>
      <c r="X417">
        <f>IF(B417="","",IF(P417="","Aberto","Fechado"))</f>
        <v/>
      </c>
    </row>
    <row r="418">
      <c r="C418" s="6" t="n"/>
      <c r="E418" s="7" t="n"/>
      <c r="F418" s="8" t="n"/>
      <c r="G418" s="8" t="n"/>
      <c r="H418" s="8" t="n"/>
      <c r="J418" s="7" t="n"/>
      <c r="K418" s="8" t="n"/>
      <c r="L418" s="7" t="n"/>
      <c r="M418" s="8" t="n"/>
      <c r="N418" s="7" t="n"/>
      <c r="O418" s="8" t="n"/>
      <c r="P418" s="6" t="n"/>
      <c r="Q418" s="8" t="n"/>
      <c r="S418" s="8">
        <f>IF(B418="","",E418*F418)</f>
        <v/>
      </c>
      <c r="T418" s="8">
        <f>IF(OR(B418="",N(G418)=0),"",ABS(F418-G418)*E418)</f>
        <v/>
      </c>
      <c r="U418" s="8">
        <f>IF(OR(B418="",P418=""),"",IF(D418="Venda",-1,1)*((N(J418)*N(K418)+N(L418)*N(M418)+N(N418)*N(O418))-(N(J418)+N(L418)+N(N418))*F418)-N(Q418))</f>
        <v/>
      </c>
      <c r="V418" s="9">
        <f>IF(OR(B418="",P418=""),"",U418/S418)</f>
        <v/>
      </c>
      <c r="W418">
        <f>IF(OR(B418="",P418=""),"",NETWORKDAYS(C418,P418)-1)</f>
        <v/>
      </c>
      <c r="X418">
        <f>IF(B418="","",IF(P418="","Aberto","Fechado"))</f>
        <v/>
      </c>
    </row>
    <row r="419">
      <c r="C419" s="6" t="n"/>
      <c r="E419" s="7" t="n"/>
      <c r="F419" s="8" t="n"/>
      <c r="G419" s="8" t="n"/>
      <c r="H419" s="8" t="n"/>
      <c r="J419" s="7" t="n"/>
      <c r="K419" s="8" t="n"/>
      <c r="L419" s="7" t="n"/>
      <c r="M419" s="8" t="n"/>
      <c r="N419" s="7" t="n"/>
      <c r="O419" s="8" t="n"/>
      <c r="P419" s="6" t="n"/>
      <c r="Q419" s="8" t="n"/>
      <c r="S419" s="8">
        <f>IF(B419="","",E419*F419)</f>
        <v/>
      </c>
      <c r="T419" s="8">
        <f>IF(OR(B419="",N(G419)=0),"",ABS(F419-G419)*E419)</f>
        <v/>
      </c>
      <c r="U419" s="8">
        <f>IF(OR(B419="",P419=""),"",IF(D419="Venda",-1,1)*((N(J419)*N(K419)+N(L419)*N(M419)+N(N419)*N(O419))-(N(J419)+N(L419)+N(N419))*F419)-N(Q419))</f>
        <v/>
      </c>
      <c r="V419" s="9">
        <f>IF(OR(B419="",P419=""),"",U419/S419)</f>
        <v/>
      </c>
      <c r="W419">
        <f>IF(OR(B419="",P419=""),"",NETWORKDAYS(C419,P419)-1)</f>
        <v/>
      </c>
      <c r="X419">
        <f>IF(B419="","",IF(P419="","Aberto","Fechado"))</f>
        <v/>
      </c>
    </row>
    <row r="420">
      <c r="C420" s="6" t="n"/>
      <c r="E420" s="7" t="n"/>
      <c r="F420" s="8" t="n"/>
      <c r="G420" s="8" t="n"/>
      <c r="H420" s="8" t="n"/>
      <c r="J420" s="7" t="n"/>
      <c r="K420" s="8" t="n"/>
      <c r="L420" s="7" t="n"/>
      <c r="M420" s="8" t="n"/>
      <c r="N420" s="7" t="n"/>
      <c r="O420" s="8" t="n"/>
      <c r="P420" s="6" t="n"/>
      <c r="Q420" s="8" t="n"/>
      <c r="S420" s="8">
        <f>IF(B420="","",E420*F420)</f>
        <v/>
      </c>
      <c r="T420" s="8">
        <f>IF(OR(B420="",N(G420)=0),"",ABS(F420-G420)*E420)</f>
        <v/>
      </c>
      <c r="U420" s="8">
        <f>IF(OR(B420="",P420=""),"",IF(D420="Venda",-1,1)*((N(J420)*N(K420)+N(L420)*N(M420)+N(N420)*N(O420))-(N(J420)+N(L420)+N(N420))*F420)-N(Q420))</f>
        <v/>
      </c>
      <c r="V420" s="9">
        <f>IF(OR(B420="",P420=""),"",U420/S420)</f>
        <v/>
      </c>
      <c r="W420">
        <f>IF(OR(B420="",P420=""),"",NETWORKDAYS(C420,P420)-1)</f>
        <v/>
      </c>
      <c r="X420">
        <f>IF(B420="","",IF(P420="","Aberto","Fechado"))</f>
        <v/>
      </c>
    </row>
    <row r="421">
      <c r="C421" s="6" t="n"/>
      <c r="E421" s="7" t="n"/>
      <c r="F421" s="8" t="n"/>
      <c r="G421" s="8" t="n"/>
      <c r="H421" s="8" t="n"/>
      <c r="J421" s="7" t="n"/>
      <c r="K421" s="8" t="n"/>
      <c r="L421" s="7" t="n"/>
      <c r="M421" s="8" t="n"/>
      <c r="N421" s="7" t="n"/>
      <c r="O421" s="8" t="n"/>
      <c r="P421" s="6" t="n"/>
      <c r="Q421" s="8" t="n"/>
      <c r="S421" s="8">
        <f>IF(B421="","",E421*F421)</f>
        <v/>
      </c>
      <c r="T421" s="8">
        <f>IF(OR(B421="",N(G421)=0),"",ABS(F421-G421)*E421)</f>
        <v/>
      </c>
      <c r="U421" s="8">
        <f>IF(OR(B421="",P421=""),"",IF(D421="Venda",-1,1)*((N(J421)*N(K421)+N(L421)*N(M421)+N(N421)*N(O421))-(N(J421)+N(L421)+N(N421))*F421)-N(Q421))</f>
        <v/>
      </c>
      <c r="V421" s="9">
        <f>IF(OR(B421="",P421=""),"",U421/S421)</f>
        <v/>
      </c>
      <c r="W421">
        <f>IF(OR(B421="",P421=""),"",NETWORKDAYS(C421,P421)-1)</f>
        <v/>
      </c>
      <c r="X421">
        <f>IF(B421="","",IF(P421="","Aberto","Fechado"))</f>
        <v/>
      </c>
    </row>
    <row r="422">
      <c r="C422" s="6" t="n"/>
      <c r="E422" s="7" t="n"/>
      <c r="F422" s="8" t="n"/>
      <c r="G422" s="8" t="n"/>
      <c r="H422" s="8" t="n"/>
      <c r="J422" s="7" t="n"/>
      <c r="K422" s="8" t="n"/>
      <c r="L422" s="7" t="n"/>
      <c r="M422" s="8" t="n"/>
      <c r="N422" s="7" t="n"/>
      <c r="O422" s="8" t="n"/>
      <c r="P422" s="6" t="n"/>
      <c r="Q422" s="8" t="n"/>
      <c r="S422" s="8">
        <f>IF(B422="","",E422*F422)</f>
        <v/>
      </c>
      <c r="T422" s="8">
        <f>IF(OR(B422="",N(G422)=0),"",ABS(F422-G422)*E422)</f>
        <v/>
      </c>
      <c r="U422" s="8">
        <f>IF(OR(B422="",P422=""),"",IF(D422="Venda",-1,1)*((N(J422)*N(K422)+N(L422)*N(M422)+N(N422)*N(O422))-(N(J422)+N(L422)+N(N422))*F422)-N(Q422))</f>
        <v/>
      </c>
      <c r="V422" s="9">
        <f>IF(OR(B422="",P422=""),"",U422/S422)</f>
        <v/>
      </c>
      <c r="W422">
        <f>IF(OR(B422="",P422=""),"",NETWORKDAYS(C422,P422)-1)</f>
        <v/>
      </c>
      <c r="X422">
        <f>IF(B422="","",IF(P422="","Aberto","Fechado"))</f>
        <v/>
      </c>
    </row>
    <row r="423">
      <c r="C423" s="6" t="n"/>
      <c r="E423" s="7" t="n"/>
      <c r="F423" s="8" t="n"/>
      <c r="G423" s="8" t="n"/>
      <c r="H423" s="8" t="n"/>
      <c r="J423" s="7" t="n"/>
      <c r="K423" s="8" t="n"/>
      <c r="L423" s="7" t="n"/>
      <c r="M423" s="8" t="n"/>
      <c r="N423" s="7" t="n"/>
      <c r="O423" s="8" t="n"/>
      <c r="P423" s="6" t="n"/>
      <c r="Q423" s="8" t="n"/>
      <c r="S423" s="8">
        <f>IF(B423="","",E423*F423)</f>
        <v/>
      </c>
      <c r="T423" s="8">
        <f>IF(OR(B423="",N(G423)=0),"",ABS(F423-G423)*E423)</f>
        <v/>
      </c>
      <c r="U423" s="8">
        <f>IF(OR(B423="",P423=""),"",IF(D423="Venda",-1,1)*((N(J423)*N(K423)+N(L423)*N(M423)+N(N423)*N(O423))-(N(J423)+N(L423)+N(N423))*F423)-N(Q423))</f>
        <v/>
      </c>
      <c r="V423" s="9">
        <f>IF(OR(B423="",P423=""),"",U423/S423)</f>
        <v/>
      </c>
      <c r="W423">
        <f>IF(OR(B423="",P423=""),"",NETWORKDAYS(C423,P423)-1)</f>
        <v/>
      </c>
      <c r="X423">
        <f>IF(B423="","",IF(P423="","Aberto","Fechado"))</f>
        <v/>
      </c>
    </row>
    <row r="424">
      <c r="C424" s="6" t="n"/>
      <c r="E424" s="7" t="n"/>
      <c r="F424" s="8" t="n"/>
      <c r="G424" s="8" t="n"/>
      <c r="H424" s="8" t="n"/>
      <c r="J424" s="7" t="n"/>
      <c r="K424" s="8" t="n"/>
      <c r="L424" s="7" t="n"/>
      <c r="M424" s="8" t="n"/>
      <c r="N424" s="7" t="n"/>
      <c r="O424" s="8" t="n"/>
      <c r="P424" s="6" t="n"/>
      <c r="Q424" s="8" t="n"/>
      <c r="S424" s="8">
        <f>IF(B424="","",E424*F424)</f>
        <v/>
      </c>
      <c r="T424" s="8">
        <f>IF(OR(B424="",N(G424)=0),"",ABS(F424-G424)*E424)</f>
        <v/>
      </c>
      <c r="U424" s="8">
        <f>IF(OR(B424="",P424=""),"",IF(D424="Venda",-1,1)*((N(J424)*N(K424)+N(L424)*N(M424)+N(N424)*N(O424))-(N(J424)+N(L424)+N(N424))*F424)-N(Q424))</f>
        <v/>
      </c>
      <c r="V424" s="9">
        <f>IF(OR(B424="",P424=""),"",U424/S424)</f>
        <v/>
      </c>
      <c r="W424">
        <f>IF(OR(B424="",P424=""),"",NETWORKDAYS(C424,P424)-1)</f>
        <v/>
      </c>
      <c r="X424">
        <f>IF(B424="","",IF(P424="","Aberto","Fechado"))</f>
        <v/>
      </c>
    </row>
    <row r="425">
      <c r="C425" s="6" t="n"/>
      <c r="E425" s="7" t="n"/>
      <c r="F425" s="8" t="n"/>
      <c r="G425" s="8" t="n"/>
      <c r="H425" s="8" t="n"/>
      <c r="J425" s="7" t="n"/>
      <c r="K425" s="8" t="n"/>
      <c r="L425" s="7" t="n"/>
      <c r="M425" s="8" t="n"/>
      <c r="N425" s="7" t="n"/>
      <c r="O425" s="8" t="n"/>
      <c r="P425" s="6" t="n"/>
      <c r="Q425" s="8" t="n"/>
      <c r="S425" s="8">
        <f>IF(B425="","",E425*F425)</f>
        <v/>
      </c>
      <c r="T425" s="8">
        <f>IF(OR(B425="",N(G425)=0),"",ABS(F425-G425)*E425)</f>
        <v/>
      </c>
      <c r="U425" s="8">
        <f>IF(OR(B425="",P425=""),"",IF(D425="Venda",-1,1)*((N(J425)*N(K425)+N(L425)*N(M425)+N(N425)*N(O425))-(N(J425)+N(L425)+N(N425))*F425)-N(Q425))</f>
        <v/>
      </c>
      <c r="V425" s="9">
        <f>IF(OR(B425="",P425=""),"",U425/S425)</f>
        <v/>
      </c>
      <c r="W425">
        <f>IF(OR(B425="",P425=""),"",NETWORKDAYS(C425,P425)-1)</f>
        <v/>
      </c>
      <c r="X425">
        <f>IF(B425="","",IF(P425="","Aberto","Fechado"))</f>
        <v/>
      </c>
    </row>
    <row r="426">
      <c r="C426" s="6" t="n"/>
      <c r="E426" s="7" t="n"/>
      <c r="F426" s="8" t="n"/>
      <c r="G426" s="8" t="n"/>
      <c r="H426" s="8" t="n"/>
      <c r="J426" s="7" t="n"/>
      <c r="K426" s="8" t="n"/>
      <c r="L426" s="7" t="n"/>
      <c r="M426" s="8" t="n"/>
      <c r="N426" s="7" t="n"/>
      <c r="O426" s="8" t="n"/>
      <c r="P426" s="6" t="n"/>
      <c r="Q426" s="8" t="n"/>
      <c r="S426" s="8">
        <f>IF(B426="","",E426*F426)</f>
        <v/>
      </c>
      <c r="T426" s="8">
        <f>IF(OR(B426="",N(G426)=0),"",ABS(F426-G426)*E426)</f>
        <v/>
      </c>
      <c r="U426" s="8">
        <f>IF(OR(B426="",P426=""),"",IF(D426="Venda",-1,1)*((N(J426)*N(K426)+N(L426)*N(M426)+N(N426)*N(O426))-(N(J426)+N(L426)+N(N426))*F426)-N(Q426))</f>
        <v/>
      </c>
      <c r="V426" s="9">
        <f>IF(OR(B426="",P426=""),"",U426/S426)</f>
        <v/>
      </c>
      <c r="W426">
        <f>IF(OR(B426="",P426=""),"",NETWORKDAYS(C426,P426)-1)</f>
        <v/>
      </c>
      <c r="X426">
        <f>IF(B426="","",IF(P426="","Aberto","Fechado"))</f>
        <v/>
      </c>
    </row>
    <row r="427">
      <c r="C427" s="6" t="n"/>
      <c r="E427" s="7" t="n"/>
      <c r="F427" s="8" t="n"/>
      <c r="G427" s="8" t="n"/>
      <c r="H427" s="8" t="n"/>
      <c r="J427" s="7" t="n"/>
      <c r="K427" s="8" t="n"/>
      <c r="L427" s="7" t="n"/>
      <c r="M427" s="8" t="n"/>
      <c r="N427" s="7" t="n"/>
      <c r="O427" s="8" t="n"/>
      <c r="P427" s="6" t="n"/>
      <c r="Q427" s="8" t="n"/>
      <c r="S427" s="8">
        <f>IF(B427="","",E427*F427)</f>
        <v/>
      </c>
      <c r="T427" s="8">
        <f>IF(OR(B427="",N(G427)=0),"",ABS(F427-G427)*E427)</f>
        <v/>
      </c>
      <c r="U427" s="8">
        <f>IF(OR(B427="",P427=""),"",IF(D427="Venda",-1,1)*((N(J427)*N(K427)+N(L427)*N(M427)+N(N427)*N(O427))-(N(J427)+N(L427)+N(N427))*F427)-N(Q427))</f>
        <v/>
      </c>
      <c r="V427" s="9">
        <f>IF(OR(B427="",P427=""),"",U427/S427)</f>
        <v/>
      </c>
      <c r="W427">
        <f>IF(OR(B427="",P427=""),"",NETWORKDAYS(C427,P427)-1)</f>
        <v/>
      </c>
      <c r="X427">
        <f>IF(B427="","",IF(P427="","Aberto","Fechado"))</f>
        <v/>
      </c>
    </row>
    <row r="428">
      <c r="C428" s="6" t="n"/>
      <c r="E428" s="7" t="n"/>
      <c r="F428" s="8" t="n"/>
      <c r="G428" s="8" t="n"/>
      <c r="H428" s="8" t="n"/>
      <c r="J428" s="7" t="n"/>
      <c r="K428" s="8" t="n"/>
      <c r="L428" s="7" t="n"/>
      <c r="M428" s="8" t="n"/>
      <c r="N428" s="7" t="n"/>
      <c r="O428" s="8" t="n"/>
      <c r="P428" s="6" t="n"/>
      <c r="Q428" s="8" t="n"/>
      <c r="S428" s="8">
        <f>IF(B428="","",E428*F428)</f>
        <v/>
      </c>
      <c r="T428" s="8">
        <f>IF(OR(B428="",N(G428)=0),"",ABS(F428-G428)*E428)</f>
        <v/>
      </c>
      <c r="U428" s="8">
        <f>IF(OR(B428="",P428=""),"",IF(D428="Venda",-1,1)*((N(J428)*N(K428)+N(L428)*N(M428)+N(N428)*N(O428))-(N(J428)+N(L428)+N(N428))*F428)-N(Q428))</f>
        <v/>
      </c>
      <c r="V428" s="9">
        <f>IF(OR(B428="",P428=""),"",U428/S428)</f>
        <v/>
      </c>
      <c r="W428">
        <f>IF(OR(B428="",P428=""),"",NETWORKDAYS(C428,P428)-1)</f>
        <v/>
      </c>
      <c r="X428">
        <f>IF(B428="","",IF(P428="","Aberto","Fechado"))</f>
        <v/>
      </c>
    </row>
    <row r="429">
      <c r="C429" s="6" t="n"/>
      <c r="E429" s="7" t="n"/>
      <c r="F429" s="8" t="n"/>
      <c r="G429" s="8" t="n"/>
      <c r="H429" s="8" t="n"/>
      <c r="J429" s="7" t="n"/>
      <c r="K429" s="8" t="n"/>
      <c r="L429" s="7" t="n"/>
      <c r="M429" s="8" t="n"/>
      <c r="N429" s="7" t="n"/>
      <c r="O429" s="8" t="n"/>
      <c r="P429" s="6" t="n"/>
      <c r="Q429" s="8" t="n"/>
      <c r="S429" s="8">
        <f>IF(B429="","",E429*F429)</f>
        <v/>
      </c>
      <c r="T429" s="8">
        <f>IF(OR(B429="",N(G429)=0),"",ABS(F429-G429)*E429)</f>
        <v/>
      </c>
      <c r="U429" s="8">
        <f>IF(OR(B429="",P429=""),"",IF(D429="Venda",-1,1)*((N(J429)*N(K429)+N(L429)*N(M429)+N(N429)*N(O429))-(N(J429)+N(L429)+N(N429))*F429)-N(Q429))</f>
        <v/>
      </c>
      <c r="V429" s="9">
        <f>IF(OR(B429="",P429=""),"",U429/S429)</f>
        <v/>
      </c>
      <c r="W429">
        <f>IF(OR(B429="",P429=""),"",NETWORKDAYS(C429,P429)-1)</f>
        <v/>
      </c>
      <c r="X429">
        <f>IF(B429="","",IF(P429="","Aberto","Fechado"))</f>
        <v/>
      </c>
    </row>
    <row r="430">
      <c r="C430" s="6" t="n"/>
      <c r="E430" s="7" t="n"/>
      <c r="F430" s="8" t="n"/>
      <c r="G430" s="8" t="n"/>
      <c r="H430" s="8" t="n"/>
      <c r="J430" s="7" t="n"/>
      <c r="K430" s="8" t="n"/>
      <c r="L430" s="7" t="n"/>
      <c r="M430" s="8" t="n"/>
      <c r="N430" s="7" t="n"/>
      <c r="O430" s="8" t="n"/>
      <c r="P430" s="6" t="n"/>
      <c r="Q430" s="8" t="n"/>
      <c r="S430" s="8">
        <f>IF(B430="","",E430*F430)</f>
        <v/>
      </c>
      <c r="T430" s="8">
        <f>IF(OR(B430="",N(G430)=0),"",ABS(F430-G430)*E430)</f>
        <v/>
      </c>
      <c r="U430" s="8">
        <f>IF(OR(B430="",P430=""),"",IF(D430="Venda",-1,1)*((N(J430)*N(K430)+N(L430)*N(M430)+N(N430)*N(O430))-(N(J430)+N(L430)+N(N430))*F430)-N(Q430))</f>
        <v/>
      </c>
      <c r="V430" s="9">
        <f>IF(OR(B430="",P430=""),"",U430/S430)</f>
        <v/>
      </c>
      <c r="W430">
        <f>IF(OR(B430="",P430=""),"",NETWORKDAYS(C430,P430)-1)</f>
        <v/>
      </c>
      <c r="X430">
        <f>IF(B430="","",IF(P430="","Aberto","Fechado"))</f>
        <v/>
      </c>
    </row>
    <row r="431">
      <c r="C431" s="6" t="n"/>
      <c r="E431" s="7" t="n"/>
      <c r="F431" s="8" t="n"/>
      <c r="G431" s="8" t="n"/>
      <c r="H431" s="8" t="n"/>
      <c r="J431" s="7" t="n"/>
      <c r="K431" s="8" t="n"/>
      <c r="L431" s="7" t="n"/>
      <c r="M431" s="8" t="n"/>
      <c r="N431" s="7" t="n"/>
      <c r="O431" s="8" t="n"/>
      <c r="P431" s="6" t="n"/>
      <c r="Q431" s="8" t="n"/>
      <c r="S431" s="8">
        <f>IF(B431="","",E431*F431)</f>
        <v/>
      </c>
      <c r="T431" s="8">
        <f>IF(OR(B431="",N(G431)=0),"",ABS(F431-G431)*E431)</f>
        <v/>
      </c>
      <c r="U431" s="8">
        <f>IF(OR(B431="",P431=""),"",IF(D431="Venda",-1,1)*((N(J431)*N(K431)+N(L431)*N(M431)+N(N431)*N(O431))-(N(J431)+N(L431)+N(N431))*F431)-N(Q431))</f>
        <v/>
      </c>
      <c r="V431" s="9">
        <f>IF(OR(B431="",P431=""),"",U431/S431)</f>
        <v/>
      </c>
      <c r="W431">
        <f>IF(OR(B431="",P431=""),"",NETWORKDAYS(C431,P431)-1)</f>
        <v/>
      </c>
      <c r="X431">
        <f>IF(B431="","",IF(P431="","Aberto","Fechado"))</f>
        <v/>
      </c>
    </row>
    <row r="432">
      <c r="C432" s="6" t="n"/>
      <c r="E432" s="7" t="n"/>
      <c r="F432" s="8" t="n"/>
      <c r="G432" s="8" t="n"/>
      <c r="H432" s="8" t="n"/>
      <c r="J432" s="7" t="n"/>
      <c r="K432" s="8" t="n"/>
      <c r="L432" s="7" t="n"/>
      <c r="M432" s="8" t="n"/>
      <c r="N432" s="7" t="n"/>
      <c r="O432" s="8" t="n"/>
      <c r="P432" s="6" t="n"/>
      <c r="Q432" s="8" t="n"/>
      <c r="S432" s="8">
        <f>IF(B432="","",E432*F432)</f>
        <v/>
      </c>
      <c r="T432" s="8">
        <f>IF(OR(B432="",N(G432)=0),"",ABS(F432-G432)*E432)</f>
        <v/>
      </c>
      <c r="U432" s="8">
        <f>IF(OR(B432="",P432=""),"",IF(D432="Venda",-1,1)*((N(J432)*N(K432)+N(L432)*N(M432)+N(N432)*N(O432))-(N(J432)+N(L432)+N(N432))*F432)-N(Q432))</f>
        <v/>
      </c>
      <c r="V432" s="9">
        <f>IF(OR(B432="",P432=""),"",U432/S432)</f>
        <v/>
      </c>
      <c r="W432">
        <f>IF(OR(B432="",P432=""),"",NETWORKDAYS(C432,P432)-1)</f>
        <v/>
      </c>
      <c r="X432">
        <f>IF(B432="","",IF(P432="","Aberto","Fechado"))</f>
        <v/>
      </c>
    </row>
    <row r="433">
      <c r="C433" s="6" t="n"/>
      <c r="E433" s="7" t="n"/>
      <c r="F433" s="8" t="n"/>
      <c r="G433" s="8" t="n"/>
      <c r="H433" s="8" t="n"/>
      <c r="J433" s="7" t="n"/>
      <c r="K433" s="8" t="n"/>
      <c r="L433" s="7" t="n"/>
      <c r="M433" s="8" t="n"/>
      <c r="N433" s="7" t="n"/>
      <c r="O433" s="8" t="n"/>
      <c r="P433" s="6" t="n"/>
      <c r="Q433" s="8" t="n"/>
      <c r="S433" s="8">
        <f>IF(B433="","",E433*F433)</f>
        <v/>
      </c>
      <c r="T433" s="8">
        <f>IF(OR(B433="",N(G433)=0),"",ABS(F433-G433)*E433)</f>
        <v/>
      </c>
      <c r="U433" s="8">
        <f>IF(OR(B433="",P433=""),"",IF(D433="Venda",-1,1)*((N(J433)*N(K433)+N(L433)*N(M433)+N(N433)*N(O433))-(N(J433)+N(L433)+N(N433))*F433)-N(Q433))</f>
        <v/>
      </c>
      <c r="V433" s="9">
        <f>IF(OR(B433="",P433=""),"",U433/S433)</f>
        <v/>
      </c>
      <c r="W433">
        <f>IF(OR(B433="",P433=""),"",NETWORKDAYS(C433,P433)-1)</f>
        <v/>
      </c>
      <c r="X433">
        <f>IF(B433="","",IF(P433="","Aberto","Fechado"))</f>
        <v/>
      </c>
    </row>
    <row r="434">
      <c r="C434" s="6" t="n"/>
      <c r="E434" s="7" t="n"/>
      <c r="F434" s="8" t="n"/>
      <c r="G434" s="8" t="n"/>
      <c r="H434" s="8" t="n"/>
      <c r="J434" s="7" t="n"/>
      <c r="K434" s="8" t="n"/>
      <c r="L434" s="7" t="n"/>
      <c r="M434" s="8" t="n"/>
      <c r="N434" s="7" t="n"/>
      <c r="O434" s="8" t="n"/>
      <c r="P434" s="6" t="n"/>
      <c r="Q434" s="8" t="n"/>
      <c r="S434" s="8">
        <f>IF(B434="","",E434*F434)</f>
        <v/>
      </c>
      <c r="T434" s="8">
        <f>IF(OR(B434="",N(G434)=0),"",ABS(F434-G434)*E434)</f>
        <v/>
      </c>
      <c r="U434" s="8">
        <f>IF(OR(B434="",P434=""),"",IF(D434="Venda",-1,1)*((N(J434)*N(K434)+N(L434)*N(M434)+N(N434)*N(O434))-(N(J434)+N(L434)+N(N434))*F434)-N(Q434))</f>
        <v/>
      </c>
      <c r="V434" s="9">
        <f>IF(OR(B434="",P434=""),"",U434/S434)</f>
        <v/>
      </c>
      <c r="W434">
        <f>IF(OR(B434="",P434=""),"",NETWORKDAYS(C434,P434)-1)</f>
        <v/>
      </c>
      <c r="X434">
        <f>IF(B434="","",IF(P434="","Aberto","Fechado"))</f>
        <v/>
      </c>
    </row>
    <row r="435">
      <c r="C435" s="6" t="n"/>
      <c r="E435" s="7" t="n"/>
      <c r="F435" s="8" t="n"/>
      <c r="G435" s="8" t="n"/>
      <c r="H435" s="8" t="n"/>
      <c r="J435" s="7" t="n"/>
      <c r="K435" s="8" t="n"/>
      <c r="L435" s="7" t="n"/>
      <c r="M435" s="8" t="n"/>
      <c r="N435" s="7" t="n"/>
      <c r="O435" s="8" t="n"/>
      <c r="P435" s="6" t="n"/>
      <c r="Q435" s="8" t="n"/>
      <c r="S435" s="8">
        <f>IF(B435="","",E435*F435)</f>
        <v/>
      </c>
      <c r="T435" s="8">
        <f>IF(OR(B435="",N(G435)=0),"",ABS(F435-G435)*E435)</f>
        <v/>
      </c>
      <c r="U435" s="8">
        <f>IF(OR(B435="",P435=""),"",IF(D435="Venda",-1,1)*((N(J435)*N(K435)+N(L435)*N(M435)+N(N435)*N(O435))-(N(J435)+N(L435)+N(N435))*F435)-N(Q435))</f>
        <v/>
      </c>
      <c r="V435" s="9">
        <f>IF(OR(B435="",P435=""),"",U435/S435)</f>
        <v/>
      </c>
      <c r="W435">
        <f>IF(OR(B435="",P435=""),"",NETWORKDAYS(C435,P435)-1)</f>
        <v/>
      </c>
      <c r="X435">
        <f>IF(B435="","",IF(P435="","Aberto","Fechado"))</f>
        <v/>
      </c>
    </row>
    <row r="436">
      <c r="C436" s="6" t="n"/>
      <c r="E436" s="7" t="n"/>
      <c r="F436" s="8" t="n"/>
      <c r="G436" s="8" t="n"/>
      <c r="H436" s="8" t="n"/>
      <c r="J436" s="7" t="n"/>
      <c r="K436" s="8" t="n"/>
      <c r="L436" s="7" t="n"/>
      <c r="M436" s="8" t="n"/>
      <c r="N436" s="7" t="n"/>
      <c r="O436" s="8" t="n"/>
      <c r="P436" s="6" t="n"/>
      <c r="Q436" s="8" t="n"/>
      <c r="S436" s="8">
        <f>IF(B436="","",E436*F436)</f>
        <v/>
      </c>
      <c r="T436" s="8">
        <f>IF(OR(B436="",N(G436)=0),"",ABS(F436-G436)*E436)</f>
        <v/>
      </c>
      <c r="U436" s="8">
        <f>IF(OR(B436="",P436=""),"",IF(D436="Venda",-1,1)*((N(J436)*N(K436)+N(L436)*N(M436)+N(N436)*N(O436))-(N(J436)+N(L436)+N(N436))*F436)-N(Q436))</f>
        <v/>
      </c>
      <c r="V436" s="9">
        <f>IF(OR(B436="",P436=""),"",U436/S436)</f>
        <v/>
      </c>
      <c r="W436">
        <f>IF(OR(B436="",P436=""),"",NETWORKDAYS(C436,P436)-1)</f>
        <v/>
      </c>
      <c r="X436">
        <f>IF(B436="","",IF(P436="","Aberto","Fechado"))</f>
        <v/>
      </c>
    </row>
    <row r="437">
      <c r="C437" s="6" t="n"/>
      <c r="E437" s="7" t="n"/>
      <c r="F437" s="8" t="n"/>
      <c r="G437" s="8" t="n"/>
      <c r="H437" s="8" t="n"/>
      <c r="J437" s="7" t="n"/>
      <c r="K437" s="8" t="n"/>
      <c r="L437" s="7" t="n"/>
      <c r="M437" s="8" t="n"/>
      <c r="N437" s="7" t="n"/>
      <c r="O437" s="8" t="n"/>
      <c r="P437" s="6" t="n"/>
      <c r="Q437" s="8" t="n"/>
      <c r="S437" s="8">
        <f>IF(B437="","",E437*F437)</f>
        <v/>
      </c>
      <c r="T437" s="8">
        <f>IF(OR(B437="",N(G437)=0),"",ABS(F437-G437)*E437)</f>
        <v/>
      </c>
      <c r="U437" s="8">
        <f>IF(OR(B437="",P437=""),"",IF(D437="Venda",-1,1)*((N(J437)*N(K437)+N(L437)*N(M437)+N(N437)*N(O437))-(N(J437)+N(L437)+N(N437))*F437)-N(Q437))</f>
        <v/>
      </c>
      <c r="V437" s="9">
        <f>IF(OR(B437="",P437=""),"",U437/S437)</f>
        <v/>
      </c>
      <c r="W437">
        <f>IF(OR(B437="",P437=""),"",NETWORKDAYS(C437,P437)-1)</f>
        <v/>
      </c>
      <c r="X437">
        <f>IF(B437="","",IF(P437="","Aberto","Fechado"))</f>
        <v/>
      </c>
    </row>
    <row r="438">
      <c r="C438" s="6" t="n"/>
      <c r="E438" s="7" t="n"/>
      <c r="F438" s="8" t="n"/>
      <c r="G438" s="8" t="n"/>
      <c r="H438" s="8" t="n"/>
      <c r="J438" s="7" t="n"/>
      <c r="K438" s="8" t="n"/>
      <c r="L438" s="7" t="n"/>
      <c r="M438" s="8" t="n"/>
      <c r="N438" s="7" t="n"/>
      <c r="O438" s="8" t="n"/>
      <c r="P438" s="6" t="n"/>
      <c r="Q438" s="8" t="n"/>
      <c r="S438" s="8">
        <f>IF(B438="","",E438*F438)</f>
        <v/>
      </c>
      <c r="T438" s="8">
        <f>IF(OR(B438="",N(G438)=0),"",ABS(F438-G438)*E438)</f>
        <v/>
      </c>
      <c r="U438" s="8">
        <f>IF(OR(B438="",P438=""),"",IF(D438="Venda",-1,1)*((N(J438)*N(K438)+N(L438)*N(M438)+N(N438)*N(O438))-(N(J438)+N(L438)+N(N438))*F438)-N(Q438))</f>
        <v/>
      </c>
      <c r="V438" s="9">
        <f>IF(OR(B438="",P438=""),"",U438/S438)</f>
        <v/>
      </c>
      <c r="W438">
        <f>IF(OR(B438="",P438=""),"",NETWORKDAYS(C438,P438)-1)</f>
        <v/>
      </c>
      <c r="X438">
        <f>IF(B438="","",IF(P438="","Aberto","Fechado"))</f>
        <v/>
      </c>
    </row>
    <row r="439">
      <c r="C439" s="6" t="n"/>
      <c r="E439" s="7" t="n"/>
      <c r="F439" s="8" t="n"/>
      <c r="G439" s="8" t="n"/>
      <c r="H439" s="8" t="n"/>
      <c r="J439" s="7" t="n"/>
      <c r="K439" s="8" t="n"/>
      <c r="L439" s="7" t="n"/>
      <c r="M439" s="8" t="n"/>
      <c r="N439" s="7" t="n"/>
      <c r="O439" s="8" t="n"/>
      <c r="P439" s="6" t="n"/>
      <c r="Q439" s="8" t="n"/>
      <c r="S439" s="8">
        <f>IF(B439="","",E439*F439)</f>
        <v/>
      </c>
      <c r="T439" s="8">
        <f>IF(OR(B439="",N(G439)=0),"",ABS(F439-G439)*E439)</f>
        <v/>
      </c>
      <c r="U439" s="8">
        <f>IF(OR(B439="",P439=""),"",IF(D439="Venda",-1,1)*((N(J439)*N(K439)+N(L439)*N(M439)+N(N439)*N(O439))-(N(J439)+N(L439)+N(N439))*F439)-N(Q439))</f>
        <v/>
      </c>
      <c r="V439" s="9">
        <f>IF(OR(B439="",P439=""),"",U439/S439)</f>
        <v/>
      </c>
      <c r="W439">
        <f>IF(OR(B439="",P439=""),"",NETWORKDAYS(C439,P439)-1)</f>
        <v/>
      </c>
      <c r="X439">
        <f>IF(B439="","",IF(P439="","Aberto","Fechado"))</f>
        <v/>
      </c>
    </row>
    <row r="440">
      <c r="C440" s="6" t="n"/>
      <c r="E440" s="7" t="n"/>
      <c r="F440" s="8" t="n"/>
      <c r="G440" s="8" t="n"/>
      <c r="H440" s="8" t="n"/>
      <c r="J440" s="7" t="n"/>
      <c r="K440" s="8" t="n"/>
      <c r="L440" s="7" t="n"/>
      <c r="M440" s="8" t="n"/>
      <c r="N440" s="7" t="n"/>
      <c r="O440" s="8" t="n"/>
      <c r="P440" s="6" t="n"/>
      <c r="Q440" s="8" t="n"/>
      <c r="S440" s="8">
        <f>IF(B440="","",E440*F440)</f>
        <v/>
      </c>
      <c r="T440" s="8">
        <f>IF(OR(B440="",N(G440)=0),"",ABS(F440-G440)*E440)</f>
        <v/>
      </c>
      <c r="U440" s="8">
        <f>IF(OR(B440="",P440=""),"",IF(D440="Venda",-1,1)*((N(J440)*N(K440)+N(L440)*N(M440)+N(N440)*N(O440))-(N(J440)+N(L440)+N(N440))*F440)-N(Q440))</f>
        <v/>
      </c>
      <c r="V440" s="9">
        <f>IF(OR(B440="",P440=""),"",U440/S440)</f>
        <v/>
      </c>
      <c r="W440">
        <f>IF(OR(B440="",P440=""),"",NETWORKDAYS(C440,P440)-1)</f>
        <v/>
      </c>
      <c r="X440">
        <f>IF(B440="","",IF(P440="","Aberto","Fechado"))</f>
        <v/>
      </c>
    </row>
    <row r="441">
      <c r="C441" s="6" t="n"/>
      <c r="E441" s="7" t="n"/>
      <c r="F441" s="8" t="n"/>
      <c r="G441" s="8" t="n"/>
      <c r="H441" s="8" t="n"/>
      <c r="J441" s="7" t="n"/>
      <c r="K441" s="8" t="n"/>
      <c r="L441" s="7" t="n"/>
      <c r="M441" s="8" t="n"/>
      <c r="N441" s="7" t="n"/>
      <c r="O441" s="8" t="n"/>
      <c r="P441" s="6" t="n"/>
      <c r="Q441" s="8" t="n"/>
      <c r="S441" s="8">
        <f>IF(B441="","",E441*F441)</f>
        <v/>
      </c>
      <c r="T441" s="8">
        <f>IF(OR(B441="",N(G441)=0),"",ABS(F441-G441)*E441)</f>
        <v/>
      </c>
      <c r="U441" s="8">
        <f>IF(OR(B441="",P441=""),"",IF(D441="Venda",-1,1)*((N(J441)*N(K441)+N(L441)*N(M441)+N(N441)*N(O441))-(N(J441)+N(L441)+N(N441))*F441)-N(Q441))</f>
        <v/>
      </c>
      <c r="V441" s="9">
        <f>IF(OR(B441="",P441=""),"",U441/S441)</f>
        <v/>
      </c>
      <c r="W441">
        <f>IF(OR(B441="",P441=""),"",NETWORKDAYS(C441,P441)-1)</f>
        <v/>
      </c>
      <c r="X441">
        <f>IF(B441="","",IF(P441="","Aberto","Fechado"))</f>
        <v/>
      </c>
    </row>
    <row r="442">
      <c r="C442" s="6" t="n"/>
      <c r="E442" s="7" t="n"/>
      <c r="F442" s="8" t="n"/>
      <c r="G442" s="8" t="n"/>
      <c r="H442" s="8" t="n"/>
      <c r="J442" s="7" t="n"/>
      <c r="K442" s="8" t="n"/>
      <c r="L442" s="7" t="n"/>
      <c r="M442" s="8" t="n"/>
      <c r="N442" s="7" t="n"/>
      <c r="O442" s="8" t="n"/>
      <c r="P442" s="6" t="n"/>
      <c r="Q442" s="8" t="n"/>
      <c r="S442" s="8">
        <f>IF(B442="","",E442*F442)</f>
        <v/>
      </c>
      <c r="T442" s="8">
        <f>IF(OR(B442="",N(G442)=0),"",ABS(F442-G442)*E442)</f>
        <v/>
      </c>
      <c r="U442" s="8">
        <f>IF(OR(B442="",P442=""),"",IF(D442="Venda",-1,1)*((N(J442)*N(K442)+N(L442)*N(M442)+N(N442)*N(O442))-(N(J442)+N(L442)+N(N442))*F442)-N(Q442))</f>
        <v/>
      </c>
      <c r="V442" s="9">
        <f>IF(OR(B442="",P442=""),"",U442/S442)</f>
        <v/>
      </c>
      <c r="W442">
        <f>IF(OR(B442="",P442=""),"",NETWORKDAYS(C442,P442)-1)</f>
        <v/>
      </c>
      <c r="X442">
        <f>IF(B442="","",IF(P442="","Aberto","Fechado"))</f>
        <v/>
      </c>
    </row>
    <row r="443">
      <c r="C443" s="6" t="n"/>
      <c r="E443" s="7" t="n"/>
      <c r="F443" s="8" t="n"/>
      <c r="G443" s="8" t="n"/>
      <c r="H443" s="8" t="n"/>
      <c r="J443" s="7" t="n"/>
      <c r="K443" s="8" t="n"/>
      <c r="L443" s="7" t="n"/>
      <c r="M443" s="8" t="n"/>
      <c r="N443" s="7" t="n"/>
      <c r="O443" s="8" t="n"/>
      <c r="P443" s="6" t="n"/>
      <c r="Q443" s="8" t="n"/>
      <c r="S443" s="8">
        <f>IF(B443="","",E443*F443)</f>
        <v/>
      </c>
      <c r="T443" s="8">
        <f>IF(OR(B443="",N(G443)=0),"",ABS(F443-G443)*E443)</f>
        <v/>
      </c>
      <c r="U443" s="8">
        <f>IF(OR(B443="",P443=""),"",IF(D443="Venda",-1,1)*((N(J443)*N(K443)+N(L443)*N(M443)+N(N443)*N(O443))-(N(J443)+N(L443)+N(N443))*F443)-N(Q443))</f>
        <v/>
      </c>
      <c r="V443" s="9">
        <f>IF(OR(B443="",P443=""),"",U443/S443)</f>
        <v/>
      </c>
      <c r="W443">
        <f>IF(OR(B443="",P443=""),"",NETWORKDAYS(C443,P443)-1)</f>
        <v/>
      </c>
      <c r="X443">
        <f>IF(B443="","",IF(P443="","Aberto","Fechado"))</f>
        <v/>
      </c>
    </row>
    <row r="444">
      <c r="C444" s="6" t="n"/>
      <c r="E444" s="7" t="n"/>
      <c r="F444" s="8" t="n"/>
      <c r="G444" s="8" t="n"/>
      <c r="H444" s="8" t="n"/>
      <c r="J444" s="7" t="n"/>
      <c r="K444" s="8" t="n"/>
      <c r="L444" s="7" t="n"/>
      <c r="M444" s="8" t="n"/>
      <c r="N444" s="7" t="n"/>
      <c r="O444" s="8" t="n"/>
      <c r="P444" s="6" t="n"/>
      <c r="Q444" s="8" t="n"/>
      <c r="S444" s="8">
        <f>IF(B444="","",E444*F444)</f>
        <v/>
      </c>
      <c r="T444" s="8">
        <f>IF(OR(B444="",N(G444)=0),"",ABS(F444-G444)*E444)</f>
        <v/>
      </c>
      <c r="U444" s="8">
        <f>IF(OR(B444="",P444=""),"",IF(D444="Venda",-1,1)*((N(J444)*N(K444)+N(L444)*N(M444)+N(N444)*N(O444))-(N(J444)+N(L444)+N(N444))*F444)-N(Q444))</f>
        <v/>
      </c>
      <c r="V444" s="9">
        <f>IF(OR(B444="",P444=""),"",U444/S444)</f>
        <v/>
      </c>
      <c r="W444">
        <f>IF(OR(B444="",P444=""),"",NETWORKDAYS(C444,P444)-1)</f>
        <v/>
      </c>
      <c r="X444">
        <f>IF(B444="","",IF(P444="","Aberto","Fechado"))</f>
        <v/>
      </c>
    </row>
    <row r="445">
      <c r="C445" s="6" t="n"/>
      <c r="E445" s="7" t="n"/>
      <c r="F445" s="8" t="n"/>
      <c r="G445" s="8" t="n"/>
      <c r="H445" s="8" t="n"/>
      <c r="J445" s="7" t="n"/>
      <c r="K445" s="8" t="n"/>
      <c r="L445" s="7" t="n"/>
      <c r="M445" s="8" t="n"/>
      <c r="N445" s="7" t="n"/>
      <c r="O445" s="8" t="n"/>
      <c r="P445" s="6" t="n"/>
      <c r="Q445" s="8" t="n"/>
      <c r="S445" s="8">
        <f>IF(B445="","",E445*F445)</f>
        <v/>
      </c>
      <c r="T445" s="8">
        <f>IF(OR(B445="",N(G445)=0),"",ABS(F445-G445)*E445)</f>
        <v/>
      </c>
      <c r="U445" s="8">
        <f>IF(OR(B445="",P445=""),"",IF(D445="Venda",-1,1)*((N(J445)*N(K445)+N(L445)*N(M445)+N(N445)*N(O445))-(N(J445)+N(L445)+N(N445))*F445)-N(Q445))</f>
        <v/>
      </c>
      <c r="V445" s="9">
        <f>IF(OR(B445="",P445=""),"",U445/S445)</f>
        <v/>
      </c>
      <c r="W445">
        <f>IF(OR(B445="",P445=""),"",NETWORKDAYS(C445,P445)-1)</f>
        <v/>
      </c>
      <c r="X445">
        <f>IF(B445="","",IF(P445="","Aberto","Fechado"))</f>
        <v/>
      </c>
    </row>
    <row r="446">
      <c r="C446" s="6" t="n"/>
      <c r="E446" s="7" t="n"/>
      <c r="F446" s="8" t="n"/>
      <c r="G446" s="8" t="n"/>
      <c r="H446" s="8" t="n"/>
      <c r="J446" s="7" t="n"/>
      <c r="K446" s="8" t="n"/>
      <c r="L446" s="7" t="n"/>
      <c r="M446" s="8" t="n"/>
      <c r="N446" s="7" t="n"/>
      <c r="O446" s="8" t="n"/>
      <c r="P446" s="6" t="n"/>
      <c r="Q446" s="8" t="n"/>
      <c r="S446" s="8">
        <f>IF(B446="","",E446*F446)</f>
        <v/>
      </c>
      <c r="T446" s="8">
        <f>IF(OR(B446="",N(G446)=0),"",ABS(F446-G446)*E446)</f>
        <v/>
      </c>
      <c r="U446" s="8">
        <f>IF(OR(B446="",P446=""),"",IF(D446="Venda",-1,1)*((N(J446)*N(K446)+N(L446)*N(M446)+N(N446)*N(O446))-(N(J446)+N(L446)+N(N446))*F446)-N(Q446))</f>
        <v/>
      </c>
      <c r="V446" s="9">
        <f>IF(OR(B446="",P446=""),"",U446/S446)</f>
        <v/>
      </c>
      <c r="W446">
        <f>IF(OR(B446="",P446=""),"",NETWORKDAYS(C446,P446)-1)</f>
        <v/>
      </c>
      <c r="X446">
        <f>IF(B446="","",IF(P446="","Aberto","Fechado"))</f>
        <v/>
      </c>
    </row>
    <row r="447">
      <c r="C447" s="6" t="n"/>
      <c r="E447" s="7" t="n"/>
      <c r="F447" s="8" t="n"/>
      <c r="G447" s="8" t="n"/>
      <c r="H447" s="8" t="n"/>
      <c r="J447" s="7" t="n"/>
      <c r="K447" s="8" t="n"/>
      <c r="L447" s="7" t="n"/>
      <c r="M447" s="8" t="n"/>
      <c r="N447" s="7" t="n"/>
      <c r="O447" s="8" t="n"/>
      <c r="P447" s="6" t="n"/>
      <c r="Q447" s="8" t="n"/>
      <c r="S447" s="8">
        <f>IF(B447="","",E447*F447)</f>
        <v/>
      </c>
      <c r="T447" s="8">
        <f>IF(OR(B447="",N(G447)=0),"",ABS(F447-G447)*E447)</f>
        <v/>
      </c>
      <c r="U447" s="8">
        <f>IF(OR(B447="",P447=""),"",IF(D447="Venda",-1,1)*((N(J447)*N(K447)+N(L447)*N(M447)+N(N447)*N(O447))-(N(J447)+N(L447)+N(N447))*F447)-N(Q447))</f>
        <v/>
      </c>
      <c r="V447" s="9">
        <f>IF(OR(B447="",P447=""),"",U447/S447)</f>
        <v/>
      </c>
      <c r="W447">
        <f>IF(OR(B447="",P447=""),"",NETWORKDAYS(C447,P447)-1)</f>
        <v/>
      </c>
      <c r="X447">
        <f>IF(B447="","",IF(P447="","Aberto","Fechado"))</f>
        <v/>
      </c>
    </row>
    <row r="448">
      <c r="C448" s="6" t="n"/>
      <c r="E448" s="7" t="n"/>
      <c r="F448" s="8" t="n"/>
      <c r="G448" s="8" t="n"/>
      <c r="H448" s="8" t="n"/>
      <c r="J448" s="7" t="n"/>
      <c r="K448" s="8" t="n"/>
      <c r="L448" s="7" t="n"/>
      <c r="M448" s="8" t="n"/>
      <c r="N448" s="7" t="n"/>
      <c r="O448" s="8" t="n"/>
      <c r="P448" s="6" t="n"/>
      <c r="Q448" s="8" t="n"/>
      <c r="S448" s="8">
        <f>IF(B448="","",E448*F448)</f>
        <v/>
      </c>
      <c r="T448" s="8">
        <f>IF(OR(B448="",N(G448)=0),"",ABS(F448-G448)*E448)</f>
        <v/>
      </c>
      <c r="U448" s="8">
        <f>IF(OR(B448="",P448=""),"",IF(D448="Venda",-1,1)*((N(J448)*N(K448)+N(L448)*N(M448)+N(N448)*N(O448))-(N(J448)+N(L448)+N(N448))*F448)-N(Q448))</f>
        <v/>
      </c>
      <c r="V448" s="9">
        <f>IF(OR(B448="",P448=""),"",U448/S448)</f>
        <v/>
      </c>
      <c r="W448">
        <f>IF(OR(B448="",P448=""),"",NETWORKDAYS(C448,P448)-1)</f>
        <v/>
      </c>
      <c r="X448">
        <f>IF(B448="","",IF(P448="","Aberto","Fechado"))</f>
        <v/>
      </c>
    </row>
    <row r="449">
      <c r="C449" s="6" t="n"/>
      <c r="E449" s="7" t="n"/>
      <c r="F449" s="8" t="n"/>
      <c r="G449" s="8" t="n"/>
      <c r="H449" s="8" t="n"/>
      <c r="J449" s="7" t="n"/>
      <c r="K449" s="8" t="n"/>
      <c r="L449" s="7" t="n"/>
      <c r="M449" s="8" t="n"/>
      <c r="N449" s="7" t="n"/>
      <c r="O449" s="8" t="n"/>
      <c r="P449" s="6" t="n"/>
      <c r="Q449" s="8" t="n"/>
      <c r="S449" s="8">
        <f>IF(B449="","",E449*F449)</f>
        <v/>
      </c>
      <c r="T449" s="8">
        <f>IF(OR(B449="",N(G449)=0),"",ABS(F449-G449)*E449)</f>
        <v/>
      </c>
      <c r="U449" s="8">
        <f>IF(OR(B449="",P449=""),"",IF(D449="Venda",-1,1)*((N(J449)*N(K449)+N(L449)*N(M449)+N(N449)*N(O449))-(N(J449)+N(L449)+N(N449))*F449)-N(Q449))</f>
        <v/>
      </c>
      <c r="V449" s="9">
        <f>IF(OR(B449="",P449=""),"",U449/S449)</f>
        <v/>
      </c>
      <c r="W449">
        <f>IF(OR(B449="",P449=""),"",NETWORKDAYS(C449,P449)-1)</f>
        <v/>
      </c>
      <c r="X449">
        <f>IF(B449="","",IF(P449="","Aberto","Fechado"))</f>
        <v/>
      </c>
    </row>
    <row r="450">
      <c r="C450" s="6" t="n"/>
      <c r="E450" s="7" t="n"/>
      <c r="F450" s="8" t="n"/>
      <c r="G450" s="8" t="n"/>
      <c r="H450" s="8" t="n"/>
      <c r="J450" s="7" t="n"/>
      <c r="K450" s="8" t="n"/>
      <c r="L450" s="7" t="n"/>
      <c r="M450" s="8" t="n"/>
      <c r="N450" s="7" t="n"/>
      <c r="O450" s="8" t="n"/>
      <c r="P450" s="6" t="n"/>
      <c r="Q450" s="8" t="n"/>
      <c r="S450" s="8">
        <f>IF(B450="","",E450*F450)</f>
        <v/>
      </c>
      <c r="T450" s="8">
        <f>IF(OR(B450="",N(G450)=0),"",ABS(F450-G450)*E450)</f>
        <v/>
      </c>
      <c r="U450" s="8">
        <f>IF(OR(B450="",P450=""),"",IF(D450="Venda",-1,1)*((N(J450)*N(K450)+N(L450)*N(M450)+N(N450)*N(O450))-(N(J450)+N(L450)+N(N450))*F450)-N(Q450))</f>
        <v/>
      </c>
      <c r="V450" s="9">
        <f>IF(OR(B450="",P450=""),"",U450/S450)</f>
        <v/>
      </c>
      <c r="W450">
        <f>IF(OR(B450="",P450=""),"",NETWORKDAYS(C450,P450)-1)</f>
        <v/>
      </c>
      <c r="X450">
        <f>IF(B450="","",IF(P450="","Aberto","Fechado"))</f>
        <v/>
      </c>
    </row>
    <row r="451">
      <c r="C451" s="6" t="n"/>
      <c r="E451" s="7" t="n"/>
      <c r="F451" s="8" t="n"/>
      <c r="G451" s="8" t="n"/>
      <c r="H451" s="8" t="n"/>
      <c r="J451" s="7" t="n"/>
      <c r="K451" s="8" t="n"/>
      <c r="L451" s="7" t="n"/>
      <c r="M451" s="8" t="n"/>
      <c r="N451" s="7" t="n"/>
      <c r="O451" s="8" t="n"/>
      <c r="P451" s="6" t="n"/>
      <c r="Q451" s="8" t="n"/>
      <c r="S451" s="8">
        <f>IF(B451="","",E451*F451)</f>
        <v/>
      </c>
      <c r="T451" s="8">
        <f>IF(OR(B451="",N(G451)=0),"",ABS(F451-G451)*E451)</f>
        <v/>
      </c>
      <c r="U451" s="8">
        <f>IF(OR(B451="",P451=""),"",IF(D451="Venda",-1,1)*((N(J451)*N(K451)+N(L451)*N(M451)+N(N451)*N(O451))-(N(J451)+N(L451)+N(N451))*F451)-N(Q451))</f>
        <v/>
      </c>
      <c r="V451" s="9">
        <f>IF(OR(B451="",P451=""),"",U451/S451)</f>
        <v/>
      </c>
      <c r="W451">
        <f>IF(OR(B451="",P451=""),"",NETWORKDAYS(C451,P451)-1)</f>
        <v/>
      </c>
      <c r="X451">
        <f>IF(B451="","",IF(P451="","Aberto","Fechado"))</f>
        <v/>
      </c>
    </row>
    <row r="452">
      <c r="C452" s="6" t="n"/>
      <c r="E452" s="7" t="n"/>
      <c r="F452" s="8" t="n"/>
      <c r="G452" s="8" t="n"/>
      <c r="H452" s="8" t="n"/>
      <c r="J452" s="7" t="n"/>
      <c r="K452" s="8" t="n"/>
      <c r="L452" s="7" t="n"/>
      <c r="M452" s="8" t="n"/>
      <c r="N452" s="7" t="n"/>
      <c r="O452" s="8" t="n"/>
      <c r="P452" s="6" t="n"/>
      <c r="Q452" s="8" t="n"/>
      <c r="S452" s="8">
        <f>IF(B452="","",E452*F452)</f>
        <v/>
      </c>
      <c r="T452" s="8">
        <f>IF(OR(B452="",N(G452)=0),"",ABS(F452-G452)*E452)</f>
        <v/>
      </c>
      <c r="U452" s="8">
        <f>IF(OR(B452="",P452=""),"",IF(D452="Venda",-1,1)*((N(J452)*N(K452)+N(L452)*N(M452)+N(N452)*N(O452))-(N(J452)+N(L452)+N(N452))*F452)-N(Q452))</f>
        <v/>
      </c>
      <c r="V452" s="9">
        <f>IF(OR(B452="",P452=""),"",U452/S452)</f>
        <v/>
      </c>
      <c r="W452">
        <f>IF(OR(B452="",P452=""),"",NETWORKDAYS(C452,P452)-1)</f>
        <v/>
      </c>
      <c r="X452">
        <f>IF(B452="","",IF(P452="","Aberto","Fechado"))</f>
        <v/>
      </c>
    </row>
    <row r="453">
      <c r="C453" s="6" t="n"/>
      <c r="E453" s="7" t="n"/>
      <c r="F453" s="8" t="n"/>
      <c r="G453" s="8" t="n"/>
      <c r="H453" s="8" t="n"/>
      <c r="J453" s="7" t="n"/>
      <c r="K453" s="8" t="n"/>
      <c r="L453" s="7" t="n"/>
      <c r="M453" s="8" t="n"/>
      <c r="N453" s="7" t="n"/>
      <c r="O453" s="8" t="n"/>
      <c r="P453" s="6" t="n"/>
      <c r="Q453" s="8" t="n"/>
      <c r="S453" s="8">
        <f>IF(B453="","",E453*F453)</f>
        <v/>
      </c>
      <c r="T453" s="8">
        <f>IF(OR(B453="",N(G453)=0),"",ABS(F453-G453)*E453)</f>
        <v/>
      </c>
      <c r="U453" s="8">
        <f>IF(OR(B453="",P453=""),"",IF(D453="Venda",-1,1)*((N(J453)*N(K453)+N(L453)*N(M453)+N(N453)*N(O453))-(N(J453)+N(L453)+N(N453))*F453)-N(Q453))</f>
        <v/>
      </c>
      <c r="V453" s="9">
        <f>IF(OR(B453="",P453=""),"",U453/S453)</f>
        <v/>
      </c>
      <c r="W453">
        <f>IF(OR(B453="",P453=""),"",NETWORKDAYS(C453,P453)-1)</f>
        <v/>
      </c>
      <c r="X453">
        <f>IF(B453="","",IF(P453="","Aberto","Fechado"))</f>
        <v/>
      </c>
    </row>
    <row r="454">
      <c r="C454" s="6" t="n"/>
      <c r="E454" s="7" t="n"/>
      <c r="F454" s="8" t="n"/>
      <c r="G454" s="8" t="n"/>
      <c r="H454" s="8" t="n"/>
      <c r="J454" s="7" t="n"/>
      <c r="K454" s="8" t="n"/>
      <c r="L454" s="7" t="n"/>
      <c r="M454" s="8" t="n"/>
      <c r="N454" s="7" t="n"/>
      <c r="O454" s="8" t="n"/>
      <c r="P454" s="6" t="n"/>
      <c r="Q454" s="8" t="n"/>
      <c r="S454" s="8">
        <f>IF(B454="","",E454*F454)</f>
        <v/>
      </c>
      <c r="T454" s="8">
        <f>IF(OR(B454="",N(G454)=0),"",ABS(F454-G454)*E454)</f>
        <v/>
      </c>
      <c r="U454" s="8">
        <f>IF(OR(B454="",P454=""),"",IF(D454="Venda",-1,1)*((N(J454)*N(K454)+N(L454)*N(M454)+N(N454)*N(O454))-(N(J454)+N(L454)+N(N454))*F454)-N(Q454))</f>
        <v/>
      </c>
      <c r="V454" s="9">
        <f>IF(OR(B454="",P454=""),"",U454/S454)</f>
        <v/>
      </c>
      <c r="W454">
        <f>IF(OR(B454="",P454=""),"",NETWORKDAYS(C454,P454)-1)</f>
        <v/>
      </c>
      <c r="X454">
        <f>IF(B454="","",IF(P454="","Aberto","Fechado"))</f>
        <v/>
      </c>
    </row>
    <row r="455">
      <c r="C455" s="6" t="n"/>
      <c r="E455" s="7" t="n"/>
      <c r="F455" s="8" t="n"/>
      <c r="G455" s="8" t="n"/>
      <c r="H455" s="8" t="n"/>
      <c r="J455" s="7" t="n"/>
      <c r="K455" s="8" t="n"/>
      <c r="L455" s="7" t="n"/>
      <c r="M455" s="8" t="n"/>
      <c r="N455" s="7" t="n"/>
      <c r="O455" s="8" t="n"/>
      <c r="P455" s="6" t="n"/>
      <c r="Q455" s="8" t="n"/>
      <c r="S455" s="8">
        <f>IF(B455="","",E455*F455)</f>
        <v/>
      </c>
      <c r="T455" s="8">
        <f>IF(OR(B455="",N(G455)=0),"",ABS(F455-G455)*E455)</f>
        <v/>
      </c>
      <c r="U455" s="8">
        <f>IF(OR(B455="",P455=""),"",IF(D455="Venda",-1,1)*((N(J455)*N(K455)+N(L455)*N(M455)+N(N455)*N(O455))-(N(J455)+N(L455)+N(N455))*F455)-N(Q455))</f>
        <v/>
      </c>
      <c r="V455" s="9">
        <f>IF(OR(B455="",P455=""),"",U455/S455)</f>
        <v/>
      </c>
      <c r="W455">
        <f>IF(OR(B455="",P455=""),"",NETWORKDAYS(C455,P455)-1)</f>
        <v/>
      </c>
      <c r="X455">
        <f>IF(B455="","",IF(P455="","Aberto","Fechado"))</f>
        <v/>
      </c>
    </row>
    <row r="456">
      <c r="C456" s="6" t="n"/>
      <c r="E456" s="7" t="n"/>
      <c r="F456" s="8" t="n"/>
      <c r="G456" s="8" t="n"/>
      <c r="H456" s="8" t="n"/>
      <c r="J456" s="7" t="n"/>
      <c r="K456" s="8" t="n"/>
      <c r="L456" s="7" t="n"/>
      <c r="M456" s="8" t="n"/>
      <c r="N456" s="7" t="n"/>
      <c r="O456" s="8" t="n"/>
      <c r="P456" s="6" t="n"/>
      <c r="Q456" s="8" t="n"/>
      <c r="S456" s="8">
        <f>IF(B456="","",E456*F456)</f>
        <v/>
      </c>
      <c r="T456" s="8">
        <f>IF(OR(B456="",N(G456)=0),"",ABS(F456-G456)*E456)</f>
        <v/>
      </c>
      <c r="U456" s="8">
        <f>IF(OR(B456="",P456=""),"",IF(D456="Venda",-1,1)*((N(J456)*N(K456)+N(L456)*N(M456)+N(N456)*N(O456))-(N(J456)+N(L456)+N(N456))*F456)-N(Q456))</f>
        <v/>
      </c>
      <c r="V456" s="9">
        <f>IF(OR(B456="",P456=""),"",U456/S456)</f>
        <v/>
      </c>
      <c r="W456">
        <f>IF(OR(B456="",P456=""),"",NETWORKDAYS(C456,P456)-1)</f>
        <v/>
      </c>
      <c r="X456">
        <f>IF(B456="","",IF(P456="","Aberto","Fechado"))</f>
        <v/>
      </c>
    </row>
    <row r="457">
      <c r="C457" s="6" t="n"/>
      <c r="E457" s="7" t="n"/>
      <c r="F457" s="8" t="n"/>
      <c r="G457" s="8" t="n"/>
      <c r="H457" s="8" t="n"/>
      <c r="J457" s="7" t="n"/>
      <c r="K457" s="8" t="n"/>
      <c r="L457" s="7" t="n"/>
      <c r="M457" s="8" t="n"/>
      <c r="N457" s="7" t="n"/>
      <c r="O457" s="8" t="n"/>
      <c r="P457" s="6" t="n"/>
      <c r="Q457" s="8" t="n"/>
      <c r="S457" s="8">
        <f>IF(B457="","",E457*F457)</f>
        <v/>
      </c>
      <c r="T457" s="8">
        <f>IF(OR(B457="",N(G457)=0),"",ABS(F457-G457)*E457)</f>
        <v/>
      </c>
      <c r="U457" s="8">
        <f>IF(OR(B457="",P457=""),"",IF(D457="Venda",-1,1)*((N(J457)*N(K457)+N(L457)*N(M457)+N(N457)*N(O457))-(N(J457)+N(L457)+N(N457))*F457)-N(Q457))</f>
        <v/>
      </c>
      <c r="V457" s="9">
        <f>IF(OR(B457="",P457=""),"",U457/S457)</f>
        <v/>
      </c>
      <c r="W457">
        <f>IF(OR(B457="",P457=""),"",NETWORKDAYS(C457,P457)-1)</f>
        <v/>
      </c>
      <c r="X457">
        <f>IF(B457="","",IF(P457="","Aberto","Fechado"))</f>
        <v/>
      </c>
    </row>
    <row r="458">
      <c r="C458" s="6" t="n"/>
      <c r="E458" s="7" t="n"/>
      <c r="F458" s="8" t="n"/>
      <c r="G458" s="8" t="n"/>
      <c r="H458" s="8" t="n"/>
      <c r="J458" s="7" t="n"/>
      <c r="K458" s="8" t="n"/>
      <c r="L458" s="7" t="n"/>
      <c r="M458" s="8" t="n"/>
      <c r="N458" s="7" t="n"/>
      <c r="O458" s="8" t="n"/>
      <c r="P458" s="6" t="n"/>
      <c r="Q458" s="8" t="n"/>
      <c r="S458" s="8">
        <f>IF(B458="","",E458*F458)</f>
        <v/>
      </c>
      <c r="T458" s="8">
        <f>IF(OR(B458="",N(G458)=0),"",ABS(F458-G458)*E458)</f>
        <v/>
      </c>
      <c r="U458" s="8">
        <f>IF(OR(B458="",P458=""),"",IF(D458="Venda",-1,1)*((N(J458)*N(K458)+N(L458)*N(M458)+N(N458)*N(O458))-(N(J458)+N(L458)+N(N458))*F458)-N(Q458))</f>
        <v/>
      </c>
      <c r="V458" s="9">
        <f>IF(OR(B458="",P458=""),"",U458/S458)</f>
        <v/>
      </c>
      <c r="W458">
        <f>IF(OR(B458="",P458=""),"",NETWORKDAYS(C458,P458)-1)</f>
        <v/>
      </c>
      <c r="X458">
        <f>IF(B458="","",IF(P458="","Aberto","Fechado"))</f>
        <v/>
      </c>
    </row>
    <row r="459">
      <c r="C459" s="6" t="n"/>
      <c r="E459" s="7" t="n"/>
      <c r="F459" s="8" t="n"/>
      <c r="G459" s="8" t="n"/>
      <c r="H459" s="8" t="n"/>
      <c r="J459" s="7" t="n"/>
      <c r="K459" s="8" t="n"/>
      <c r="L459" s="7" t="n"/>
      <c r="M459" s="8" t="n"/>
      <c r="N459" s="7" t="n"/>
      <c r="O459" s="8" t="n"/>
      <c r="P459" s="6" t="n"/>
      <c r="Q459" s="8" t="n"/>
      <c r="S459" s="8">
        <f>IF(B459="","",E459*F459)</f>
        <v/>
      </c>
      <c r="T459" s="8">
        <f>IF(OR(B459="",N(G459)=0),"",ABS(F459-G459)*E459)</f>
        <v/>
      </c>
      <c r="U459" s="8">
        <f>IF(OR(B459="",P459=""),"",IF(D459="Venda",-1,1)*((N(J459)*N(K459)+N(L459)*N(M459)+N(N459)*N(O459))-(N(J459)+N(L459)+N(N459))*F459)-N(Q459))</f>
        <v/>
      </c>
      <c r="V459" s="9">
        <f>IF(OR(B459="",P459=""),"",U459/S459)</f>
        <v/>
      </c>
      <c r="W459">
        <f>IF(OR(B459="",P459=""),"",NETWORKDAYS(C459,P459)-1)</f>
        <v/>
      </c>
      <c r="X459">
        <f>IF(B459="","",IF(P459="","Aberto","Fechado"))</f>
        <v/>
      </c>
    </row>
    <row r="460">
      <c r="C460" s="6" t="n"/>
      <c r="E460" s="7" t="n"/>
      <c r="F460" s="8" t="n"/>
      <c r="G460" s="8" t="n"/>
      <c r="H460" s="8" t="n"/>
      <c r="J460" s="7" t="n"/>
      <c r="K460" s="8" t="n"/>
      <c r="L460" s="7" t="n"/>
      <c r="M460" s="8" t="n"/>
      <c r="N460" s="7" t="n"/>
      <c r="O460" s="8" t="n"/>
      <c r="P460" s="6" t="n"/>
      <c r="Q460" s="8" t="n"/>
      <c r="S460" s="8">
        <f>IF(B460="","",E460*F460)</f>
        <v/>
      </c>
      <c r="T460" s="8">
        <f>IF(OR(B460="",N(G460)=0),"",ABS(F460-G460)*E460)</f>
        <v/>
      </c>
      <c r="U460" s="8">
        <f>IF(OR(B460="",P460=""),"",IF(D460="Venda",-1,1)*((N(J460)*N(K460)+N(L460)*N(M460)+N(N460)*N(O460))-(N(J460)+N(L460)+N(N460))*F460)-N(Q460))</f>
        <v/>
      </c>
      <c r="V460" s="9">
        <f>IF(OR(B460="",P460=""),"",U460/S460)</f>
        <v/>
      </c>
      <c r="W460">
        <f>IF(OR(B460="",P460=""),"",NETWORKDAYS(C460,P460)-1)</f>
        <v/>
      </c>
      <c r="X460">
        <f>IF(B460="","",IF(P460="","Aberto","Fechado"))</f>
        <v/>
      </c>
    </row>
    <row r="461">
      <c r="C461" s="6" t="n"/>
      <c r="E461" s="7" t="n"/>
      <c r="F461" s="8" t="n"/>
      <c r="G461" s="8" t="n"/>
      <c r="H461" s="8" t="n"/>
      <c r="J461" s="7" t="n"/>
      <c r="K461" s="8" t="n"/>
      <c r="L461" s="7" t="n"/>
      <c r="M461" s="8" t="n"/>
      <c r="N461" s="7" t="n"/>
      <c r="O461" s="8" t="n"/>
      <c r="P461" s="6" t="n"/>
      <c r="Q461" s="8" t="n"/>
      <c r="S461" s="8">
        <f>IF(B461="","",E461*F461)</f>
        <v/>
      </c>
      <c r="T461" s="8">
        <f>IF(OR(B461="",N(G461)=0),"",ABS(F461-G461)*E461)</f>
        <v/>
      </c>
      <c r="U461" s="8">
        <f>IF(OR(B461="",P461=""),"",IF(D461="Venda",-1,1)*((N(J461)*N(K461)+N(L461)*N(M461)+N(N461)*N(O461))-(N(J461)+N(L461)+N(N461))*F461)-N(Q461))</f>
        <v/>
      </c>
      <c r="V461" s="9">
        <f>IF(OR(B461="",P461=""),"",U461/S461)</f>
        <v/>
      </c>
      <c r="W461">
        <f>IF(OR(B461="",P461=""),"",NETWORKDAYS(C461,P461)-1)</f>
        <v/>
      </c>
      <c r="X461">
        <f>IF(B461="","",IF(P461="","Aberto","Fechado"))</f>
        <v/>
      </c>
    </row>
    <row r="462">
      <c r="C462" s="6" t="n"/>
      <c r="E462" s="7" t="n"/>
      <c r="F462" s="8" t="n"/>
      <c r="G462" s="8" t="n"/>
      <c r="H462" s="8" t="n"/>
      <c r="J462" s="7" t="n"/>
      <c r="K462" s="8" t="n"/>
      <c r="L462" s="7" t="n"/>
      <c r="M462" s="8" t="n"/>
      <c r="N462" s="7" t="n"/>
      <c r="O462" s="8" t="n"/>
      <c r="P462" s="6" t="n"/>
      <c r="Q462" s="8" t="n"/>
      <c r="S462" s="8">
        <f>IF(B462="","",E462*F462)</f>
        <v/>
      </c>
      <c r="T462" s="8">
        <f>IF(OR(B462="",N(G462)=0),"",ABS(F462-G462)*E462)</f>
        <v/>
      </c>
      <c r="U462" s="8">
        <f>IF(OR(B462="",P462=""),"",IF(D462="Venda",-1,1)*((N(J462)*N(K462)+N(L462)*N(M462)+N(N462)*N(O462))-(N(J462)+N(L462)+N(N462))*F462)-N(Q462))</f>
        <v/>
      </c>
      <c r="V462" s="9">
        <f>IF(OR(B462="",P462=""),"",U462/S462)</f>
        <v/>
      </c>
      <c r="W462">
        <f>IF(OR(B462="",P462=""),"",NETWORKDAYS(C462,P462)-1)</f>
        <v/>
      </c>
      <c r="X462">
        <f>IF(B462="","",IF(P462="","Aberto","Fechado"))</f>
        <v/>
      </c>
    </row>
    <row r="463">
      <c r="C463" s="6" t="n"/>
      <c r="E463" s="7" t="n"/>
      <c r="F463" s="8" t="n"/>
      <c r="G463" s="8" t="n"/>
      <c r="H463" s="8" t="n"/>
      <c r="J463" s="7" t="n"/>
      <c r="K463" s="8" t="n"/>
      <c r="L463" s="7" t="n"/>
      <c r="M463" s="8" t="n"/>
      <c r="N463" s="7" t="n"/>
      <c r="O463" s="8" t="n"/>
      <c r="P463" s="6" t="n"/>
      <c r="Q463" s="8" t="n"/>
      <c r="S463" s="8">
        <f>IF(B463="","",E463*F463)</f>
        <v/>
      </c>
      <c r="T463" s="8">
        <f>IF(OR(B463="",N(G463)=0),"",ABS(F463-G463)*E463)</f>
        <v/>
      </c>
      <c r="U463" s="8">
        <f>IF(OR(B463="",P463=""),"",IF(D463="Venda",-1,1)*((N(J463)*N(K463)+N(L463)*N(M463)+N(N463)*N(O463))-(N(J463)+N(L463)+N(N463))*F463)-N(Q463))</f>
        <v/>
      </c>
      <c r="V463" s="9">
        <f>IF(OR(B463="",P463=""),"",U463/S463)</f>
        <v/>
      </c>
      <c r="W463">
        <f>IF(OR(B463="",P463=""),"",NETWORKDAYS(C463,P463)-1)</f>
        <v/>
      </c>
      <c r="X463">
        <f>IF(B463="","",IF(P463="","Aberto","Fechado"))</f>
        <v/>
      </c>
    </row>
    <row r="464">
      <c r="C464" s="6" t="n"/>
      <c r="E464" s="7" t="n"/>
      <c r="F464" s="8" t="n"/>
      <c r="G464" s="8" t="n"/>
      <c r="H464" s="8" t="n"/>
      <c r="J464" s="7" t="n"/>
      <c r="K464" s="8" t="n"/>
      <c r="L464" s="7" t="n"/>
      <c r="M464" s="8" t="n"/>
      <c r="N464" s="7" t="n"/>
      <c r="O464" s="8" t="n"/>
      <c r="P464" s="6" t="n"/>
      <c r="Q464" s="8" t="n"/>
      <c r="S464" s="8">
        <f>IF(B464="","",E464*F464)</f>
        <v/>
      </c>
      <c r="T464" s="8">
        <f>IF(OR(B464="",N(G464)=0),"",ABS(F464-G464)*E464)</f>
        <v/>
      </c>
      <c r="U464" s="8">
        <f>IF(OR(B464="",P464=""),"",IF(D464="Venda",-1,1)*((N(J464)*N(K464)+N(L464)*N(M464)+N(N464)*N(O464))-(N(J464)+N(L464)+N(N464))*F464)-N(Q464))</f>
        <v/>
      </c>
      <c r="V464" s="9">
        <f>IF(OR(B464="",P464=""),"",U464/S464)</f>
        <v/>
      </c>
      <c r="W464">
        <f>IF(OR(B464="",P464=""),"",NETWORKDAYS(C464,P464)-1)</f>
        <v/>
      </c>
      <c r="X464">
        <f>IF(B464="","",IF(P464="","Aberto","Fechado"))</f>
        <v/>
      </c>
    </row>
    <row r="465">
      <c r="C465" s="6" t="n"/>
      <c r="E465" s="7" t="n"/>
      <c r="F465" s="8" t="n"/>
      <c r="G465" s="8" t="n"/>
      <c r="H465" s="8" t="n"/>
      <c r="J465" s="7" t="n"/>
      <c r="K465" s="8" t="n"/>
      <c r="L465" s="7" t="n"/>
      <c r="M465" s="8" t="n"/>
      <c r="N465" s="7" t="n"/>
      <c r="O465" s="8" t="n"/>
      <c r="P465" s="6" t="n"/>
      <c r="Q465" s="8" t="n"/>
      <c r="S465" s="8">
        <f>IF(B465="","",E465*F465)</f>
        <v/>
      </c>
      <c r="T465" s="8">
        <f>IF(OR(B465="",N(G465)=0),"",ABS(F465-G465)*E465)</f>
        <v/>
      </c>
      <c r="U465" s="8">
        <f>IF(OR(B465="",P465=""),"",IF(D465="Venda",-1,1)*((N(J465)*N(K465)+N(L465)*N(M465)+N(N465)*N(O465))-(N(J465)+N(L465)+N(N465))*F465)-N(Q465))</f>
        <v/>
      </c>
      <c r="V465" s="9">
        <f>IF(OR(B465="",P465=""),"",U465/S465)</f>
        <v/>
      </c>
      <c r="W465">
        <f>IF(OR(B465="",P465=""),"",NETWORKDAYS(C465,P465)-1)</f>
        <v/>
      </c>
      <c r="X465">
        <f>IF(B465="","",IF(P465="","Aberto","Fechado"))</f>
        <v/>
      </c>
    </row>
    <row r="466">
      <c r="C466" s="6" t="n"/>
      <c r="E466" s="7" t="n"/>
      <c r="F466" s="8" t="n"/>
      <c r="G466" s="8" t="n"/>
      <c r="H466" s="8" t="n"/>
      <c r="J466" s="7" t="n"/>
      <c r="K466" s="8" t="n"/>
      <c r="L466" s="7" t="n"/>
      <c r="M466" s="8" t="n"/>
      <c r="N466" s="7" t="n"/>
      <c r="O466" s="8" t="n"/>
      <c r="P466" s="6" t="n"/>
      <c r="Q466" s="8" t="n"/>
      <c r="S466" s="8">
        <f>IF(B466="","",E466*F466)</f>
        <v/>
      </c>
      <c r="T466" s="8">
        <f>IF(OR(B466="",N(G466)=0),"",ABS(F466-G466)*E466)</f>
        <v/>
      </c>
      <c r="U466" s="8">
        <f>IF(OR(B466="",P466=""),"",IF(D466="Venda",-1,1)*((N(J466)*N(K466)+N(L466)*N(M466)+N(N466)*N(O466))-(N(J466)+N(L466)+N(N466))*F466)-N(Q466))</f>
        <v/>
      </c>
      <c r="V466" s="9">
        <f>IF(OR(B466="",P466=""),"",U466/S466)</f>
        <v/>
      </c>
      <c r="W466">
        <f>IF(OR(B466="",P466=""),"",NETWORKDAYS(C466,P466)-1)</f>
        <v/>
      </c>
      <c r="X466">
        <f>IF(B466="","",IF(P466="","Aberto","Fechado"))</f>
        <v/>
      </c>
    </row>
    <row r="467">
      <c r="C467" s="6" t="n"/>
      <c r="E467" s="7" t="n"/>
      <c r="F467" s="8" t="n"/>
      <c r="G467" s="8" t="n"/>
      <c r="H467" s="8" t="n"/>
      <c r="J467" s="7" t="n"/>
      <c r="K467" s="8" t="n"/>
      <c r="L467" s="7" t="n"/>
      <c r="M467" s="8" t="n"/>
      <c r="N467" s="7" t="n"/>
      <c r="O467" s="8" t="n"/>
      <c r="P467" s="6" t="n"/>
      <c r="Q467" s="8" t="n"/>
      <c r="S467" s="8">
        <f>IF(B467="","",E467*F467)</f>
        <v/>
      </c>
      <c r="T467" s="8">
        <f>IF(OR(B467="",N(G467)=0),"",ABS(F467-G467)*E467)</f>
        <v/>
      </c>
      <c r="U467" s="8">
        <f>IF(OR(B467="",P467=""),"",IF(D467="Venda",-1,1)*((N(J467)*N(K467)+N(L467)*N(M467)+N(N467)*N(O467))-(N(J467)+N(L467)+N(N467))*F467)-N(Q467))</f>
        <v/>
      </c>
      <c r="V467" s="9">
        <f>IF(OR(B467="",P467=""),"",U467/S467)</f>
        <v/>
      </c>
      <c r="W467">
        <f>IF(OR(B467="",P467=""),"",NETWORKDAYS(C467,P467)-1)</f>
        <v/>
      </c>
      <c r="X467">
        <f>IF(B467="","",IF(P467="","Aberto","Fechado"))</f>
        <v/>
      </c>
    </row>
    <row r="468">
      <c r="C468" s="6" t="n"/>
      <c r="E468" s="7" t="n"/>
      <c r="F468" s="8" t="n"/>
      <c r="G468" s="8" t="n"/>
      <c r="H468" s="8" t="n"/>
      <c r="J468" s="7" t="n"/>
      <c r="K468" s="8" t="n"/>
      <c r="L468" s="7" t="n"/>
      <c r="M468" s="8" t="n"/>
      <c r="N468" s="7" t="n"/>
      <c r="O468" s="8" t="n"/>
      <c r="P468" s="6" t="n"/>
      <c r="Q468" s="8" t="n"/>
      <c r="S468" s="8">
        <f>IF(B468="","",E468*F468)</f>
        <v/>
      </c>
      <c r="T468" s="8">
        <f>IF(OR(B468="",N(G468)=0),"",ABS(F468-G468)*E468)</f>
        <v/>
      </c>
      <c r="U468" s="8">
        <f>IF(OR(B468="",P468=""),"",IF(D468="Venda",-1,1)*((N(J468)*N(K468)+N(L468)*N(M468)+N(N468)*N(O468))-(N(J468)+N(L468)+N(N468))*F468)-N(Q468))</f>
        <v/>
      </c>
      <c r="V468" s="9">
        <f>IF(OR(B468="",P468=""),"",U468/S468)</f>
        <v/>
      </c>
      <c r="W468">
        <f>IF(OR(B468="",P468=""),"",NETWORKDAYS(C468,P468)-1)</f>
        <v/>
      </c>
      <c r="X468">
        <f>IF(B468="","",IF(P468="","Aberto","Fechado"))</f>
        <v/>
      </c>
    </row>
    <row r="469">
      <c r="C469" s="6" t="n"/>
      <c r="E469" s="7" t="n"/>
      <c r="F469" s="8" t="n"/>
      <c r="G469" s="8" t="n"/>
      <c r="H469" s="8" t="n"/>
      <c r="J469" s="7" t="n"/>
      <c r="K469" s="8" t="n"/>
      <c r="L469" s="7" t="n"/>
      <c r="M469" s="8" t="n"/>
      <c r="N469" s="7" t="n"/>
      <c r="O469" s="8" t="n"/>
      <c r="P469" s="6" t="n"/>
      <c r="Q469" s="8" t="n"/>
      <c r="S469" s="8">
        <f>IF(B469="","",E469*F469)</f>
        <v/>
      </c>
      <c r="T469" s="8">
        <f>IF(OR(B469="",N(G469)=0),"",ABS(F469-G469)*E469)</f>
        <v/>
      </c>
      <c r="U469" s="8">
        <f>IF(OR(B469="",P469=""),"",IF(D469="Venda",-1,1)*((N(J469)*N(K469)+N(L469)*N(M469)+N(N469)*N(O469))-(N(J469)+N(L469)+N(N469))*F469)-N(Q469))</f>
        <v/>
      </c>
      <c r="V469" s="9">
        <f>IF(OR(B469="",P469=""),"",U469/S469)</f>
        <v/>
      </c>
      <c r="W469">
        <f>IF(OR(B469="",P469=""),"",NETWORKDAYS(C469,P469)-1)</f>
        <v/>
      </c>
      <c r="X469">
        <f>IF(B469="","",IF(P469="","Aberto","Fechado"))</f>
        <v/>
      </c>
    </row>
    <row r="470">
      <c r="C470" s="6" t="n"/>
      <c r="E470" s="7" t="n"/>
      <c r="F470" s="8" t="n"/>
      <c r="G470" s="8" t="n"/>
      <c r="H470" s="8" t="n"/>
      <c r="J470" s="7" t="n"/>
      <c r="K470" s="8" t="n"/>
      <c r="L470" s="7" t="n"/>
      <c r="M470" s="8" t="n"/>
      <c r="N470" s="7" t="n"/>
      <c r="O470" s="8" t="n"/>
      <c r="P470" s="6" t="n"/>
      <c r="Q470" s="8" t="n"/>
      <c r="S470" s="8">
        <f>IF(B470="","",E470*F470)</f>
        <v/>
      </c>
      <c r="T470" s="8">
        <f>IF(OR(B470="",N(G470)=0),"",ABS(F470-G470)*E470)</f>
        <v/>
      </c>
      <c r="U470" s="8">
        <f>IF(OR(B470="",P470=""),"",IF(D470="Venda",-1,1)*((N(J470)*N(K470)+N(L470)*N(M470)+N(N470)*N(O470))-(N(J470)+N(L470)+N(N470))*F470)-N(Q470))</f>
        <v/>
      </c>
      <c r="V470" s="9">
        <f>IF(OR(B470="",P470=""),"",U470/S470)</f>
        <v/>
      </c>
      <c r="W470">
        <f>IF(OR(B470="",P470=""),"",NETWORKDAYS(C470,P470)-1)</f>
        <v/>
      </c>
      <c r="X470">
        <f>IF(B470="","",IF(P470="","Aberto","Fechado"))</f>
        <v/>
      </c>
    </row>
    <row r="471">
      <c r="C471" s="6" t="n"/>
      <c r="E471" s="7" t="n"/>
      <c r="F471" s="8" t="n"/>
      <c r="G471" s="8" t="n"/>
      <c r="H471" s="8" t="n"/>
      <c r="J471" s="7" t="n"/>
      <c r="K471" s="8" t="n"/>
      <c r="L471" s="7" t="n"/>
      <c r="M471" s="8" t="n"/>
      <c r="N471" s="7" t="n"/>
      <c r="O471" s="8" t="n"/>
      <c r="P471" s="6" t="n"/>
      <c r="Q471" s="8" t="n"/>
      <c r="S471" s="8">
        <f>IF(B471="","",E471*F471)</f>
        <v/>
      </c>
      <c r="T471" s="8">
        <f>IF(OR(B471="",N(G471)=0),"",ABS(F471-G471)*E471)</f>
        <v/>
      </c>
      <c r="U471" s="8">
        <f>IF(OR(B471="",P471=""),"",IF(D471="Venda",-1,1)*((N(J471)*N(K471)+N(L471)*N(M471)+N(N471)*N(O471))-(N(J471)+N(L471)+N(N471))*F471)-N(Q471))</f>
        <v/>
      </c>
      <c r="V471" s="9">
        <f>IF(OR(B471="",P471=""),"",U471/S471)</f>
        <v/>
      </c>
      <c r="W471">
        <f>IF(OR(B471="",P471=""),"",NETWORKDAYS(C471,P471)-1)</f>
        <v/>
      </c>
      <c r="X471">
        <f>IF(B471="","",IF(P471="","Aberto","Fechado"))</f>
        <v/>
      </c>
    </row>
    <row r="472">
      <c r="C472" s="6" t="n"/>
      <c r="E472" s="7" t="n"/>
      <c r="F472" s="8" t="n"/>
      <c r="G472" s="8" t="n"/>
      <c r="H472" s="8" t="n"/>
      <c r="J472" s="7" t="n"/>
      <c r="K472" s="8" t="n"/>
      <c r="L472" s="7" t="n"/>
      <c r="M472" s="8" t="n"/>
      <c r="N472" s="7" t="n"/>
      <c r="O472" s="8" t="n"/>
      <c r="P472" s="6" t="n"/>
      <c r="Q472" s="8" t="n"/>
      <c r="S472" s="8">
        <f>IF(B472="","",E472*F472)</f>
        <v/>
      </c>
      <c r="T472" s="8">
        <f>IF(OR(B472="",N(G472)=0),"",ABS(F472-G472)*E472)</f>
        <v/>
      </c>
      <c r="U472" s="8">
        <f>IF(OR(B472="",P472=""),"",IF(D472="Venda",-1,1)*((N(J472)*N(K472)+N(L472)*N(M472)+N(N472)*N(O472))-(N(J472)+N(L472)+N(N472))*F472)-N(Q472))</f>
        <v/>
      </c>
      <c r="V472" s="9">
        <f>IF(OR(B472="",P472=""),"",U472/S472)</f>
        <v/>
      </c>
      <c r="W472">
        <f>IF(OR(B472="",P472=""),"",NETWORKDAYS(C472,P472)-1)</f>
        <v/>
      </c>
      <c r="X472">
        <f>IF(B472="","",IF(P472="","Aberto","Fechado"))</f>
        <v/>
      </c>
    </row>
    <row r="473">
      <c r="C473" s="6" t="n"/>
      <c r="E473" s="7" t="n"/>
      <c r="F473" s="8" t="n"/>
      <c r="G473" s="8" t="n"/>
      <c r="H473" s="8" t="n"/>
      <c r="J473" s="7" t="n"/>
      <c r="K473" s="8" t="n"/>
      <c r="L473" s="7" t="n"/>
      <c r="M473" s="8" t="n"/>
      <c r="N473" s="7" t="n"/>
      <c r="O473" s="8" t="n"/>
      <c r="P473" s="6" t="n"/>
      <c r="Q473" s="8" t="n"/>
      <c r="S473" s="8">
        <f>IF(B473="","",E473*F473)</f>
        <v/>
      </c>
      <c r="T473" s="8">
        <f>IF(OR(B473="",N(G473)=0),"",ABS(F473-G473)*E473)</f>
        <v/>
      </c>
      <c r="U473" s="8">
        <f>IF(OR(B473="",P473=""),"",IF(D473="Venda",-1,1)*((N(J473)*N(K473)+N(L473)*N(M473)+N(N473)*N(O473))-(N(J473)+N(L473)+N(N473))*F473)-N(Q473))</f>
        <v/>
      </c>
      <c r="V473" s="9">
        <f>IF(OR(B473="",P473=""),"",U473/S473)</f>
        <v/>
      </c>
      <c r="W473">
        <f>IF(OR(B473="",P473=""),"",NETWORKDAYS(C473,P473)-1)</f>
        <v/>
      </c>
      <c r="X473">
        <f>IF(B473="","",IF(P473="","Aberto","Fechado"))</f>
        <v/>
      </c>
    </row>
    <row r="474">
      <c r="C474" s="6" t="n"/>
      <c r="E474" s="7" t="n"/>
      <c r="F474" s="8" t="n"/>
      <c r="G474" s="8" t="n"/>
      <c r="H474" s="8" t="n"/>
      <c r="J474" s="7" t="n"/>
      <c r="K474" s="8" t="n"/>
      <c r="L474" s="7" t="n"/>
      <c r="M474" s="8" t="n"/>
      <c r="N474" s="7" t="n"/>
      <c r="O474" s="8" t="n"/>
      <c r="P474" s="6" t="n"/>
      <c r="Q474" s="8" t="n"/>
      <c r="S474" s="8">
        <f>IF(B474="","",E474*F474)</f>
        <v/>
      </c>
      <c r="T474" s="8">
        <f>IF(OR(B474="",N(G474)=0),"",ABS(F474-G474)*E474)</f>
        <v/>
      </c>
      <c r="U474" s="8">
        <f>IF(OR(B474="",P474=""),"",IF(D474="Venda",-1,1)*((N(J474)*N(K474)+N(L474)*N(M474)+N(N474)*N(O474))-(N(J474)+N(L474)+N(N474))*F474)-N(Q474))</f>
        <v/>
      </c>
      <c r="V474" s="9">
        <f>IF(OR(B474="",P474=""),"",U474/S474)</f>
        <v/>
      </c>
      <c r="W474">
        <f>IF(OR(B474="",P474=""),"",NETWORKDAYS(C474,P474)-1)</f>
        <v/>
      </c>
      <c r="X474">
        <f>IF(B474="","",IF(P474="","Aberto","Fechado"))</f>
        <v/>
      </c>
    </row>
    <row r="475">
      <c r="C475" s="6" t="n"/>
      <c r="E475" s="7" t="n"/>
      <c r="F475" s="8" t="n"/>
      <c r="G475" s="8" t="n"/>
      <c r="H475" s="8" t="n"/>
      <c r="J475" s="7" t="n"/>
      <c r="K475" s="8" t="n"/>
      <c r="L475" s="7" t="n"/>
      <c r="M475" s="8" t="n"/>
      <c r="N475" s="7" t="n"/>
      <c r="O475" s="8" t="n"/>
      <c r="P475" s="6" t="n"/>
      <c r="Q475" s="8" t="n"/>
      <c r="S475" s="8">
        <f>IF(B475="","",E475*F475)</f>
        <v/>
      </c>
      <c r="T475" s="8">
        <f>IF(OR(B475="",N(G475)=0),"",ABS(F475-G475)*E475)</f>
        <v/>
      </c>
      <c r="U475" s="8">
        <f>IF(OR(B475="",P475=""),"",IF(D475="Venda",-1,1)*((N(J475)*N(K475)+N(L475)*N(M475)+N(N475)*N(O475))-(N(J475)+N(L475)+N(N475))*F475)-N(Q475))</f>
        <v/>
      </c>
      <c r="V475" s="9">
        <f>IF(OR(B475="",P475=""),"",U475/S475)</f>
        <v/>
      </c>
      <c r="W475">
        <f>IF(OR(B475="",P475=""),"",NETWORKDAYS(C475,P475)-1)</f>
        <v/>
      </c>
      <c r="X475">
        <f>IF(B475="","",IF(P475="","Aberto","Fechado"))</f>
        <v/>
      </c>
    </row>
    <row r="476">
      <c r="C476" s="6" t="n"/>
      <c r="E476" s="7" t="n"/>
      <c r="F476" s="8" t="n"/>
      <c r="G476" s="8" t="n"/>
      <c r="H476" s="8" t="n"/>
      <c r="J476" s="7" t="n"/>
      <c r="K476" s="8" t="n"/>
      <c r="L476" s="7" t="n"/>
      <c r="M476" s="8" t="n"/>
      <c r="N476" s="7" t="n"/>
      <c r="O476" s="8" t="n"/>
      <c r="P476" s="6" t="n"/>
      <c r="Q476" s="8" t="n"/>
      <c r="S476" s="8">
        <f>IF(B476="","",E476*F476)</f>
        <v/>
      </c>
      <c r="T476" s="8">
        <f>IF(OR(B476="",N(G476)=0),"",ABS(F476-G476)*E476)</f>
        <v/>
      </c>
      <c r="U476" s="8">
        <f>IF(OR(B476="",P476=""),"",IF(D476="Venda",-1,1)*((N(J476)*N(K476)+N(L476)*N(M476)+N(N476)*N(O476))-(N(J476)+N(L476)+N(N476))*F476)-N(Q476))</f>
        <v/>
      </c>
      <c r="V476" s="9">
        <f>IF(OR(B476="",P476=""),"",U476/S476)</f>
        <v/>
      </c>
      <c r="W476">
        <f>IF(OR(B476="",P476=""),"",NETWORKDAYS(C476,P476)-1)</f>
        <v/>
      </c>
      <c r="X476">
        <f>IF(B476="","",IF(P476="","Aberto","Fechado"))</f>
        <v/>
      </c>
    </row>
    <row r="477">
      <c r="C477" s="6" t="n"/>
      <c r="E477" s="7" t="n"/>
      <c r="F477" s="8" t="n"/>
      <c r="G477" s="8" t="n"/>
      <c r="H477" s="8" t="n"/>
      <c r="J477" s="7" t="n"/>
      <c r="K477" s="8" t="n"/>
      <c r="L477" s="7" t="n"/>
      <c r="M477" s="8" t="n"/>
      <c r="N477" s="7" t="n"/>
      <c r="O477" s="8" t="n"/>
      <c r="P477" s="6" t="n"/>
      <c r="Q477" s="8" t="n"/>
      <c r="S477" s="8">
        <f>IF(B477="","",E477*F477)</f>
        <v/>
      </c>
      <c r="T477" s="8">
        <f>IF(OR(B477="",N(G477)=0),"",ABS(F477-G477)*E477)</f>
        <v/>
      </c>
      <c r="U477" s="8">
        <f>IF(OR(B477="",P477=""),"",IF(D477="Venda",-1,1)*((N(J477)*N(K477)+N(L477)*N(M477)+N(N477)*N(O477))-(N(J477)+N(L477)+N(N477))*F477)-N(Q477))</f>
        <v/>
      </c>
      <c r="V477" s="9">
        <f>IF(OR(B477="",P477=""),"",U477/S477)</f>
        <v/>
      </c>
      <c r="W477">
        <f>IF(OR(B477="",P477=""),"",NETWORKDAYS(C477,P477)-1)</f>
        <v/>
      </c>
      <c r="X477">
        <f>IF(B477="","",IF(P477="","Aberto","Fechado"))</f>
        <v/>
      </c>
    </row>
    <row r="478">
      <c r="C478" s="6" t="n"/>
      <c r="E478" s="7" t="n"/>
      <c r="F478" s="8" t="n"/>
      <c r="G478" s="8" t="n"/>
      <c r="H478" s="8" t="n"/>
      <c r="J478" s="7" t="n"/>
      <c r="K478" s="8" t="n"/>
      <c r="L478" s="7" t="n"/>
      <c r="M478" s="8" t="n"/>
      <c r="N478" s="7" t="n"/>
      <c r="O478" s="8" t="n"/>
      <c r="P478" s="6" t="n"/>
      <c r="Q478" s="8" t="n"/>
      <c r="S478" s="8">
        <f>IF(B478="","",E478*F478)</f>
        <v/>
      </c>
      <c r="T478" s="8">
        <f>IF(OR(B478="",N(G478)=0),"",ABS(F478-G478)*E478)</f>
        <v/>
      </c>
      <c r="U478" s="8">
        <f>IF(OR(B478="",P478=""),"",IF(D478="Venda",-1,1)*((N(J478)*N(K478)+N(L478)*N(M478)+N(N478)*N(O478))-(N(J478)+N(L478)+N(N478))*F478)-N(Q478))</f>
        <v/>
      </c>
      <c r="V478" s="9">
        <f>IF(OR(B478="",P478=""),"",U478/S478)</f>
        <v/>
      </c>
      <c r="W478">
        <f>IF(OR(B478="",P478=""),"",NETWORKDAYS(C478,P478)-1)</f>
        <v/>
      </c>
      <c r="X478">
        <f>IF(B478="","",IF(P478="","Aberto","Fechado"))</f>
        <v/>
      </c>
    </row>
    <row r="479">
      <c r="C479" s="6" t="n"/>
      <c r="E479" s="7" t="n"/>
      <c r="F479" s="8" t="n"/>
      <c r="G479" s="8" t="n"/>
      <c r="H479" s="8" t="n"/>
      <c r="J479" s="7" t="n"/>
      <c r="K479" s="8" t="n"/>
      <c r="L479" s="7" t="n"/>
      <c r="M479" s="8" t="n"/>
      <c r="N479" s="7" t="n"/>
      <c r="O479" s="8" t="n"/>
      <c r="P479" s="6" t="n"/>
      <c r="Q479" s="8" t="n"/>
      <c r="S479" s="8">
        <f>IF(B479="","",E479*F479)</f>
        <v/>
      </c>
      <c r="T479" s="8">
        <f>IF(OR(B479="",N(G479)=0),"",ABS(F479-G479)*E479)</f>
        <v/>
      </c>
      <c r="U479" s="8">
        <f>IF(OR(B479="",P479=""),"",IF(D479="Venda",-1,1)*((N(J479)*N(K479)+N(L479)*N(M479)+N(N479)*N(O479))-(N(J479)+N(L479)+N(N479))*F479)-N(Q479))</f>
        <v/>
      </c>
      <c r="V479" s="9">
        <f>IF(OR(B479="",P479=""),"",U479/S479)</f>
        <v/>
      </c>
      <c r="W479">
        <f>IF(OR(B479="",P479=""),"",NETWORKDAYS(C479,P479)-1)</f>
        <v/>
      </c>
      <c r="X479">
        <f>IF(B479="","",IF(P479="","Aberto","Fechado"))</f>
        <v/>
      </c>
    </row>
    <row r="480">
      <c r="C480" s="6" t="n"/>
      <c r="E480" s="7" t="n"/>
      <c r="F480" s="8" t="n"/>
      <c r="G480" s="8" t="n"/>
      <c r="H480" s="8" t="n"/>
      <c r="J480" s="7" t="n"/>
      <c r="K480" s="8" t="n"/>
      <c r="L480" s="7" t="n"/>
      <c r="M480" s="8" t="n"/>
      <c r="N480" s="7" t="n"/>
      <c r="O480" s="8" t="n"/>
      <c r="P480" s="6" t="n"/>
      <c r="Q480" s="8" t="n"/>
      <c r="S480" s="8">
        <f>IF(B480="","",E480*F480)</f>
        <v/>
      </c>
      <c r="T480" s="8">
        <f>IF(OR(B480="",N(G480)=0),"",ABS(F480-G480)*E480)</f>
        <v/>
      </c>
      <c r="U480" s="8">
        <f>IF(OR(B480="",P480=""),"",IF(D480="Venda",-1,1)*((N(J480)*N(K480)+N(L480)*N(M480)+N(N480)*N(O480))-(N(J480)+N(L480)+N(N480))*F480)-N(Q480))</f>
        <v/>
      </c>
      <c r="V480" s="9">
        <f>IF(OR(B480="",P480=""),"",U480/S480)</f>
        <v/>
      </c>
      <c r="W480">
        <f>IF(OR(B480="",P480=""),"",NETWORKDAYS(C480,P480)-1)</f>
        <v/>
      </c>
      <c r="X480">
        <f>IF(B480="","",IF(P480="","Aberto","Fechado"))</f>
        <v/>
      </c>
    </row>
    <row r="481">
      <c r="C481" s="6" t="n"/>
      <c r="E481" s="7" t="n"/>
      <c r="F481" s="8" t="n"/>
      <c r="G481" s="8" t="n"/>
      <c r="H481" s="8" t="n"/>
      <c r="J481" s="7" t="n"/>
      <c r="K481" s="8" t="n"/>
      <c r="L481" s="7" t="n"/>
      <c r="M481" s="8" t="n"/>
      <c r="N481" s="7" t="n"/>
      <c r="O481" s="8" t="n"/>
      <c r="P481" s="6" t="n"/>
      <c r="Q481" s="8" t="n"/>
      <c r="S481" s="8">
        <f>IF(B481="","",E481*F481)</f>
        <v/>
      </c>
      <c r="T481" s="8">
        <f>IF(OR(B481="",N(G481)=0),"",ABS(F481-G481)*E481)</f>
        <v/>
      </c>
      <c r="U481" s="8">
        <f>IF(OR(B481="",P481=""),"",IF(D481="Venda",-1,1)*((N(J481)*N(K481)+N(L481)*N(M481)+N(N481)*N(O481))-(N(J481)+N(L481)+N(N481))*F481)-N(Q481))</f>
        <v/>
      </c>
      <c r="V481" s="9">
        <f>IF(OR(B481="",P481=""),"",U481/S481)</f>
        <v/>
      </c>
      <c r="W481">
        <f>IF(OR(B481="",P481=""),"",NETWORKDAYS(C481,P481)-1)</f>
        <v/>
      </c>
      <c r="X481">
        <f>IF(B481="","",IF(P481="","Aberto","Fechado"))</f>
        <v/>
      </c>
    </row>
    <row r="482">
      <c r="C482" s="6" t="n"/>
      <c r="E482" s="7" t="n"/>
      <c r="F482" s="8" t="n"/>
      <c r="G482" s="8" t="n"/>
      <c r="H482" s="8" t="n"/>
      <c r="J482" s="7" t="n"/>
      <c r="K482" s="8" t="n"/>
      <c r="L482" s="7" t="n"/>
      <c r="M482" s="8" t="n"/>
      <c r="N482" s="7" t="n"/>
      <c r="O482" s="8" t="n"/>
      <c r="P482" s="6" t="n"/>
      <c r="Q482" s="8" t="n"/>
      <c r="S482" s="8">
        <f>IF(B482="","",E482*F482)</f>
        <v/>
      </c>
      <c r="T482" s="8">
        <f>IF(OR(B482="",N(G482)=0),"",ABS(F482-G482)*E482)</f>
        <v/>
      </c>
      <c r="U482" s="8">
        <f>IF(OR(B482="",P482=""),"",IF(D482="Venda",-1,1)*((N(J482)*N(K482)+N(L482)*N(M482)+N(N482)*N(O482))-(N(J482)+N(L482)+N(N482))*F482)-N(Q482))</f>
        <v/>
      </c>
      <c r="V482" s="9">
        <f>IF(OR(B482="",P482=""),"",U482/S482)</f>
        <v/>
      </c>
      <c r="W482">
        <f>IF(OR(B482="",P482=""),"",NETWORKDAYS(C482,P482)-1)</f>
        <v/>
      </c>
      <c r="X482">
        <f>IF(B482="","",IF(P482="","Aberto","Fechado"))</f>
        <v/>
      </c>
    </row>
    <row r="483">
      <c r="C483" s="6" t="n"/>
      <c r="E483" s="7" t="n"/>
      <c r="F483" s="8" t="n"/>
      <c r="G483" s="8" t="n"/>
      <c r="H483" s="8" t="n"/>
      <c r="J483" s="7" t="n"/>
      <c r="K483" s="8" t="n"/>
      <c r="L483" s="7" t="n"/>
      <c r="M483" s="8" t="n"/>
      <c r="N483" s="7" t="n"/>
      <c r="O483" s="8" t="n"/>
      <c r="P483" s="6" t="n"/>
      <c r="Q483" s="8" t="n"/>
      <c r="S483" s="8">
        <f>IF(B483="","",E483*F483)</f>
        <v/>
      </c>
      <c r="T483" s="8">
        <f>IF(OR(B483="",N(G483)=0),"",ABS(F483-G483)*E483)</f>
        <v/>
      </c>
      <c r="U483" s="8">
        <f>IF(OR(B483="",P483=""),"",IF(D483="Venda",-1,1)*((N(J483)*N(K483)+N(L483)*N(M483)+N(N483)*N(O483))-(N(J483)+N(L483)+N(N483))*F483)-N(Q483))</f>
        <v/>
      </c>
      <c r="V483" s="9">
        <f>IF(OR(B483="",P483=""),"",U483/S483)</f>
        <v/>
      </c>
      <c r="W483">
        <f>IF(OR(B483="",P483=""),"",NETWORKDAYS(C483,P483)-1)</f>
        <v/>
      </c>
      <c r="X483">
        <f>IF(B483="","",IF(P483="","Aberto","Fechado"))</f>
        <v/>
      </c>
    </row>
    <row r="484">
      <c r="C484" s="6" t="n"/>
      <c r="E484" s="7" t="n"/>
      <c r="F484" s="8" t="n"/>
      <c r="G484" s="8" t="n"/>
      <c r="H484" s="8" t="n"/>
      <c r="J484" s="7" t="n"/>
      <c r="K484" s="8" t="n"/>
      <c r="L484" s="7" t="n"/>
      <c r="M484" s="8" t="n"/>
      <c r="N484" s="7" t="n"/>
      <c r="O484" s="8" t="n"/>
      <c r="P484" s="6" t="n"/>
      <c r="Q484" s="8" t="n"/>
      <c r="S484" s="8">
        <f>IF(B484="","",E484*F484)</f>
        <v/>
      </c>
      <c r="T484" s="8">
        <f>IF(OR(B484="",N(G484)=0),"",ABS(F484-G484)*E484)</f>
        <v/>
      </c>
      <c r="U484" s="8">
        <f>IF(OR(B484="",P484=""),"",IF(D484="Venda",-1,1)*((N(J484)*N(K484)+N(L484)*N(M484)+N(N484)*N(O484))-(N(J484)+N(L484)+N(N484))*F484)-N(Q484))</f>
        <v/>
      </c>
      <c r="V484" s="9">
        <f>IF(OR(B484="",P484=""),"",U484/S484)</f>
        <v/>
      </c>
      <c r="W484">
        <f>IF(OR(B484="",P484=""),"",NETWORKDAYS(C484,P484)-1)</f>
        <v/>
      </c>
      <c r="X484">
        <f>IF(B484="","",IF(P484="","Aberto","Fechado"))</f>
        <v/>
      </c>
    </row>
    <row r="485">
      <c r="C485" s="6" t="n"/>
      <c r="E485" s="7" t="n"/>
      <c r="F485" s="8" t="n"/>
      <c r="G485" s="8" t="n"/>
      <c r="H485" s="8" t="n"/>
      <c r="J485" s="7" t="n"/>
      <c r="K485" s="8" t="n"/>
      <c r="L485" s="7" t="n"/>
      <c r="M485" s="8" t="n"/>
      <c r="N485" s="7" t="n"/>
      <c r="O485" s="8" t="n"/>
      <c r="P485" s="6" t="n"/>
      <c r="Q485" s="8" t="n"/>
      <c r="S485" s="8">
        <f>IF(B485="","",E485*F485)</f>
        <v/>
      </c>
      <c r="T485" s="8">
        <f>IF(OR(B485="",N(G485)=0),"",ABS(F485-G485)*E485)</f>
        <v/>
      </c>
      <c r="U485" s="8">
        <f>IF(OR(B485="",P485=""),"",IF(D485="Venda",-1,1)*((N(J485)*N(K485)+N(L485)*N(M485)+N(N485)*N(O485))-(N(J485)+N(L485)+N(N485))*F485)-N(Q485))</f>
        <v/>
      </c>
      <c r="V485" s="9">
        <f>IF(OR(B485="",P485=""),"",U485/S485)</f>
        <v/>
      </c>
      <c r="W485">
        <f>IF(OR(B485="",P485=""),"",NETWORKDAYS(C485,P485)-1)</f>
        <v/>
      </c>
      <c r="X485">
        <f>IF(B485="","",IF(P485="","Aberto","Fechado"))</f>
        <v/>
      </c>
    </row>
    <row r="486">
      <c r="C486" s="6" t="n"/>
      <c r="E486" s="7" t="n"/>
      <c r="F486" s="8" t="n"/>
      <c r="G486" s="8" t="n"/>
      <c r="H486" s="8" t="n"/>
      <c r="J486" s="7" t="n"/>
      <c r="K486" s="8" t="n"/>
      <c r="L486" s="7" t="n"/>
      <c r="M486" s="8" t="n"/>
      <c r="N486" s="7" t="n"/>
      <c r="O486" s="8" t="n"/>
      <c r="P486" s="6" t="n"/>
      <c r="Q486" s="8" t="n"/>
      <c r="S486" s="8">
        <f>IF(B486="","",E486*F486)</f>
        <v/>
      </c>
      <c r="T486" s="8">
        <f>IF(OR(B486="",N(G486)=0),"",ABS(F486-G486)*E486)</f>
        <v/>
      </c>
      <c r="U486" s="8">
        <f>IF(OR(B486="",P486=""),"",IF(D486="Venda",-1,1)*((N(J486)*N(K486)+N(L486)*N(M486)+N(N486)*N(O486))-(N(J486)+N(L486)+N(N486))*F486)-N(Q486))</f>
        <v/>
      </c>
      <c r="V486" s="9">
        <f>IF(OR(B486="",P486=""),"",U486/S486)</f>
        <v/>
      </c>
      <c r="W486">
        <f>IF(OR(B486="",P486=""),"",NETWORKDAYS(C486,P486)-1)</f>
        <v/>
      </c>
      <c r="X486">
        <f>IF(B486="","",IF(P486="","Aberto","Fechado"))</f>
        <v/>
      </c>
    </row>
    <row r="487">
      <c r="C487" s="6" t="n"/>
      <c r="E487" s="7" t="n"/>
      <c r="F487" s="8" t="n"/>
      <c r="G487" s="8" t="n"/>
      <c r="H487" s="8" t="n"/>
      <c r="J487" s="7" t="n"/>
      <c r="K487" s="8" t="n"/>
      <c r="L487" s="7" t="n"/>
      <c r="M487" s="8" t="n"/>
      <c r="N487" s="7" t="n"/>
      <c r="O487" s="8" t="n"/>
      <c r="P487" s="6" t="n"/>
      <c r="Q487" s="8" t="n"/>
      <c r="S487" s="8">
        <f>IF(B487="","",E487*F487)</f>
        <v/>
      </c>
      <c r="T487" s="8">
        <f>IF(OR(B487="",N(G487)=0),"",ABS(F487-G487)*E487)</f>
        <v/>
      </c>
      <c r="U487" s="8">
        <f>IF(OR(B487="",P487=""),"",IF(D487="Venda",-1,1)*((N(J487)*N(K487)+N(L487)*N(M487)+N(N487)*N(O487))-(N(J487)+N(L487)+N(N487))*F487)-N(Q487))</f>
        <v/>
      </c>
      <c r="V487" s="9">
        <f>IF(OR(B487="",P487=""),"",U487/S487)</f>
        <v/>
      </c>
      <c r="W487">
        <f>IF(OR(B487="",P487=""),"",NETWORKDAYS(C487,P487)-1)</f>
        <v/>
      </c>
      <c r="X487">
        <f>IF(B487="","",IF(P487="","Aberto","Fechado"))</f>
        <v/>
      </c>
    </row>
    <row r="488">
      <c r="C488" s="6" t="n"/>
      <c r="E488" s="7" t="n"/>
      <c r="F488" s="8" t="n"/>
      <c r="G488" s="8" t="n"/>
      <c r="H488" s="8" t="n"/>
      <c r="J488" s="7" t="n"/>
      <c r="K488" s="8" t="n"/>
      <c r="L488" s="7" t="n"/>
      <c r="M488" s="8" t="n"/>
      <c r="N488" s="7" t="n"/>
      <c r="O488" s="8" t="n"/>
      <c r="P488" s="6" t="n"/>
      <c r="Q488" s="8" t="n"/>
      <c r="S488" s="8">
        <f>IF(B488="","",E488*F488)</f>
        <v/>
      </c>
      <c r="T488" s="8">
        <f>IF(OR(B488="",N(G488)=0),"",ABS(F488-G488)*E488)</f>
        <v/>
      </c>
      <c r="U488" s="8">
        <f>IF(OR(B488="",P488=""),"",IF(D488="Venda",-1,1)*((N(J488)*N(K488)+N(L488)*N(M488)+N(N488)*N(O488))-(N(J488)+N(L488)+N(N488))*F488)-N(Q488))</f>
        <v/>
      </c>
      <c r="V488" s="9">
        <f>IF(OR(B488="",P488=""),"",U488/S488)</f>
        <v/>
      </c>
      <c r="W488">
        <f>IF(OR(B488="",P488=""),"",NETWORKDAYS(C488,P488)-1)</f>
        <v/>
      </c>
      <c r="X488">
        <f>IF(B488="","",IF(P488="","Aberto","Fechado"))</f>
        <v/>
      </c>
    </row>
    <row r="489">
      <c r="C489" s="6" t="n"/>
      <c r="E489" s="7" t="n"/>
      <c r="F489" s="8" t="n"/>
      <c r="G489" s="8" t="n"/>
      <c r="H489" s="8" t="n"/>
      <c r="J489" s="7" t="n"/>
      <c r="K489" s="8" t="n"/>
      <c r="L489" s="7" t="n"/>
      <c r="M489" s="8" t="n"/>
      <c r="N489" s="7" t="n"/>
      <c r="O489" s="8" t="n"/>
      <c r="P489" s="6" t="n"/>
      <c r="Q489" s="8" t="n"/>
      <c r="S489" s="8">
        <f>IF(B489="","",E489*F489)</f>
        <v/>
      </c>
      <c r="T489" s="8">
        <f>IF(OR(B489="",N(G489)=0),"",ABS(F489-G489)*E489)</f>
        <v/>
      </c>
      <c r="U489" s="8">
        <f>IF(OR(B489="",P489=""),"",IF(D489="Venda",-1,1)*((N(J489)*N(K489)+N(L489)*N(M489)+N(N489)*N(O489))-(N(J489)+N(L489)+N(N489))*F489)-N(Q489))</f>
        <v/>
      </c>
      <c r="V489" s="9">
        <f>IF(OR(B489="",P489=""),"",U489/S489)</f>
        <v/>
      </c>
      <c r="W489">
        <f>IF(OR(B489="",P489=""),"",NETWORKDAYS(C489,P489)-1)</f>
        <v/>
      </c>
      <c r="X489">
        <f>IF(B489="","",IF(P489="","Aberto","Fechado"))</f>
        <v/>
      </c>
    </row>
    <row r="490">
      <c r="C490" s="6" t="n"/>
      <c r="E490" s="7" t="n"/>
      <c r="F490" s="8" t="n"/>
      <c r="G490" s="8" t="n"/>
      <c r="H490" s="8" t="n"/>
      <c r="J490" s="7" t="n"/>
      <c r="K490" s="8" t="n"/>
      <c r="L490" s="7" t="n"/>
      <c r="M490" s="8" t="n"/>
      <c r="N490" s="7" t="n"/>
      <c r="O490" s="8" t="n"/>
      <c r="P490" s="6" t="n"/>
      <c r="Q490" s="8" t="n"/>
      <c r="S490" s="8">
        <f>IF(B490="","",E490*F490)</f>
        <v/>
      </c>
      <c r="T490" s="8">
        <f>IF(OR(B490="",N(G490)=0),"",ABS(F490-G490)*E490)</f>
        <v/>
      </c>
      <c r="U490" s="8">
        <f>IF(OR(B490="",P490=""),"",IF(D490="Venda",-1,1)*((N(J490)*N(K490)+N(L490)*N(M490)+N(N490)*N(O490))-(N(J490)+N(L490)+N(N490))*F490)-N(Q490))</f>
        <v/>
      </c>
      <c r="V490" s="9">
        <f>IF(OR(B490="",P490=""),"",U490/S490)</f>
        <v/>
      </c>
      <c r="W490">
        <f>IF(OR(B490="",P490=""),"",NETWORKDAYS(C490,P490)-1)</f>
        <v/>
      </c>
      <c r="X490">
        <f>IF(B490="","",IF(P490="","Aberto","Fechado"))</f>
        <v/>
      </c>
    </row>
    <row r="491">
      <c r="C491" s="6" t="n"/>
      <c r="E491" s="7" t="n"/>
      <c r="F491" s="8" t="n"/>
      <c r="G491" s="8" t="n"/>
      <c r="H491" s="8" t="n"/>
      <c r="J491" s="7" t="n"/>
      <c r="K491" s="8" t="n"/>
      <c r="L491" s="7" t="n"/>
      <c r="M491" s="8" t="n"/>
      <c r="N491" s="7" t="n"/>
      <c r="O491" s="8" t="n"/>
      <c r="P491" s="6" t="n"/>
      <c r="Q491" s="8" t="n"/>
      <c r="S491" s="8">
        <f>IF(B491="","",E491*F491)</f>
        <v/>
      </c>
      <c r="T491" s="8">
        <f>IF(OR(B491="",N(G491)=0),"",ABS(F491-G491)*E491)</f>
        <v/>
      </c>
      <c r="U491" s="8">
        <f>IF(OR(B491="",P491=""),"",IF(D491="Venda",-1,1)*((N(J491)*N(K491)+N(L491)*N(M491)+N(N491)*N(O491))-(N(J491)+N(L491)+N(N491))*F491)-N(Q491))</f>
        <v/>
      </c>
      <c r="V491" s="9">
        <f>IF(OR(B491="",P491=""),"",U491/S491)</f>
        <v/>
      </c>
      <c r="W491">
        <f>IF(OR(B491="",P491=""),"",NETWORKDAYS(C491,P491)-1)</f>
        <v/>
      </c>
      <c r="X491">
        <f>IF(B491="","",IF(P491="","Aberto","Fechado"))</f>
        <v/>
      </c>
    </row>
    <row r="492">
      <c r="C492" s="6" t="n"/>
      <c r="E492" s="7" t="n"/>
      <c r="F492" s="8" t="n"/>
      <c r="G492" s="8" t="n"/>
      <c r="H492" s="8" t="n"/>
      <c r="J492" s="7" t="n"/>
      <c r="K492" s="8" t="n"/>
      <c r="L492" s="7" t="n"/>
      <c r="M492" s="8" t="n"/>
      <c r="N492" s="7" t="n"/>
      <c r="O492" s="8" t="n"/>
      <c r="P492" s="6" t="n"/>
      <c r="Q492" s="8" t="n"/>
      <c r="S492" s="8">
        <f>IF(B492="","",E492*F492)</f>
        <v/>
      </c>
      <c r="T492" s="8">
        <f>IF(OR(B492="",N(G492)=0),"",ABS(F492-G492)*E492)</f>
        <v/>
      </c>
      <c r="U492" s="8">
        <f>IF(OR(B492="",P492=""),"",IF(D492="Venda",-1,1)*((N(J492)*N(K492)+N(L492)*N(M492)+N(N492)*N(O492))-(N(J492)+N(L492)+N(N492))*F492)-N(Q492))</f>
        <v/>
      </c>
      <c r="V492" s="9">
        <f>IF(OR(B492="",P492=""),"",U492/S492)</f>
        <v/>
      </c>
      <c r="W492">
        <f>IF(OR(B492="",P492=""),"",NETWORKDAYS(C492,P492)-1)</f>
        <v/>
      </c>
      <c r="X492">
        <f>IF(B492="","",IF(P492="","Aberto","Fechado"))</f>
        <v/>
      </c>
    </row>
    <row r="493">
      <c r="C493" s="6" t="n"/>
      <c r="E493" s="7" t="n"/>
      <c r="F493" s="8" t="n"/>
      <c r="G493" s="8" t="n"/>
      <c r="H493" s="8" t="n"/>
      <c r="J493" s="7" t="n"/>
      <c r="K493" s="8" t="n"/>
      <c r="L493" s="7" t="n"/>
      <c r="M493" s="8" t="n"/>
      <c r="N493" s="7" t="n"/>
      <c r="O493" s="8" t="n"/>
      <c r="P493" s="6" t="n"/>
      <c r="Q493" s="8" t="n"/>
      <c r="S493" s="8">
        <f>IF(B493="","",E493*F493)</f>
        <v/>
      </c>
      <c r="T493" s="8">
        <f>IF(OR(B493="",N(G493)=0),"",ABS(F493-G493)*E493)</f>
        <v/>
      </c>
      <c r="U493" s="8">
        <f>IF(OR(B493="",P493=""),"",IF(D493="Venda",-1,1)*((N(J493)*N(K493)+N(L493)*N(M493)+N(N493)*N(O493))-(N(J493)+N(L493)+N(N493))*F493)-N(Q493))</f>
        <v/>
      </c>
      <c r="V493" s="9">
        <f>IF(OR(B493="",P493=""),"",U493/S493)</f>
        <v/>
      </c>
      <c r="W493">
        <f>IF(OR(B493="",P493=""),"",NETWORKDAYS(C493,P493)-1)</f>
        <v/>
      </c>
      <c r="X493">
        <f>IF(B493="","",IF(P493="","Aberto","Fechado"))</f>
        <v/>
      </c>
    </row>
    <row r="494">
      <c r="C494" s="6" t="n"/>
      <c r="E494" s="7" t="n"/>
      <c r="F494" s="8" t="n"/>
      <c r="G494" s="8" t="n"/>
      <c r="H494" s="8" t="n"/>
      <c r="J494" s="7" t="n"/>
      <c r="K494" s="8" t="n"/>
      <c r="L494" s="7" t="n"/>
      <c r="M494" s="8" t="n"/>
      <c r="N494" s="7" t="n"/>
      <c r="O494" s="8" t="n"/>
      <c r="P494" s="6" t="n"/>
      <c r="Q494" s="8" t="n"/>
      <c r="S494" s="8">
        <f>IF(B494="","",E494*F494)</f>
        <v/>
      </c>
      <c r="T494" s="8">
        <f>IF(OR(B494="",N(G494)=0),"",ABS(F494-G494)*E494)</f>
        <v/>
      </c>
      <c r="U494" s="8">
        <f>IF(OR(B494="",P494=""),"",IF(D494="Venda",-1,1)*((N(J494)*N(K494)+N(L494)*N(M494)+N(N494)*N(O494))-(N(J494)+N(L494)+N(N494))*F494)-N(Q494))</f>
        <v/>
      </c>
      <c r="V494" s="9">
        <f>IF(OR(B494="",P494=""),"",U494/S494)</f>
        <v/>
      </c>
      <c r="W494">
        <f>IF(OR(B494="",P494=""),"",NETWORKDAYS(C494,P494)-1)</f>
        <v/>
      </c>
      <c r="X494">
        <f>IF(B494="","",IF(P494="","Aberto","Fechado"))</f>
        <v/>
      </c>
    </row>
    <row r="495">
      <c r="C495" s="6" t="n"/>
      <c r="E495" s="7" t="n"/>
      <c r="F495" s="8" t="n"/>
      <c r="G495" s="8" t="n"/>
      <c r="H495" s="8" t="n"/>
      <c r="J495" s="7" t="n"/>
      <c r="K495" s="8" t="n"/>
      <c r="L495" s="7" t="n"/>
      <c r="M495" s="8" t="n"/>
      <c r="N495" s="7" t="n"/>
      <c r="O495" s="8" t="n"/>
      <c r="P495" s="6" t="n"/>
      <c r="Q495" s="8" t="n"/>
      <c r="S495" s="8">
        <f>IF(B495="","",E495*F495)</f>
        <v/>
      </c>
      <c r="T495" s="8">
        <f>IF(OR(B495="",N(G495)=0),"",ABS(F495-G495)*E495)</f>
        <v/>
      </c>
      <c r="U495" s="8">
        <f>IF(OR(B495="",P495=""),"",IF(D495="Venda",-1,1)*((N(J495)*N(K495)+N(L495)*N(M495)+N(N495)*N(O495))-(N(J495)+N(L495)+N(N495))*F495)-N(Q495))</f>
        <v/>
      </c>
      <c r="V495" s="9">
        <f>IF(OR(B495="",P495=""),"",U495/S495)</f>
        <v/>
      </c>
      <c r="W495">
        <f>IF(OR(B495="",P495=""),"",NETWORKDAYS(C495,P495)-1)</f>
        <v/>
      </c>
      <c r="X495">
        <f>IF(B495="","",IF(P495="","Aberto","Fechado"))</f>
        <v/>
      </c>
    </row>
    <row r="496">
      <c r="C496" s="6" t="n"/>
      <c r="E496" s="7" t="n"/>
      <c r="F496" s="8" t="n"/>
      <c r="G496" s="8" t="n"/>
      <c r="H496" s="8" t="n"/>
      <c r="J496" s="7" t="n"/>
      <c r="K496" s="8" t="n"/>
      <c r="L496" s="7" t="n"/>
      <c r="M496" s="8" t="n"/>
      <c r="N496" s="7" t="n"/>
      <c r="O496" s="8" t="n"/>
      <c r="P496" s="6" t="n"/>
      <c r="Q496" s="8" t="n"/>
      <c r="S496" s="8">
        <f>IF(B496="","",E496*F496)</f>
        <v/>
      </c>
      <c r="T496" s="8">
        <f>IF(OR(B496="",N(G496)=0),"",ABS(F496-G496)*E496)</f>
        <v/>
      </c>
      <c r="U496" s="8">
        <f>IF(OR(B496="",P496=""),"",IF(D496="Venda",-1,1)*((N(J496)*N(K496)+N(L496)*N(M496)+N(N496)*N(O496))-(N(J496)+N(L496)+N(N496))*F496)-N(Q496))</f>
        <v/>
      </c>
      <c r="V496" s="9">
        <f>IF(OR(B496="",P496=""),"",U496/S496)</f>
        <v/>
      </c>
      <c r="W496">
        <f>IF(OR(B496="",P496=""),"",NETWORKDAYS(C496,P496)-1)</f>
        <v/>
      </c>
      <c r="X496">
        <f>IF(B496="","",IF(P496="","Aberto","Fechado"))</f>
        <v/>
      </c>
    </row>
    <row r="497">
      <c r="C497" s="6" t="n"/>
      <c r="E497" s="7" t="n"/>
      <c r="F497" s="8" t="n"/>
      <c r="G497" s="8" t="n"/>
      <c r="H497" s="8" t="n"/>
      <c r="J497" s="7" t="n"/>
      <c r="K497" s="8" t="n"/>
      <c r="L497" s="7" t="n"/>
      <c r="M497" s="8" t="n"/>
      <c r="N497" s="7" t="n"/>
      <c r="O497" s="8" t="n"/>
      <c r="P497" s="6" t="n"/>
      <c r="Q497" s="8" t="n"/>
      <c r="S497" s="8">
        <f>IF(B497="","",E497*F497)</f>
        <v/>
      </c>
      <c r="T497" s="8">
        <f>IF(OR(B497="",N(G497)=0),"",ABS(F497-G497)*E497)</f>
        <v/>
      </c>
      <c r="U497" s="8">
        <f>IF(OR(B497="",P497=""),"",IF(D497="Venda",-1,1)*((N(J497)*N(K497)+N(L497)*N(M497)+N(N497)*N(O497))-(N(J497)+N(L497)+N(N497))*F497)-N(Q497))</f>
        <v/>
      </c>
      <c r="V497" s="9">
        <f>IF(OR(B497="",P497=""),"",U497/S497)</f>
        <v/>
      </c>
      <c r="W497">
        <f>IF(OR(B497="",P497=""),"",NETWORKDAYS(C497,P497)-1)</f>
        <v/>
      </c>
      <c r="X497">
        <f>IF(B497="","",IF(P497="","Aberto","Fechado"))</f>
        <v/>
      </c>
    </row>
    <row r="498">
      <c r="C498" s="6" t="n"/>
      <c r="E498" s="7" t="n"/>
      <c r="F498" s="8" t="n"/>
      <c r="G498" s="8" t="n"/>
      <c r="H498" s="8" t="n"/>
      <c r="J498" s="7" t="n"/>
      <c r="K498" s="8" t="n"/>
      <c r="L498" s="7" t="n"/>
      <c r="M498" s="8" t="n"/>
      <c r="N498" s="7" t="n"/>
      <c r="O498" s="8" t="n"/>
      <c r="P498" s="6" t="n"/>
      <c r="Q498" s="8" t="n"/>
      <c r="S498" s="8">
        <f>IF(B498="","",E498*F498)</f>
        <v/>
      </c>
      <c r="T498" s="8">
        <f>IF(OR(B498="",N(G498)=0),"",ABS(F498-G498)*E498)</f>
        <v/>
      </c>
      <c r="U498" s="8">
        <f>IF(OR(B498="",P498=""),"",IF(D498="Venda",-1,1)*((N(J498)*N(K498)+N(L498)*N(M498)+N(N498)*N(O498))-(N(J498)+N(L498)+N(N498))*F498)-N(Q498))</f>
        <v/>
      </c>
      <c r="V498" s="9">
        <f>IF(OR(B498="",P498=""),"",U498/S498)</f>
        <v/>
      </c>
      <c r="W498">
        <f>IF(OR(B498="",P498=""),"",NETWORKDAYS(C498,P498)-1)</f>
        <v/>
      </c>
      <c r="X498">
        <f>IF(B498="","",IF(P498="","Aberto","Fechado"))</f>
        <v/>
      </c>
    </row>
    <row r="499">
      <c r="C499" s="6" t="n"/>
      <c r="E499" s="7" t="n"/>
      <c r="F499" s="8" t="n"/>
      <c r="G499" s="8" t="n"/>
      <c r="H499" s="8" t="n"/>
      <c r="J499" s="7" t="n"/>
      <c r="K499" s="8" t="n"/>
      <c r="L499" s="7" t="n"/>
      <c r="M499" s="8" t="n"/>
      <c r="N499" s="7" t="n"/>
      <c r="O499" s="8" t="n"/>
      <c r="P499" s="6" t="n"/>
      <c r="Q499" s="8" t="n"/>
      <c r="S499" s="8">
        <f>IF(B499="","",E499*F499)</f>
        <v/>
      </c>
      <c r="T499" s="8">
        <f>IF(OR(B499="",N(G499)=0),"",ABS(F499-G499)*E499)</f>
        <v/>
      </c>
      <c r="U499" s="8">
        <f>IF(OR(B499="",P499=""),"",IF(D499="Venda",-1,1)*((N(J499)*N(K499)+N(L499)*N(M499)+N(N499)*N(O499))-(N(J499)+N(L499)+N(N499))*F499)-N(Q499))</f>
        <v/>
      </c>
      <c r="V499" s="9">
        <f>IF(OR(B499="",P499=""),"",U499/S499)</f>
        <v/>
      </c>
      <c r="W499">
        <f>IF(OR(B499="",P499=""),"",NETWORKDAYS(C499,P499)-1)</f>
        <v/>
      </c>
      <c r="X499">
        <f>IF(B499="","",IF(P499="","Aberto","Fechado"))</f>
        <v/>
      </c>
    </row>
    <row r="500">
      <c r="C500" s="6" t="n"/>
      <c r="E500" s="7" t="n"/>
      <c r="F500" s="8" t="n"/>
      <c r="G500" s="8" t="n"/>
      <c r="H500" s="8" t="n"/>
      <c r="J500" s="7" t="n"/>
      <c r="K500" s="8" t="n"/>
      <c r="L500" s="7" t="n"/>
      <c r="M500" s="8" t="n"/>
      <c r="N500" s="7" t="n"/>
      <c r="O500" s="8" t="n"/>
      <c r="P500" s="6" t="n"/>
      <c r="Q500" s="8" t="n"/>
      <c r="S500" s="8">
        <f>IF(B500="","",E500*F500)</f>
        <v/>
      </c>
      <c r="T500" s="8">
        <f>IF(OR(B500="",N(G500)=0),"",ABS(F500-G500)*E500)</f>
        <v/>
      </c>
      <c r="U500" s="8">
        <f>IF(OR(B500="",P500=""),"",IF(D500="Venda",-1,1)*((N(J500)*N(K500)+N(L500)*N(M500)+N(N500)*N(O500))-(N(J500)+N(L500)+N(N500))*F500)-N(Q500))</f>
        <v/>
      </c>
      <c r="V500" s="9">
        <f>IF(OR(B500="",P500=""),"",U500/S500)</f>
        <v/>
      </c>
      <c r="W500">
        <f>IF(OR(B500="",P500=""),"",NETWORKDAYS(C500,P500)-1)</f>
        <v/>
      </c>
      <c r="X500">
        <f>IF(B500="","",IF(P500="","Aberto","Fechado"))</f>
        <v/>
      </c>
    </row>
    <row r="501">
      <c r="C501" s="6" t="n"/>
      <c r="E501" s="7" t="n"/>
      <c r="F501" s="8" t="n"/>
      <c r="G501" s="8" t="n"/>
      <c r="H501" s="8" t="n"/>
      <c r="J501" s="7" t="n"/>
      <c r="K501" s="8" t="n"/>
      <c r="L501" s="7" t="n"/>
      <c r="M501" s="8" t="n"/>
      <c r="N501" s="7" t="n"/>
      <c r="O501" s="8" t="n"/>
      <c r="P501" s="6" t="n"/>
      <c r="Q501" s="8" t="n"/>
      <c r="S501" s="8">
        <f>IF(B501="","",E501*F501)</f>
        <v/>
      </c>
      <c r="T501" s="8">
        <f>IF(OR(B501="",N(G501)=0),"",ABS(F501-G501)*E501)</f>
        <v/>
      </c>
      <c r="U501" s="8">
        <f>IF(OR(B501="",P501=""),"",IF(D501="Venda",-1,1)*((N(J501)*N(K501)+N(L501)*N(M501)+N(N501)*N(O501))-(N(J501)+N(L501)+N(N501))*F501)-N(Q501))</f>
        <v/>
      </c>
      <c r="V501" s="9">
        <f>IF(OR(B501="",P501=""),"",U501/S501)</f>
        <v/>
      </c>
      <c r="W501">
        <f>IF(OR(B501="",P501=""),"",NETWORKDAYS(C501,P501)-1)</f>
        <v/>
      </c>
      <c r="X501">
        <f>IF(B501="","",IF(P501="","Aberto","Fechado"))</f>
        <v/>
      </c>
    </row>
    <row r="502">
      <c r="C502" s="6" t="n"/>
      <c r="E502" s="7" t="n"/>
      <c r="F502" s="8" t="n"/>
      <c r="G502" s="8" t="n"/>
      <c r="H502" s="8" t="n"/>
      <c r="J502" s="7" t="n"/>
      <c r="K502" s="8" t="n"/>
      <c r="L502" s="7" t="n"/>
      <c r="M502" s="8" t="n"/>
      <c r="N502" s="7" t="n"/>
      <c r="O502" s="8" t="n"/>
      <c r="P502" s="6" t="n"/>
      <c r="Q502" s="8" t="n"/>
      <c r="S502" s="8">
        <f>IF(B502="","",E502*F502)</f>
        <v/>
      </c>
      <c r="T502" s="8">
        <f>IF(OR(B502="",N(G502)=0),"",ABS(F502-G502)*E502)</f>
        <v/>
      </c>
      <c r="U502" s="8">
        <f>IF(OR(B502="",P502=""),"",IF(D502="Venda",-1,1)*((N(J502)*N(K502)+N(L502)*N(M502)+N(N502)*N(O502))-(N(J502)+N(L502)+N(N502))*F502)-N(Q502))</f>
        <v/>
      </c>
      <c r="V502" s="9">
        <f>IF(OR(B502="",P502=""),"",U502/S502)</f>
        <v/>
      </c>
      <c r="W502">
        <f>IF(OR(B502="",P502=""),"",NETWORKDAYS(C502,P502)-1)</f>
        <v/>
      </c>
      <c r="X502">
        <f>IF(B502="","",IF(P502="","Aberto","Fechado"))</f>
        <v/>
      </c>
    </row>
    <row r="503">
      <c r="C503" s="6" t="n"/>
      <c r="E503" s="7" t="n"/>
      <c r="F503" s="8" t="n"/>
      <c r="G503" s="8" t="n"/>
      <c r="H503" s="8" t="n"/>
      <c r="J503" s="7" t="n"/>
      <c r="K503" s="8" t="n"/>
      <c r="L503" s="7" t="n"/>
      <c r="M503" s="8" t="n"/>
      <c r="N503" s="7" t="n"/>
      <c r="O503" s="8" t="n"/>
      <c r="P503" s="6" t="n"/>
      <c r="Q503" s="8" t="n"/>
      <c r="S503" s="8">
        <f>IF(B503="","",E503*F503)</f>
        <v/>
      </c>
      <c r="T503" s="8">
        <f>IF(OR(B503="",N(G503)=0),"",ABS(F503-G503)*E503)</f>
        <v/>
      </c>
      <c r="U503" s="8">
        <f>IF(OR(B503="",P503=""),"",IF(D503="Venda",-1,1)*((N(J503)*N(K503)+N(L503)*N(M503)+N(N503)*N(O503))-(N(J503)+N(L503)+N(N503))*F503)-N(Q503))</f>
        <v/>
      </c>
      <c r="V503" s="9">
        <f>IF(OR(B503="",P503=""),"",U503/S503)</f>
        <v/>
      </c>
      <c r="W503">
        <f>IF(OR(B503="",P503=""),"",NETWORKDAYS(C503,P503)-1)</f>
        <v/>
      </c>
      <c r="X503">
        <f>IF(B503="","",IF(P503="","Aberto","Fechado"))</f>
        <v/>
      </c>
    </row>
    <row r="504">
      <c r="C504" s="6" t="n"/>
      <c r="E504" s="7" t="n"/>
      <c r="F504" s="8" t="n"/>
      <c r="G504" s="8" t="n"/>
      <c r="H504" s="8" t="n"/>
      <c r="J504" s="7" t="n"/>
      <c r="K504" s="8" t="n"/>
      <c r="L504" s="7" t="n"/>
      <c r="M504" s="8" t="n"/>
      <c r="N504" s="7" t="n"/>
      <c r="O504" s="8" t="n"/>
      <c r="P504" s="6" t="n"/>
      <c r="Q504" s="8" t="n"/>
      <c r="S504" s="8">
        <f>IF(B504="","",E504*F504)</f>
        <v/>
      </c>
      <c r="T504" s="8">
        <f>IF(OR(B504="",N(G504)=0),"",ABS(F504-G504)*E504)</f>
        <v/>
      </c>
      <c r="U504" s="8">
        <f>IF(OR(B504="",P504=""),"",IF(D504="Venda",-1,1)*((N(J504)*N(K504)+N(L504)*N(M504)+N(N504)*N(O504))-(N(J504)+N(L504)+N(N504))*F504)-N(Q504))</f>
        <v/>
      </c>
      <c r="V504" s="9">
        <f>IF(OR(B504="",P504=""),"",U504/S504)</f>
        <v/>
      </c>
      <c r="W504">
        <f>IF(OR(B504="",P504=""),"",NETWORKDAYS(C504,P504)-1)</f>
        <v/>
      </c>
      <c r="X504">
        <f>IF(B504="","",IF(P504="","Aberto","Fechado"))</f>
        <v/>
      </c>
    </row>
    <row r="505">
      <c r="C505" s="6" t="n"/>
      <c r="E505" s="7" t="n"/>
      <c r="F505" s="8" t="n"/>
      <c r="G505" s="8" t="n"/>
      <c r="H505" s="8" t="n"/>
      <c r="J505" s="7" t="n"/>
      <c r="K505" s="8" t="n"/>
      <c r="L505" s="7" t="n"/>
      <c r="M505" s="8" t="n"/>
      <c r="N505" s="7" t="n"/>
      <c r="O505" s="8" t="n"/>
      <c r="P505" s="6" t="n"/>
      <c r="Q505" s="8" t="n"/>
      <c r="S505" s="8">
        <f>IF(B505="","",E505*F505)</f>
        <v/>
      </c>
      <c r="T505" s="8">
        <f>IF(OR(B505="",N(G505)=0),"",ABS(F505-G505)*E505)</f>
        <v/>
      </c>
      <c r="U505" s="8">
        <f>IF(OR(B505="",P505=""),"",IF(D505="Venda",-1,1)*((N(J505)*N(K505)+N(L505)*N(M505)+N(N505)*N(O505))-(N(J505)+N(L505)+N(N505))*F505)-N(Q505))</f>
        <v/>
      </c>
      <c r="V505" s="9">
        <f>IF(OR(B505="",P505=""),"",U505/S505)</f>
        <v/>
      </c>
      <c r="W505">
        <f>IF(OR(B505="",P505=""),"",NETWORKDAYS(C505,P505)-1)</f>
        <v/>
      </c>
      <c r="X505">
        <f>IF(B505="","",IF(P505="","Aberto","Fechado"))</f>
        <v/>
      </c>
    </row>
    <row r="506">
      <c r="C506" s="6" t="n"/>
      <c r="E506" s="7" t="n"/>
      <c r="F506" s="8" t="n"/>
      <c r="G506" s="8" t="n"/>
      <c r="H506" s="8" t="n"/>
      <c r="J506" s="7" t="n"/>
      <c r="K506" s="8" t="n"/>
      <c r="L506" s="7" t="n"/>
      <c r="M506" s="8" t="n"/>
      <c r="N506" s="7" t="n"/>
      <c r="O506" s="8" t="n"/>
      <c r="P506" s="6" t="n"/>
      <c r="Q506" s="8" t="n"/>
      <c r="S506" s="8">
        <f>IF(B506="","",E506*F506)</f>
        <v/>
      </c>
      <c r="T506" s="8">
        <f>IF(OR(B506="",N(G506)=0),"",ABS(F506-G506)*E506)</f>
        <v/>
      </c>
      <c r="U506" s="8">
        <f>IF(OR(B506="",P506=""),"",IF(D506="Venda",-1,1)*((N(J506)*N(K506)+N(L506)*N(M506)+N(N506)*N(O506))-(N(J506)+N(L506)+N(N506))*F506)-N(Q506))</f>
        <v/>
      </c>
      <c r="V506" s="9">
        <f>IF(OR(B506="",P506=""),"",U506/S506)</f>
        <v/>
      </c>
      <c r="W506">
        <f>IF(OR(B506="",P506=""),"",NETWORKDAYS(C506,P506)-1)</f>
        <v/>
      </c>
      <c r="X506">
        <f>IF(B506="","",IF(P506="","Aberto","Fechado"))</f>
        <v/>
      </c>
    </row>
    <row r="507">
      <c r="C507" s="6" t="n"/>
      <c r="E507" s="7" t="n"/>
      <c r="F507" s="8" t="n"/>
      <c r="G507" s="8" t="n"/>
      <c r="H507" s="8" t="n"/>
      <c r="J507" s="7" t="n"/>
      <c r="K507" s="8" t="n"/>
      <c r="L507" s="7" t="n"/>
      <c r="M507" s="8" t="n"/>
      <c r="N507" s="7" t="n"/>
      <c r="O507" s="8" t="n"/>
      <c r="P507" s="6" t="n"/>
      <c r="Q507" s="8" t="n"/>
      <c r="S507" s="8">
        <f>IF(B507="","",E507*F507)</f>
        <v/>
      </c>
      <c r="T507" s="8">
        <f>IF(OR(B507="",N(G507)=0),"",ABS(F507-G507)*E507)</f>
        <v/>
      </c>
      <c r="U507" s="8">
        <f>IF(OR(B507="",P507=""),"",IF(D507="Venda",-1,1)*((N(J507)*N(K507)+N(L507)*N(M507)+N(N507)*N(O507))-(N(J507)+N(L507)+N(N507))*F507)-N(Q507))</f>
        <v/>
      </c>
      <c r="V507" s="9">
        <f>IF(OR(B507="",P507=""),"",U507/S507)</f>
        <v/>
      </c>
      <c r="W507">
        <f>IF(OR(B507="",P507=""),"",NETWORKDAYS(C507,P507)-1)</f>
        <v/>
      </c>
      <c r="X507">
        <f>IF(B507="","",IF(P507="","Aberto","Fechado"))</f>
        <v/>
      </c>
    </row>
    <row r="508">
      <c r="C508" s="6" t="n"/>
      <c r="E508" s="7" t="n"/>
      <c r="F508" s="8" t="n"/>
      <c r="G508" s="8" t="n"/>
      <c r="H508" s="8" t="n"/>
      <c r="J508" s="7" t="n"/>
      <c r="K508" s="8" t="n"/>
      <c r="L508" s="7" t="n"/>
      <c r="M508" s="8" t="n"/>
      <c r="N508" s="7" t="n"/>
      <c r="O508" s="8" t="n"/>
      <c r="P508" s="6" t="n"/>
      <c r="Q508" s="8" t="n"/>
      <c r="S508" s="8">
        <f>IF(B508="","",E508*F508)</f>
        <v/>
      </c>
      <c r="T508" s="8">
        <f>IF(OR(B508="",N(G508)=0),"",ABS(F508-G508)*E508)</f>
        <v/>
      </c>
      <c r="U508" s="8">
        <f>IF(OR(B508="",P508=""),"",IF(D508="Venda",-1,1)*((N(J508)*N(K508)+N(L508)*N(M508)+N(N508)*N(O508))-(N(J508)+N(L508)+N(N508))*F508)-N(Q508))</f>
        <v/>
      </c>
      <c r="V508" s="9">
        <f>IF(OR(B508="",P508=""),"",U508/S508)</f>
        <v/>
      </c>
      <c r="W508">
        <f>IF(OR(B508="",P508=""),"",NETWORKDAYS(C508,P508)-1)</f>
        <v/>
      </c>
      <c r="X508">
        <f>IF(B508="","",IF(P508="","Aberto","Fechado"))</f>
        <v/>
      </c>
    </row>
    <row r="509">
      <c r="C509" s="6" t="n"/>
      <c r="E509" s="7" t="n"/>
      <c r="F509" s="8" t="n"/>
      <c r="G509" s="8" t="n"/>
      <c r="H509" s="8" t="n"/>
      <c r="J509" s="7" t="n"/>
      <c r="K509" s="8" t="n"/>
      <c r="L509" s="7" t="n"/>
      <c r="M509" s="8" t="n"/>
      <c r="N509" s="7" t="n"/>
      <c r="O509" s="8" t="n"/>
      <c r="P509" s="6" t="n"/>
      <c r="Q509" s="8" t="n"/>
      <c r="S509" s="8">
        <f>IF(B509="","",E509*F509)</f>
        <v/>
      </c>
      <c r="T509" s="8">
        <f>IF(OR(B509="",N(G509)=0),"",ABS(F509-G509)*E509)</f>
        <v/>
      </c>
      <c r="U509" s="8">
        <f>IF(OR(B509="",P509=""),"",IF(D509="Venda",-1,1)*((N(J509)*N(K509)+N(L509)*N(M509)+N(N509)*N(O509))-(N(J509)+N(L509)+N(N509))*F509)-N(Q509))</f>
        <v/>
      </c>
      <c r="V509" s="9">
        <f>IF(OR(B509="",P509=""),"",U509/S509)</f>
        <v/>
      </c>
      <c r="W509">
        <f>IF(OR(B509="",P509=""),"",NETWORKDAYS(C509,P509)-1)</f>
        <v/>
      </c>
      <c r="X509">
        <f>IF(B509="","",IF(P509="","Aberto","Fechado"))</f>
        <v/>
      </c>
    </row>
    <row r="510">
      <c r="C510" s="6" t="n"/>
      <c r="E510" s="7" t="n"/>
      <c r="F510" s="8" t="n"/>
      <c r="G510" s="8" t="n"/>
      <c r="H510" s="8" t="n"/>
      <c r="J510" s="7" t="n"/>
      <c r="K510" s="8" t="n"/>
      <c r="L510" s="7" t="n"/>
      <c r="M510" s="8" t="n"/>
      <c r="N510" s="7" t="n"/>
      <c r="O510" s="8" t="n"/>
      <c r="P510" s="6" t="n"/>
      <c r="Q510" s="8" t="n"/>
      <c r="S510" s="8">
        <f>IF(B510="","",E510*F510)</f>
        <v/>
      </c>
      <c r="T510" s="8">
        <f>IF(OR(B510="",N(G510)=0),"",ABS(F510-G510)*E510)</f>
        <v/>
      </c>
      <c r="U510" s="8">
        <f>IF(OR(B510="",P510=""),"",IF(D510="Venda",-1,1)*((N(J510)*N(K510)+N(L510)*N(M510)+N(N510)*N(O510))-(N(J510)+N(L510)+N(N510))*F510)-N(Q510))</f>
        <v/>
      </c>
      <c r="V510" s="9">
        <f>IF(OR(B510="",P510=""),"",U510/S510)</f>
        <v/>
      </c>
      <c r="W510">
        <f>IF(OR(B510="",P510=""),"",NETWORKDAYS(C510,P510)-1)</f>
        <v/>
      </c>
      <c r="X510">
        <f>IF(B510="","",IF(P510="","Aberto","Fechado"))</f>
        <v/>
      </c>
    </row>
    <row r="511">
      <c r="C511" s="6" t="n"/>
      <c r="E511" s="7" t="n"/>
      <c r="F511" s="8" t="n"/>
      <c r="G511" s="8" t="n"/>
      <c r="H511" s="8" t="n"/>
      <c r="J511" s="7" t="n"/>
      <c r="K511" s="8" t="n"/>
      <c r="L511" s="7" t="n"/>
      <c r="M511" s="8" t="n"/>
      <c r="N511" s="7" t="n"/>
      <c r="O511" s="8" t="n"/>
      <c r="P511" s="6" t="n"/>
      <c r="Q511" s="8" t="n"/>
      <c r="S511" s="8">
        <f>IF(B511="","",E511*F511)</f>
        <v/>
      </c>
      <c r="T511" s="8">
        <f>IF(OR(B511="",N(G511)=0),"",ABS(F511-G511)*E511)</f>
        <v/>
      </c>
      <c r="U511" s="8">
        <f>IF(OR(B511="",P511=""),"",IF(D511="Venda",-1,1)*((N(J511)*N(K511)+N(L511)*N(M511)+N(N511)*N(O511))-(N(J511)+N(L511)+N(N511))*F511)-N(Q511))</f>
        <v/>
      </c>
      <c r="V511" s="9">
        <f>IF(OR(B511="",P511=""),"",U511/S511)</f>
        <v/>
      </c>
      <c r="W511">
        <f>IF(OR(B511="",P511=""),"",NETWORKDAYS(C511,P511)-1)</f>
        <v/>
      </c>
      <c r="X511">
        <f>IF(B511="","",IF(P511="","Aberto","Fechado"))</f>
        <v/>
      </c>
    </row>
    <row r="512">
      <c r="C512" s="6" t="n"/>
      <c r="E512" s="7" t="n"/>
      <c r="F512" s="8" t="n"/>
      <c r="G512" s="8" t="n"/>
      <c r="H512" s="8" t="n"/>
      <c r="J512" s="7" t="n"/>
      <c r="K512" s="8" t="n"/>
      <c r="L512" s="7" t="n"/>
      <c r="M512" s="8" t="n"/>
      <c r="N512" s="7" t="n"/>
      <c r="O512" s="8" t="n"/>
      <c r="P512" s="6" t="n"/>
      <c r="Q512" s="8" t="n"/>
      <c r="S512" s="8">
        <f>IF(B512="","",E512*F512)</f>
        <v/>
      </c>
      <c r="T512" s="8">
        <f>IF(OR(B512="",N(G512)=0),"",ABS(F512-G512)*E512)</f>
        <v/>
      </c>
      <c r="U512" s="8">
        <f>IF(OR(B512="",P512=""),"",IF(D512="Venda",-1,1)*((N(J512)*N(K512)+N(L512)*N(M512)+N(N512)*N(O512))-(N(J512)+N(L512)+N(N512))*F512)-N(Q512))</f>
        <v/>
      </c>
      <c r="V512" s="9">
        <f>IF(OR(B512="",P512=""),"",U512/S512)</f>
        <v/>
      </c>
      <c r="W512">
        <f>IF(OR(B512="",P512=""),"",NETWORKDAYS(C512,P512)-1)</f>
        <v/>
      </c>
      <c r="X512">
        <f>IF(B512="","",IF(P512="","Aberto","Fechado"))</f>
        <v/>
      </c>
    </row>
    <row r="513">
      <c r="C513" s="6" t="n"/>
      <c r="E513" s="7" t="n"/>
      <c r="F513" s="8" t="n"/>
      <c r="G513" s="8" t="n"/>
      <c r="H513" s="8" t="n"/>
      <c r="J513" s="7" t="n"/>
      <c r="K513" s="8" t="n"/>
      <c r="L513" s="7" t="n"/>
      <c r="M513" s="8" t="n"/>
      <c r="N513" s="7" t="n"/>
      <c r="O513" s="8" t="n"/>
      <c r="P513" s="6" t="n"/>
      <c r="Q513" s="8" t="n"/>
      <c r="S513" s="8">
        <f>IF(B513="","",E513*F513)</f>
        <v/>
      </c>
      <c r="T513" s="8">
        <f>IF(OR(B513="",N(G513)=0),"",ABS(F513-G513)*E513)</f>
        <v/>
      </c>
      <c r="U513" s="8">
        <f>IF(OR(B513="",P513=""),"",IF(D513="Venda",-1,1)*((N(J513)*N(K513)+N(L513)*N(M513)+N(N513)*N(O513))-(N(J513)+N(L513)+N(N513))*F513)-N(Q513))</f>
        <v/>
      </c>
      <c r="V513" s="9">
        <f>IF(OR(B513="",P513=""),"",U513/S513)</f>
        <v/>
      </c>
      <c r="W513">
        <f>IF(OR(B513="",P513=""),"",NETWORKDAYS(C513,P513)-1)</f>
        <v/>
      </c>
      <c r="X513">
        <f>IF(B513="","",IF(P513="","Aberto","Fechado"))</f>
        <v/>
      </c>
    </row>
    <row r="514">
      <c r="C514" s="6" t="n"/>
      <c r="E514" s="7" t="n"/>
      <c r="F514" s="8" t="n"/>
      <c r="G514" s="8" t="n"/>
      <c r="H514" s="8" t="n"/>
      <c r="J514" s="7" t="n"/>
      <c r="K514" s="8" t="n"/>
      <c r="L514" s="7" t="n"/>
      <c r="M514" s="8" t="n"/>
      <c r="N514" s="7" t="n"/>
      <c r="O514" s="8" t="n"/>
      <c r="P514" s="6" t="n"/>
      <c r="Q514" s="8" t="n"/>
      <c r="S514" s="8">
        <f>IF(B514="","",E514*F514)</f>
        <v/>
      </c>
      <c r="T514" s="8">
        <f>IF(OR(B514="",N(G514)=0),"",ABS(F514-G514)*E514)</f>
        <v/>
      </c>
      <c r="U514" s="8">
        <f>IF(OR(B514="",P514=""),"",IF(D514="Venda",-1,1)*((N(J514)*N(K514)+N(L514)*N(M514)+N(N514)*N(O514))-(N(J514)+N(L514)+N(N514))*F514)-N(Q514))</f>
        <v/>
      </c>
      <c r="V514" s="9">
        <f>IF(OR(B514="",P514=""),"",U514/S514)</f>
        <v/>
      </c>
      <c r="W514">
        <f>IF(OR(B514="",P514=""),"",NETWORKDAYS(C514,P514)-1)</f>
        <v/>
      </c>
      <c r="X514">
        <f>IF(B514="","",IF(P514="","Aberto","Fechado"))</f>
        <v/>
      </c>
    </row>
    <row r="515">
      <c r="C515" s="6" t="n"/>
      <c r="E515" s="7" t="n"/>
      <c r="F515" s="8" t="n"/>
      <c r="G515" s="8" t="n"/>
      <c r="H515" s="8" t="n"/>
      <c r="J515" s="7" t="n"/>
      <c r="K515" s="8" t="n"/>
      <c r="L515" s="7" t="n"/>
      <c r="M515" s="8" t="n"/>
      <c r="N515" s="7" t="n"/>
      <c r="O515" s="8" t="n"/>
      <c r="P515" s="6" t="n"/>
      <c r="Q515" s="8" t="n"/>
      <c r="S515" s="8">
        <f>IF(B515="","",E515*F515)</f>
        <v/>
      </c>
      <c r="T515" s="8">
        <f>IF(OR(B515="",N(G515)=0),"",ABS(F515-G515)*E515)</f>
        <v/>
      </c>
      <c r="U515" s="8">
        <f>IF(OR(B515="",P515=""),"",IF(D515="Venda",-1,1)*((N(J515)*N(K515)+N(L515)*N(M515)+N(N515)*N(O515))-(N(J515)+N(L515)+N(N515))*F515)-N(Q515))</f>
        <v/>
      </c>
      <c r="V515" s="9">
        <f>IF(OR(B515="",P515=""),"",U515/S515)</f>
        <v/>
      </c>
      <c r="W515">
        <f>IF(OR(B515="",P515=""),"",NETWORKDAYS(C515,P515)-1)</f>
        <v/>
      </c>
      <c r="X515">
        <f>IF(B515="","",IF(P515="","Aberto","Fechado"))</f>
        <v/>
      </c>
    </row>
    <row r="516">
      <c r="C516" s="6" t="n"/>
      <c r="E516" s="7" t="n"/>
      <c r="F516" s="8" t="n"/>
      <c r="G516" s="8" t="n"/>
      <c r="H516" s="8" t="n"/>
      <c r="J516" s="7" t="n"/>
      <c r="K516" s="8" t="n"/>
      <c r="L516" s="7" t="n"/>
      <c r="M516" s="8" t="n"/>
      <c r="N516" s="7" t="n"/>
      <c r="O516" s="8" t="n"/>
      <c r="P516" s="6" t="n"/>
      <c r="Q516" s="8" t="n"/>
      <c r="S516" s="8">
        <f>IF(B516="","",E516*F516)</f>
        <v/>
      </c>
      <c r="T516" s="8">
        <f>IF(OR(B516="",N(G516)=0),"",ABS(F516-G516)*E516)</f>
        <v/>
      </c>
      <c r="U516" s="8">
        <f>IF(OR(B516="",P516=""),"",IF(D516="Venda",-1,1)*((N(J516)*N(K516)+N(L516)*N(M516)+N(N516)*N(O516))-(N(J516)+N(L516)+N(N516))*F516)-N(Q516))</f>
        <v/>
      </c>
      <c r="V516" s="9">
        <f>IF(OR(B516="",P516=""),"",U516/S516)</f>
        <v/>
      </c>
      <c r="W516">
        <f>IF(OR(B516="",P516=""),"",NETWORKDAYS(C516,P516)-1)</f>
        <v/>
      </c>
      <c r="X516">
        <f>IF(B516="","",IF(P516="","Aberto","Fechado"))</f>
        <v/>
      </c>
    </row>
    <row r="517">
      <c r="C517" s="6" t="n"/>
      <c r="E517" s="7" t="n"/>
      <c r="F517" s="8" t="n"/>
      <c r="G517" s="8" t="n"/>
      <c r="H517" s="8" t="n"/>
      <c r="J517" s="7" t="n"/>
      <c r="K517" s="8" t="n"/>
      <c r="L517" s="7" t="n"/>
      <c r="M517" s="8" t="n"/>
      <c r="N517" s="7" t="n"/>
      <c r="O517" s="8" t="n"/>
      <c r="P517" s="6" t="n"/>
      <c r="Q517" s="8" t="n"/>
      <c r="S517" s="8">
        <f>IF(B517="","",E517*F517)</f>
        <v/>
      </c>
      <c r="T517" s="8">
        <f>IF(OR(B517="",N(G517)=0),"",ABS(F517-G517)*E517)</f>
        <v/>
      </c>
      <c r="U517" s="8">
        <f>IF(OR(B517="",P517=""),"",IF(D517="Venda",-1,1)*((N(J517)*N(K517)+N(L517)*N(M517)+N(N517)*N(O517))-(N(J517)+N(L517)+N(N517))*F517)-N(Q517))</f>
        <v/>
      </c>
      <c r="V517" s="9">
        <f>IF(OR(B517="",P517=""),"",U517/S517)</f>
        <v/>
      </c>
      <c r="W517">
        <f>IF(OR(B517="",P517=""),"",NETWORKDAYS(C517,P517)-1)</f>
        <v/>
      </c>
      <c r="X517">
        <f>IF(B517="","",IF(P517="","Aberto","Fechado"))</f>
        <v/>
      </c>
    </row>
    <row r="518">
      <c r="C518" s="6" t="n"/>
      <c r="E518" s="7" t="n"/>
      <c r="F518" s="8" t="n"/>
      <c r="G518" s="8" t="n"/>
      <c r="H518" s="8" t="n"/>
      <c r="J518" s="7" t="n"/>
      <c r="K518" s="8" t="n"/>
      <c r="L518" s="7" t="n"/>
      <c r="M518" s="8" t="n"/>
      <c r="N518" s="7" t="n"/>
      <c r="O518" s="8" t="n"/>
      <c r="P518" s="6" t="n"/>
      <c r="Q518" s="8" t="n"/>
      <c r="S518" s="8">
        <f>IF(B518="","",E518*F518)</f>
        <v/>
      </c>
      <c r="T518" s="8">
        <f>IF(OR(B518="",N(G518)=0),"",ABS(F518-G518)*E518)</f>
        <v/>
      </c>
      <c r="U518" s="8">
        <f>IF(OR(B518="",P518=""),"",IF(D518="Venda",-1,1)*((N(J518)*N(K518)+N(L518)*N(M518)+N(N518)*N(O518))-(N(J518)+N(L518)+N(N518))*F518)-N(Q518))</f>
        <v/>
      </c>
      <c r="V518" s="9">
        <f>IF(OR(B518="",P518=""),"",U518/S518)</f>
        <v/>
      </c>
      <c r="W518">
        <f>IF(OR(B518="",P518=""),"",NETWORKDAYS(C518,P518)-1)</f>
        <v/>
      </c>
      <c r="X518">
        <f>IF(B518="","",IF(P518="","Aberto","Fechado"))</f>
        <v/>
      </c>
    </row>
    <row r="519">
      <c r="C519" s="6" t="n"/>
      <c r="E519" s="7" t="n"/>
      <c r="F519" s="8" t="n"/>
      <c r="G519" s="8" t="n"/>
      <c r="H519" s="8" t="n"/>
      <c r="J519" s="7" t="n"/>
      <c r="K519" s="8" t="n"/>
      <c r="L519" s="7" t="n"/>
      <c r="M519" s="8" t="n"/>
      <c r="N519" s="7" t="n"/>
      <c r="O519" s="8" t="n"/>
      <c r="P519" s="6" t="n"/>
      <c r="Q519" s="8" t="n"/>
      <c r="S519" s="8">
        <f>IF(B519="","",E519*F519)</f>
        <v/>
      </c>
      <c r="T519" s="8">
        <f>IF(OR(B519="",N(G519)=0),"",ABS(F519-G519)*E519)</f>
        <v/>
      </c>
      <c r="U519" s="8">
        <f>IF(OR(B519="",P519=""),"",IF(D519="Venda",-1,1)*((N(J519)*N(K519)+N(L519)*N(M519)+N(N519)*N(O519))-(N(J519)+N(L519)+N(N519))*F519)-N(Q519))</f>
        <v/>
      </c>
      <c r="V519" s="9">
        <f>IF(OR(B519="",P519=""),"",U519/S519)</f>
        <v/>
      </c>
      <c r="W519">
        <f>IF(OR(B519="",P519=""),"",NETWORKDAYS(C519,P519)-1)</f>
        <v/>
      </c>
      <c r="X519">
        <f>IF(B519="","",IF(P519="","Aberto","Fechado"))</f>
        <v/>
      </c>
    </row>
    <row r="520">
      <c r="C520" s="6" t="n"/>
      <c r="E520" s="7" t="n"/>
      <c r="F520" s="8" t="n"/>
      <c r="G520" s="8" t="n"/>
      <c r="H520" s="8" t="n"/>
      <c r="J520" s="7" t="n"/>
      <c r="K520" s="8" t="n"/>
      <c r="L520" s="7" t="n"/>
      <c r="M520" s="8" t="n"/>
      <c r="N520" s="7" t="n"/>
      <c r="O520" s="8" t="n"/>
      <c r="P520" s="6" t="n"/>
      <c r="Q520" s="8" t="n"/>
      <c r="S520" s="8">
        <f>IF(B520="","",E520*F520)</f>
        <v/>
      </c>
      <c r="T520" s="8">
        <f>IF(OR(B520="",N(G520)=0),"",ABS(F520-G520)*E520)</f>
        <v/>
      </c>
      <c r="U520" s="8">
        <f>IF(OR(B520="",P520=""),"",IF(D520="Venda",-1,1)*((N(J520)*N(K520)+N(L520)*N(M520)+N(N520)*N(O520))-(N(J520)+N(L520)+N(N520))*F520)-N(Q520))</f>
        <v/>
      </c>
      <c r="V520" s="9">
        <f>IF(OR(B520="",P520=""),"",U520/S520)</f>
        <v/>
      </c>
      <c r="W520">
        <f>IF(OR(B520="",P520=""),"",NETWORKDAYS(C520,P520)-1)</f>
        <v/>
      </c>
      <c r="X520">
        <f>IF(B520="","",IF(P520="","Aberto","Fechado"))</f>
        <v/>
      </c>
    </row>
    <row r="521">
      <c r="C521" s="6" t="n"/>
      <c r="E521" s="7" t="n"/>
      <c r="F521" s="8" t="n"/>
      <c r="G521" s="8" t="n"/>
      <c r="H521" s="8" t="n"/>
      <c r="J521" s="7" t="n"/>
      <c r="K521" s="8" t="n"/>
      <c r="L521" s="7" t="n"/>
      <c r="M521" s="8" t="n"/>
      <c r="N521" s="7" t="n"/>
      <c r="O521" s="8" t="n"/>
      <c r="P521" s="6" t="n"/>
      <c r="Q521" s="8" t="n"/>
      <c r="S521" s="8">
        <f>IF(B521="","",E521*F521)</f>
        <v/>
      </c>
      <c r="T521" s="8">
        <f>IF(OR(B521="",N(G521)=0),"",ABS(F521-G521)*E521)</f>
        <v/>
      </c>
      <c r="U521" s="8">
        <f>IF(OR(B521="",P521=""),"",IF(D521="Venda",-1,1)*((N(J521)*N(K521)+N(L521)*N(M521)+N(N521)*N(O521))-(N(J521)+N(L521)+N(N521))*F521)-N(Q521))</f>
        <v/>
      </c>
      <c r="V521" s="9">
        <f>IF(OR(B521="",P521=""),"",U521/S521)</f>
        <v/>
      </c>
      <c r="W521">
        <f>IF(OR(B521="",P521=""),"",NETWORKDAYS(C521,P521)-1)</f>
        <v/>
      </c>
      <c r="X521">
        <f>IF(B521="","",IF(P521="","Aberto","Fechado"))</f>
        <v/>
      </c>
    </row>
    <row r="522">
      <c r="C522" s="6" t="n"/>
      <c r="E522" s="7" t="n"/>
      <c r="F522" s="8" t="n"/>
      <c r="G522" s="8" t="n"/>
      <c r="H522" s="8" t="n"/>
      <c r="J522" s="7" t="n"/>
      <c r="K522" s="8" t="n"/>
      <c r="L522" s="7" t="n"/>
      <c r="M522" s="8" t="n"/>
      <c r="N522" s="7" t="n"/>
      <c r="O522" s="8" t="n"/>
      <c r="P522" s="6" t="n"/>
      <c r="Q522" s="8" t="n"/>
      <c r="S522" s="8">
        <f>IF(B522="","",E522*F522)</f>
        <v/>
      </c>
      <c r="T522" s="8">
        <f>IF(OR(B522="",N(G522)=0),"",ABS(F522-G522)*E522)</f>
        <v/>
      </c>
      <c r="U522" s="8">
        <f>IF(OR(B522="",P522=""),"",IF(D522="Venda",-1,1)*((N(J522)*N(K522)+N(L522)*N(M522)+N(N522)*N(O522))-(N(J522)+N(L522)+N(N522))*F522)-N(Q522))</f>
        <v/>
      </c>
      <c r="V522" s="9">
        <f>IF(OR(B522="",P522=""),"",U522/S522)</f>
        <v/>
      </c>
      <c r="W522">
        <f>IF(OR(B522="",P522=""),"",NETWORKDAYS(C522,P522)-1)</f>
        <v/>
      </c>
      <c r="X522">
        <f>IF(B522="","",IF(P522="","Aberto","Fechado"))</f>
        <v/>
      </c>
    </row>
    <row r="523">
      <c r="C523" s="6" t="n"/>
      <c r="E523" s="7" t="n"/>
      <c r="F523" s="8" t="n"/>
      <c r="G523" s="8" t="n"/>
      <c r="H523" s="8" t="n"/>
      <c r="J523" s="7" t="n"/>
      <c r="K523" s="8" t="n"/>
      <c r="L523" s="7" t="n"/>
      <c r="M523" s="8" t="n"/>
      <c r="N523" s="7" t="n"/>
      <c r="O523" s="8" t="n"/>
      <c r="P523" s="6" t="n"/>
      <c r="Q523" s="8" t="n"/>
      <c r="S523" s="8">
        <f>IF(B523="","",E523*F523)</f>
        <v/>
      </c>
      <c r="T523" s="8">
        <f>IF(OR(B523="",N(G523)=0),"",ABS(F523-G523)*E523)</f>
        <v/>
      </c>
      <c r="U523" s="8">
        <f>IF(OR(B523="",P523=""),"",IF(D523="Venda",-1,1)*((N(J523)*N(K523)+N(L523)*N(M523)+N(N523)*N(O523))-(N(J523)+N(L523)+N(N523))*F523)-N(Q523))</f>
        <v/>
      </c>
      <c r="V523" s="9">
        <f>IF(OR(B523="",P523=""),"",U523/S523)</f>
        <v/>
      </c>
      <c r="W523">
        <f>IF(OR(B523="",P523=""),"",NETWORKDAYS(C523,P523)-1)</f>
        <v/>
      </c>
      <c r="X523">
        <f>IF(B523="","",IF(P523="","Aberto","Fechado"))</f>
        <v/>
      </c>
    </row>
    <row r="524">
      <c r="C524" s="6" t="n"/>
      <c r="E524" s="7" t="n"/>
      <c r="F524" s="8" t="n"/>
      <c r="G524" s="8" t="n"/>
      <c r="H524" s="8" t="n"/>
      <c r="J524" s="7" t="n"/>
      <c r="K524" s="8" t="n"/>
      <c r="L524" s="7" t="n"/>
      <c r="M524" s="8" t="n"/>
      <c r="N524" s="7" t="n"/>
      <c r="O524" s="8" t="n"/>
      <c r="P524" s="6" t="n"/>
      <c r="Q524" s="8" t="n"/>
      <c r="S524" s="8">
        <f>IF(B524="","",E524*F524)</f>
        <v/>
      </c>
      <c r="T524" s="8">
        <f>IF(OR(B524="",N(G524)=0),"",ABS(F524-G524)*E524)</f>
        <v/>
      </c>
      <c r="U524" s="8">
        <f>IF(OR(B524="",P524=""),"",IF(D524="Venda",-1,1)*((N(J524)*N(K524)+N(L524)*N(M524)+N(N524)*N(O524))-(N(J524)+N(L524)+N(N524))*F524)-N(Q524))</f>
        <v/>
      </c>
      <c r="V524" s="9">
        <f>IF(OR(B524="",P524=""),"",U524/S524)</f>
        <v/>
      </c>
      <c r="W524">
        <f>IF(OR(B524="",P524=""),"",NETWORKDAYS(C524,P524)-1)</f>
        <v/>
      </c>
      <c r="X524">
        <f>IF(B524="","",IF(P524="","Aberto","Fechado"))</f>
        <v/>
      </c>
    </row>
    <row r="525">
      <c r="C525" s="6" t="n"/>
      <c r="E525" s="7" t="n"/>
      <c r="F525" s="8" t="n"/>
      <c r="G525" s="8" t="n"/>
      <c r="H525" s="8" t="n"/>
      <c r="J525" s="7" t="n"/>
      <c r="K525" s="8" t="n"/>
      <c r="L525" s="7" t="n"/>
      <c r="M525" s="8" t="n"/>
      <c r="N525" s="7" t="n"/>
      <c r="O525" s="8" t="n"/>
      <c r="P525" s="6" t="n"/>
      <c r="Q525" s="8" t="n"/>
      <c r="S525" s="8">
        <f>IF(B525="","",E525*F525)</f>
        <v/>
      </c>
      <c r="T525" s="8">
        <f>IF(OR(B525="",N(G525)=0),"",ABS(F525-G525)*E525)</f>
        <v/>
      </c>
      <c r="U525" s="8">
        <f>IF(OR(B525="",P525=""),"",IF(D525="Venda",-1,1)*((N(J525)*N(K525)+N(L525)*N(M525)+N(N525)*N(O525))-(N(J525)+N(L525)+N(N525))*F525)-N(Q525))</f>
        <v/>
      </c>
      <c r="V525" s="9">
        <f>IF(OR(B525="",P525=""),"",U525/S525)</f>
        <v/>
      </c>
      <c r="W525">
        <f>IF(OR(B525="",P525=""),"",NETWORKDAYS(C525,P525)-1)</f>
        <v/>
      </c>
      <c r="X525">
        <f>IF(B525="","",IF(P525="","Aberto","Fechado"))</f>
        <v/>
      </c>
    </row>
    <row r="526">
      <c r="C526" s="6" t="n"/>
      <c r="E526" s="7" t="n"/>
      <c r="F526" s="8" t="n"/>
      <c r="G526" s="8" t="n"/>
      <c r="H526" s="8" t="n"/>
      <c r="J526" s="7" t="n"/>
      <c r="K526" s="8" t="n"/>
      <c r="L526" s="7" t="n"/>
      <c r="M526" s="8" t="n"/>
      <c r="N526" s="7" t="n"/>
      <c r="O526" s="8" t="n"/>
      <c r="P526" s="6" t="n"/>
      <c r="Q526" s="8" t="n"/>
      <c r="S526" s="8">
        <f>IF(B526="","",E526*F526)</f>
        <v/>
      </c>
      <c r="T526" s="8">
        <f>IF(OR(B526="",N(G526)=0),"",ABS(F526-G526)*E526)</f>
        <v/>
      </c>
      <c r="U526" s="8">
        <f>IF(OR(B526="",P526=""),"",IF(D526="Venda",-1,1)*((N(J526)*N(K526)+N(L526)*N(M526)+N(N526)*N(O526))-(N(J526)+N(L526)+N(N526))*F526)-N(Q526))</f>
        <v/>
      </c>
      <c r="V526" s="9">
        <f>IF(OR(B526="",P526=""),"",U526/S526)</f>
        <v/>
      </c>
      <c r="W526">
        <f>IF(OR(B526="",P526=""),"",NETWORKDAYS(C526,P526)-1)</f>
        <v/>
      </c>
      <c r="X526">
        <f>IF(B526="","",IF(P526="","Aberto","Fechado"))</f>
        <v/>
      </c>
    </row>
    <row r="527">
      <c r="C527" s="6" t="n"/>
      <c r="E527" s="7" t="n"/>
      <c r="F527" s="8" t="n"/>
      <c r="G527" s="8" t="n"/>
      <c r="H527" s="8" t="n"/>
      <c r="J527" s="7" t="n"/>
      <c r="K527" s="8" t="n"/>
      <c r="L527" s="7" t="n"/>
      <c r="M527" s="8" t="n"/>
      <c r="N527" s="7" t="n"/>
      <c r="O527" s="8" t="n"/>
      <c r="P527" s="6" t="n"/>
      <c r="Q527" s="8" t="n"/>
      <c r="S527" s="8">
        <f>IF(B527="","",E527*F527)</f>
        <v/>
      </c>
      <c r="T527" s="8">
        <f>IF(OR(B527="",N(G527)=0),"",ABS(F527-G527)*E527)</f>
        <v/>
      </c>
      <c r="U527" s="8">
        <f>IF(OR(B527="",P527=""),"",IF(D527="Venda",-1,1)*((N(J527)*N(K527)+N(L527)*N(M527)+N(N527)*N(O527))-(N(J527)+N(L527)+N(N527))*F527)-N(Q527))</f>
        <v/>
      </c>
      <c r="V527" s="9">
        <f>IF(OR(B527="",P527=""),"",U527/S527)</f>
        <v/>
      </c>
      <c r="W527">
        <f>IF(OR(B527="",P527=""),"",NETWORKDAYS(C527,P527)-1)</f>
        <v/>
      </c>
      <c r="X527">
        <f>IF(B527="","",IF(P527="","Aberto","Fechado"))</f>
        <v/>
      </c>
    </row>
    <row r="528">
      <c r="C528" s="6" t="n"/>
      <c r="E528" s="7" t="n"/>
      <c r="F528" s="8" t="n"/>
      <c r="G528" s="8" t="n"/>
      <c r="H528" s="8" t="n"/>
      <c r="J528" s="7" t="n"/>
      <c r="K528" s="8" t="n"/>
      <c r="L528" s="7" t="n"/>
      <c r="M528" s="8" t="n"/>
      <c r="N528" s="7" t="n"/>
      <c r="O528" s="8" t="n"/>
      <c r="P528" s="6" t="n"/>
      <c r="Q528" s="8" t="n"/>
      <c r="S528" s="8">
        <f>IF(B528="","",E528*F528)</f>
        <v/>
      </c>
      <c r="T528" s="8">
        <f>IF(OR(B528="",N(G528)=0),"",ABS(F528-G528)*E528)</f>
        <v/>
      </c>
      <c r="U528" s="8">
        <f>IF(OR(B528="",P528=""),"",IF(D528="Venda",-1,1)*((N(J528)*N(K528)+N(L528)*N(M528)+N(N528)*N(O528))-(N(J528)+N(L528)+N(N528))*F528)-N(Q528))</f>
        <v/>
      </c>
      <c r="V528" s="9">
        <f>IF(OR(B528="",P528=""),"",U528/S528)</f>
        <v/>
      </c>
      <c r="W528">
        <f>IF(OR(B528="",P528=""),"",NETWORKDAYS(C528,P528)-1)</f>
        <v/>
      </c>
      <c r="X528">
        <f>IF(B528="","",IF(P528="","Aberto","Fechado"))</f>
        <v/>
      </c>
    </row>
    <row r="529">
      <c r="C529" s="6" t="n"/>
      <c r="E529" s="7" t="n"/>
      <c r="F529" s="8" t="n"/>
      <c r="G529" s="8" t="n"/>
      <c r="H529" s="8" t="n"/>
      <c r="J529" s="7" t="n"/>
      <c r="K529" s="8" t="n"/>
      <c r="L529" s="7" t="n"/>
      <c r="M529" s="8" t="n"/>
      <c r="N529" s="7" t="n"/>
      <c r="O529" s="8" t="n"/>
      <c r="P529" s="6" t="n"/>
      <c r="Q529" s="8" t="n"/>
      <c r="S529" s="8">
        <f>IF(B529="","",E529*F529)</f>
        <v/>
      </c>
      <c r="T529" s="8">
        <f>IF(OR(B529="",N(G529)=0),"",ABS(F529-G529)*E529)</f>
        <v/>
      </c>
      <c r="U529" s="8">
        <f>IF(OR(B529="",P529=""),"",IF(D529="Venda",-1,1)*((N(J529)*N(K529)+N(L529)*N(M529)+N(N529)*N(O529))-(N(J529)+N(L529)+N(N529))*F529)-N(Q529))</f>
        <v/>
      </c>
      <c r="V529" s="9">
        <f>IF(OR(B529="",P529=""),"",U529/S529)</f>
        <v/>
      </c>
      <c r="W529">
        <f>IF(OR(B529="",P529=""),"",NETWORKDAYS(C529,P529)-1)</f>
        <v/>
      </c>
      <c r="X529">
        <f>IF(B529="","",IF(P529="","Aberto","Fechado"))</f>
        <v/>
      </c>
    </row>
    <row r="530">
      <c r="C530" s="6" t="n"/>
      <c r="E530" s="7" t="n"/>
      <c r="F530" s="8" t="n"/>
      <c r="G530" s="8" t="n"/>
      <c r="H530" s="8" t="n"/>
      <c r="J530" s="7" t="n"/>
      <c r="K530" s="8" t="n"/>
      <c r="L530" s="7" t="n"/>
      <c r="M530" s="8" t="n"/>
      <c r="N530" s="7" t="n"/>
      <c r="O530" s="8" t="n"/>
      <c r="P530" s="6" t="n"/>
      <c r="Q530" s="8" t="n"/>
      <c r="S530" s="8">
        <f>IF(B530="","",E530*F530)</f>
        <v/>
      </c>
      <c r="T530" s="8">
        <f>IF(OR(B530="",N(G530)=0),"",ABS(F530-G530)*E530)</f>
        <v/>
      </c>
      <c r="U530" s="8">
        <f>IF(OR(B530="",P530=""),"",IF(D530="Venda",-1,1)*((N(J530)*N(K530)+N(L530)*N(M530)+N(N530)*N(O530))-(N(J530)+N(L530)+N(N530))*F530)-N(Q530))</f>
        <v/>
      </c>
      <c r="V530" s="9">
        <f>IF(OR(B530="",P530=""),"",U530/S530)</f>
        <v/>
      </c>
      <c r="W530">
        <f>IF(OR(B530="",P530=""),"",NETWORKDAYS(C530,P530)-1)</f>
        <v/>
      </c>
      <c r="X530">
        <f>IF(B530="","",IF(P530="","Aberto","Fechado"))</f>
        <v/>
      </c>
    </row>
    <row r="531">
      <c r="C531" s="6" t="n"/>
      <c r="E531" s="7" t="n"/>
      <c r="F531" s="8" t="n"/>
      <c r="G531" s="8" t="n"/>
      <c r="H531" s="8" t="n"/>
      <c r="J531" s="7" t="n"/>
      <c r="K531" s="8" t="n"/>
      <c r="L531" s="7" t="n"/>
      <c r="M531" s="8" t="n"/>
      <c r="N531" s="7" t="n"/>
      <c r="O531" s="8" t="n"/>
      <c r="P531" s="6" t="n"/>
      <c r="Q531" s="8" t="n"/>
      <c r="S531" s="8">
        <f>IF(B531="","",E531*F531)</f>
        <v/>
      </c>
      <c r="T531" s="8">
        <f>IF(OR(B531="",N(G531)=0),"",ABS(F531-G531)*E531)</f>
        <v/>
      </c>
      <c r="U531" s="8">
        <f>IF(OR(B531="",P531=""),"",IF(D531="Venda",-1,1)*((N(J531)*N(K531)+N(L531)*N(M531)+N(N531)*N(O531))-(N(J531)+N(L531)+N(N531))*F531)-N(Q531))</f>
        <v/>
      </c>
      <c r="V531" s="9">
        <f>IF(OR(B531="",P531=""),"",U531/S531)</f>
        <v/>
      </c>
      <c r="W531">
        <f>IF(OR(B531="",P531=""),"",NETWORKDAYS(C531,P531)-1)</f>
        <v/>
      </c>
      <c r="X531">
        <f>IF(B531="","",IF(P531="","Aberto","Fechado"))</f>
        <v/>
      </c>
    </row>
    <row r="532">
      <c r="C532" s="6" t="n"/>
      <c r="E532" s="7" t="n"/>
      <c r="F532" s="8" t="n"/>
      <c r="G532" s="8" t="n"/>
      <c r="H532" s="8" t="n"/>
      <c r="J532" s="7" t="n"/>
      <c r="K532" s="8" t="n"/>
      <c r="L532" s="7" t="n"/>
      <c r="M532" s="8" t="n"/>
      <c r="N532" s="7" t="n"/>
      <c r="O532" s="8" t="n"/>
      <c r="P532" s="6" t="n"/>
      <c r="Q532" s="8" t="n"/>
      <c r="S532" s="8">
        <f>IF(B532="","",E532*F532)</f>
        <v/>
      </c>
      <c r="T532" s="8">
        <f>IF(OR(B532="",N(G532)=0),"",ABS(F532-G532)*E532)</f>
        <v/>
      </c>
      <c r="U532" s="8">
        <f>IF(OR(B532="",P532=""),"",IF(D532="Venda",-1,1)*((N(J532)*N(K532)+N(L532)*N(M532)+N(N532)*N(O532))-(N(J532)+N(L532)+N(N532))*F532)-N(Q532))</f>
        <v/>
      </c>
      <c r="V532" s="9">
        <f>IF(OR(B532="",P532=""),"",U532/S532)</f>
        <v/>
      </c>
      <c r="W532">
        <f>IF(OR(B532="",P532=""),"",NETWORKDAYS(C532,P532)-1)</f>
        <v/>
      </c>
      <c r="X532">
        <f>IF(B532="","",IF(P532="","Aberto","Fechado"))</f>
        <v/>
      </c>
    </row>
    <row r="533">
      <c r="C533" s="6" t="n"/>
      <c r="E533" s="7" t="n"/>
      <c r="F533" s="8" t="n"/>
      <c r="G533" s="8" t="n"/>
      <c r="H533" s="8" t="n"/>
      <c r="J533" s="7" t="n"/>
      <c r="K533" s="8" t="n"/>
      <c r="L533" s="7" t="n"/>
      <c r="M533" s="8" t="n"/>
      <c r="N533" s="7" t="n"/>
      <c r="O533" s="8" t="n"/>
      <c r="P533" s="6" t="n"/>
      <c r="Q533" s="8" t="n"/>
      <c r="S533" s="8">
        <f>IF(B533="","",E533*F533)</f>
        <v/>
      </c>
      <c r="T533" s="8">
        <f>IF(OR(B533="",N(G533)=0),"",ABS(F533-G533)*E533)</f>
        <v/>
      </c>
      <c r="U533" s="8">
        <f>IF(OR(B533="",P533=""),"",IF(D533="Venda",-1,1)*((N(J533)*N(K533)+N(L533)*N(M533)+N(N533)*N(O533))-(N(J533)+N(L533)+N(N533))*F533)-N(Q533))</f>
        <v/>
      </c>
      <c r="V533" s="9">
        <f>IF(OR(B533="",P533=""),"",U533/S533)</f>
        <v/>
      </c>
      <c r="W533">
        <f>IF(OR(B533="",P533=""),"",NETWORKDAYS(C533,P533)-1)</f>
        <v/>
      </c>
      <c r="X533">
        <f>IF(B533="","",IF(P533="","Aberto","Fechado"))</f>
        <v/>
      </c>
    </row>
    <row r="534">
      <c r="C534" s="6" t="n"/>
      <c r="E534" s="7" t="n"/>
      <c r="F534" s="8" t="n"/>
      <c r="G534" s="8" t="n"/>
      <c r="H534" s="8" t="n"/>
      <c r="J534" s="7" t="n"/>
      <c r="K534" s="8" t="n"/>
      <c r="L534" s="7" t="n"/>
      <c r="M534" s="8" t="n"/>
      <c r="N534" s="7" t="n"/>
      <c r="O534" s="8" t="n"/>
      <c r="P534" s="6" t="n"/>
      <c r="Q534" s="8" t="n"/>
      <c r="S534" s="8">
        <f>IF(B534="","",E534*F534)</f>
        <v/>
      </c>
      <c r="T534" s="8">
        <f>IF(OR(B534="",N(G534)=0),"",ABS(F534-G534)*E534)</f>
        <v/>
      </c>
      <c r="U534" s="8">
        <f>IF(OR(B534="",P534=""),"",IF(D534="Venda",-1,1)*((N(J534)*N(K534)+N(L534)*N(M534)+N(N534)*N(O534))-(N(J534)+N(L534)+N(N534))*F534)-N(Q534))</f>
        <v/>
      </c>
      <c r="V534" s="9">
        <f>IF(OR(B534="",P534=""),"",U534/S534)</f>
        <v/>
      </c>
      <c r="W534">
        <f>IF(OR(B534="",P534=""),"",NETWORKDAYS(C534,P534)-1)</f>
        <v/>
      </c>
      <c r="X534">
        <f>IF(B534="","",IF(P534="","Aberto","Fechado"))</f>
        <v/>
      </c>
    </row>
    <row r="535">
      <c r="C535" s="6" t="n"/>
      <c r="E535" s="7" t="n"/>
      <c r="F535" s="8" t="n"/>
      <c r="G535" s="8" t="n"/>
      <c r="H535" s="8" t="n"/>
      <c r="J535" s="7" t="n"/>
      <c r="K535" s="8" t="n"/>
      <c r="L535" s="7" t="n"/>
      <c r="M535" s="8" t="n"/>
      <c r="N535" s="7" t="n"/>
      <c r="O535" s="8" t="n"/>
      <c r="P535" s="6" t="n"/>
      <c r="Q535" s="8" t="n"/>
      <c r="S535" s="8">
        <f>IF(B535="","",E535*F535)</f>
        <v/>
      </c>
      <c r="T535" s="8">
        <f>IF(OR(B535="",N(G535)=0),"",ABS(F535-G535)*E535)</f>
        <v/>
      </c>
      <c r="U535" s="8">
        <f>IF(OR(B535="",P535=""),"",IF(D535="Venda",-1,1)*((N(J535)*N(K535)+N(L535)*N(M535)+N(N535)*N(O535))-(N(J535)+N(L535)+N(N535))*F535)-N(Q535))</f>
        <v/>
      </c>
      <c r="V535" s="9">
        <f>IF(OR(B535="",P535=""),"",U535/S535)</f>
        <v/>
      </c>
      <c r="W535">
        <f>IF(OR(B535="",P535=""),"",NETWORKDAYS(C535,P535)-1)</f>
        <v/>
      </c>
      <c r="X535">
        <f>IF(B535="","",IF(P535="","Aberto","Fechado"))</f>
        <v/>
      </c>
    </row>
    <row r="536">
      <c r="C536" s="6" t="n"/>
      <c r="E536" s="7" t="n"/>
      <c r="F536" s="8" t="n"/>
      <c r="G536" s="8" t="n"/>
      <c r="H536" s="8" t="n"/>
      <c r="J536" s="7" t="n"/>
      <c r="K536" s="8" t="n"/>
      <c r="L536" s="7" t="n"/>
      <c r="M536" s="8" t="n"/>
      <c r="N536" s="7" t="n"/>
      <c r="O536" s="8" t="n"/>
      <c r="P536" s="6" t="n"/>
      <c r="Q536" s="8" t="n"/>
      <c r="S536" s="8">
        <f>IF(B536="","",E536*F536)</f>
        <v/>
      </c>
      <c r="T536" s="8">
        <f>IF(OR(B536="",N(G536)=0),"",ABS(F536-G536)*E536)</f>
        <v/>
      </c>
      <c r="U536" s="8">
        <f>IF(OR(B536="",P536=""),"",IF(D536="Venda",-1,1)*((N(J536)*N(K536)+N(L536)*N(M536)+N(N536)*N(O536))-(N(J536)+N(L536)+N(N536))*F536)-N(Q536))</f>
        <v/>
      </c>
      <c r="V536" s="9">
        <f>IF(OR(B536="",P536=""),"",U536/S536)</f>
        <v/>
      </c>
      <c r="W536">
        <f>IF(OR(B536="",P536=""),"",NETWORKDAYS(C536,P536)-1)</f>
        <v/>
      </c>
      <c r="X536">
        <f>IF(B536="","",IF(P536="","Aberto","Fechado"))</f>
        <v/>
      </c>
    </row>
    <row r="537">
      <c r="C537" s="6" t="n"/>
      <c r="E537" s="7" t="n"/>
      <c r="F537" s="8" t="n"/>
      <c r="G537" s="8" t="n"/>
      <c r="H537" s="8" t="n"/>
      <c r="J537" s="7" t="n"/>
      <c r="K537" s="8" t="n"/>
      <c r="L537" s="7" t="n"/>
      <c r="M537" s="8" t="n"/>
      <c r="N537" s="7" t="n"/>
      <c r="O537" s="8" t="n"/>
      <c r="P537" s="6" t="n"/>
      <c r="Q537" s="8" t="n"/>
      <c r="S537" s="8">
        <f>IF(B537="","",E537*F537)</f>
        <v/>
      </c>
      <c r="T537" s="8">
        <f>IF(OR(B537="",N(G537)=0),"",ABS(F537-G537)*E537)</f>
        <v/>
      </c>
      <c r="U537" s="8">
        <f>IF(OR(B537="",P537=""),"",IF(D537="Venda",-1,1)*((N(J537)*N(K537)+N(L537)*N(M537)+N(N537)*N(O537))-(N(J537)+N(L537)+N(N537))*F537)-N(Q537))</f>
        <v/>
      </c>
      <c r="V537" s="9">
        <f>IF(OR(B537="",P537=""),"",U537/S537)</f>
        <v/>
      </c>
      <c r="W537">
        <f>IF(OR(B537="",P537=""),"",NETWORKDAYS(C537,P537)-1)</f>
        <v/>
      </c>
      <c r="X537">
        <f>IF(B537="","",IF(P537="","Aberto","Fechado"))</f>
        <v/>
      </c>
    </row>
    <row r="538">
      <c r="C538" s="6" t="n"/>
      <c r="E538" s="7" t="n"/>
      <c r="F538" s="8" t="n"/>
      <c r="G538" s="8" t="n"/>
      <c r="H538" s="8" t="n"/>
      <c r="J538" s="7" t="n"/>
      <c r="K538" s="8" t="n"/>
      <c r="L538" s="7" t="n"/>
      <c r="M538" s="8" t="n"/>
      <c r="N538" s="7" t="n"/>
      <c r="O538" s="8" t="n"/>
      <c r="P538" s="6" t="n"/>
      <c r="Q538" s="8" t="n"/>
      <c r="S538" s="8">
        <f>IF(B538="","",E538*F538)</f>
        <v/>
      </c>
      <c r="T538" s="8">
        <f>IF(OR(B538="",N(G538)=0),"",ABS(F538-G538)*E538)</f>
        <v/>
      </c>
      <c r="U538" s="8">
        <f>IF(OR(B538="",P538=""),"",IF(D538="Venda",-1,1)*((N(J538)*N(K538)+N(L538)*N(M538)+N(N538)*N(O538))-(N(J538)+N(L538)+N(N538))*F538)-N(Q538))</f>
        <v/>
      </c>
      <c r="V538" s="9">
        <f>IF(OR(B538="",P538=""),"",U538/S538)</f>
        <v/>
      </c>
      <c r="W538">
        <f>IF(OR(B538="",P538=""),"",NETWORKDAYS(C538,P538)-1)</f>
        <v/>
      </c>
      <c r="X538">
        <f>IF(B538="","",IF(P538="","Aberto","Fechado"))</f>
        <v/>
      </c>
    </row>
    <row r="539">
      <c r="C539" s="6" t="n"/>
      <c r="E539" s="7" t="n"/>
      <c r="F539" s="8" t="n"/>
      <c r="G539" s="8" t="n"/>
      <c r="H539" s="8" t="n"/>
      <c r="J539" s="7" t="n"/>
      <c r="K539" s="8" t="n"/>
      <c r="L539" s="7" t="n"/>
      <c r="M539" s="8" t="n"/>
      <c r="N539" s="7" t="n"/>
      <c r="O539" s="8" t="n"/>
      <c r="P539" s="6" t="n"/>
      <c r="Q539" s="8" t="n"/>
      <c r="S539" s="8">
        <f>IF(B539="","",E539*F539)</f>
        <v/>
      </c>
      <c r="T539" s="8">
        <f>IF(OR(B539="",N(G539)=0),"",ABS(F539-G539)*E539)</f>
        <v/>
      </c>
      <c r="U539" s="8">
        <f>IF(OR(B539="",P539=""),"",IF(D539="Venda",-1,1)*((N(J539)*N(K539)+N(L539)*N(M539)+N(N539)*N(O539))-(N(J539)+N(L539)+N(N539))*F539)-N(Q539))</f>
        <v/>
      </c>
      <c r="V539" s="9">
        <f>IF(OR(B539="",P539=""),"",U539/S539)</f>
        <v/>
      </c>
      <c r="W539">
        <f>IF(OR(B539="",P539=""),"",NETWORKDAYS(C539,P539)-1)</f>
        <v/>
      </c>
      <c r="X539">
        <f>IF(B539="","",IF(P539="","Aberto","Fechado"))</f>
        <v/>
      </c>
    </row>
    <row r="540">
      <c r="C540" s="6" t="n"/>
      <c r="E540" s="7" t="n"/>
      <c r="F540" s="8" t="n"/>
      <c r="G540" s="8" t="n"/>
      <c r="H540" s="8" t="n"/>
      <c r="J540" s="7" t="n"/>
      <c r="K540" s="8" t="n"/>
      <c r="L540" s="7" t="n"/>
      <c r="M540" s="8" t="n"/>
      <c r="N540" s="7" t="n"/>
      <c r="O540" s="8" t="n"/>
      <c r="P540" s="6" t="n"/>
      <c r="Q540" s="8" t="n"/>
      <c r="S540" s="8">
        <f>IF(B540="","",E540*F540)</f>
        <v/>
      </c>
      <c r="T540" s="8">
        <f>IF(OR(B540="",N(G540)=0),"",ABS(F540-G540)*E540)</f>
        <v/>
      </c>
      <c r="U540" s="8">
        <f>IF(OR(B540="",P540=""),"",IF(D540="Venda",-1,1)*((N(J540)*N(K540)+N(L540)*N(M540)+N(N540)*N(O540))-(N(J540)+N(L540)+N(N540))*F540)-N(Q540))</f>
        <v/>
      </c>
      <c r="V540" s="9">
        <f>IF(OR(B540="",P540=""),"",U540/S540)</f>
        <v/>
      </c>
      <c r="W540">
        <f>IF(OR(B540="",P540=""),"",NETWORKDAYS(C540,P540)-1)</f>
        <v/>
      </c>
      <c r="X540">
        <f>IF(B540="","",IF(P540="","Aberto","Fechado"))</f>
        <v/>
      </c>
    </row>
    <row r="541">
      <c r="C541" s="6" t="n"/>
      <c r="E541" s="7" t="n"/>
      <c r="F541" s="8" t="n"/>
      <c r="G541" s="8" t="n"/>
      <c r="H541" s="8" t="n"/>
      <c r="J541" s="7" t="n"/>
      <c r="K541" s="8" t="n"/>
      <c r="L541" s="7" t="n"/>
      <c r="M541" s="8" t="n"/>
      <c r="N541" s="7" t="n"/>
      <c r="O541" s="8" t="n"/>
      <c r="P541" s="6" t="n"/>
      <c r="Q541" s="8" t="n"/>
      <c r="S541" s="8">
        <f>IF(B541="","",E541*F541)</f>
        <v/>
      </c>
      <c r="T541" s="8">
        <f>IF(OR(B541="",N(G541)=0),"",ABS(F541-G541)*E541)</f>
        <v/>
      </c>
      <c r="U541" s="8">
        <f>IF(OR(B541="",P541=""),"",IF(D541="Venda",-1,1)*((N(J541)*N(K541)+N(L541)*N(M541)+N(N541)*N(O541))-(N(J541)+N(L541)+N(N541))*F541)-N(Q541))</f>
        <v/>
      </c>
      <c r="V541" s="9">
        <f>IF(OR(B541="",P541=""),"",U541/S541)</f>
        <v/>
      </c>
      <c r="W541">
        <f>IF(OR(B541="",P541=""),"",NETWORKDAYS(C541,P541)-1)</f>
        <v/>
      </c>
      <c r="X541">
        <f>IF(B541="","",IF(P541="","Aberto","Fechado"))</f>
        <v/>
      </c>
    </row>
    <row r="542">
      <c r="C542" s="6" t="n"/>
      <c r="E542" s="7" t="n"/>
      <c r="F542" s="8" t="n"/>
      <c r="G542" s="8" t="n"/>
      <c r="H542" s="8" t="n"/>
      <c r="J542" s="7" t="n"/>
      <c r="K542" s="8" t="n"/>
      <c r="L542" s="7" t="n"/>
      <c r="M542" s="8" t="n"/>
      <c r="N542" s="7" t="n"/>
      <c r="O542" s="8" t="n"/>
      <c r="P542" s="6" t="n"/>
      <c r="Q542" s="8" t="n"/>
      <c r="S542" s="8">
        <f>IF(B542="","",E542*F542)</f>
        <v/>
      </c>
      <c r="T542" s="8">
        <f>IF(OR(B542="",N(G542)=0),"",ABS(F542-G542)*E542)</f>
        <v/>
      </c>
      <c r="U542" s="8">
        <f>IF(OR(B542="",P542=""),"",IF(D542="Venda",-1,1)*((N(J542)*N(K542)+N(L542)*N(M542)+N(N542)*N(O542))-(N(J542)+N(L542)+N(N542))*F542)-N(Q542))</f>
        <v/>
      </c>
      <c r="V542" s="9">
        <f>IF(OR(B542="",P542=""),"",U542/S542)</f>
        <v/>
      </c>
      <c r="W542">
        <f>IF(OR(B542="",P542=""),"",NETWORKDAYS(C542,P542)-1)</f>
        <v/>
      </c>
      <c r="X542">
        <f>IF(B542="","",IF(P542="","Aberto","Fechado"))</f>
        <v/>
      </c>
    </row>
    <row r="543">
      <c r="C543" s="6" t="n"/>
      <c r="E543" s="7" t="n"/>
      <c r="F543" s="8" t="n"/>
      <c r="G543" s="8" t="n"/>
      <c r="H543" s="8" t="n"/>
      <c r="J543" s="7" t="n"/>
      <c r="K543" s="8" t="n"/>
      <c r="L543" s="7" t="n"/>
      <c r="M543" s="8" t="n"/>
      <c r="N543" s="7" t="n"/>
      <c r="O543" s="8" t="n"/>
      <c r="P543" s="6" t="n"/>
      <c r="Q543" s="8" t="n"/>
      <c r="S543" s="8">
        <f>IF(B543="","",E543*F543)</f>
        <v/>
      </c>
      <c r="T543" s="8">
        <f>IF(OR(B543="",N(G543)=0),"",ABS(F543-G543)*E543)</f>
        <v/>
      </c>
      <c r="U543" s="8">
        <f>IF(OR(B543="",P543=""),"",IF(D543="Venda",-1,1)*((N(J543)*N(K543)+N(L543)*N(M543)+N(N543)*N(O543))-(N(J543)+N(L543)+N(N543))*F543)-N(Q543))</f>
        <v/>
      </c>
      <c r="V543" s="9">
        <f>IF(OR(B543="",P543=""),"",U543/S543)</f>
        <v/>
      </c>
      <c r="W543">
        <f>IF(OR(B543="",P543=""),"",NETWORKDAYS(C543,P543)-1)</f>
        <v/>
      </c>
      <c r="X543">
        <f>IF(B543="","",IF(P543="","Aberto","Fechado"))</f>
        <v/>
      </c>
    </row>
    <row r="544">
      <c r="C544" s="6" t="n"/>
      <c r="E544" s="7" t="n"/>
      <c r="F544" s="8" t="n"/>
      <c r="G544" s="8" t="n"/>
      <c r="H544" s="8" t="n"/>
      <c r="J544" s="7" t="n"/>
      <c r="K544" s="8" t="n"/>
      <c r="L544" s="7" t="n"/>
      <c r="M544" s="8" t="n"/>
      <c r="N544" s="7" t="n"/>
      <c r="O544" s="8" t="n"/>
      <c r="P544" s="6" t="n"/>
      <c r="Q544" s="8" t="n"/>
      <c r="S544" s="8">
        <f>IF(B544="","",E544*F544)</f>
        <v/>
      </c>
      <c r="T544" s="8">
        <f>IF(OR(B544="",N(G544)=0),"",ABS(F544-G544)*E544)</f>
        <v/>
      </c>
      <c r="U544" s="8">
        <f>IF(OR(B544="",P544=""),"",IF(D544="Venda",-1,1)*((N(J544)*N(K544)+N(L544)*N(M544)+N(N544)*N(O544))-(N(J544)+N(L544)+N(N544))*F544)-N(Q544))</f>
        <v/>
      </c>
      <c r="V544" s="9">
        <f>IF(OR(B544="",P544=""),"",U544/S544)</f>
        <v/>
      </c>
      <c r="W544">
        <f>IF(OR(B544="",P544=""),"",NETWORKDAYS(C544,P544)-1)</f>
        <v/>
      </c>
      <c r="X544">
        <f>IF(B544="","",IF(P544="","Aberto","Fechado"))</f>
        <v/>
      </c>
    </row>
    <row r="545">
      <c r="C545" s="6" t="n"/>
      <c r="E545" s="7" t="n"/>
      <c r="F545" s="8" t="n"/>
      <c r="G545" s="8" t="n"/>
      <c r="H545" s="8" t="n"/>
      <c r="J545" s="7" t="n"/>
      <c r="K545" s="8" t="n"/>
      <c r="L545" s="7" t="n"/>
      <c r="M545" s="8" t="n"/>
      <c r="N545" s="7" t="n"/>
      <c r="O545" s="8" t="n"/>
      <c r="P545" s="6" t="n"/>
      <c r="Q545" s="8" t="n"/>
      <c r="S545" s="8">
        <f>IF(B545="","",E545*F545)</f>
        <v/>
      </c>
      <c r="T545" s="8">
        <f>IF(OR(B545="",N(G545)=0),"",ABS(F545-G545)*E545)</f>
        <v/>
      </c>
      <c r="U545" s="8">
        <f>IF(OR(B545="",P545=""),"",IF(D545="Venda",-1,1)*((N(J545)*N(K545)+N(L545)*N(M545)+N(N545)*N(O545))-(N(J545)+N(L545)+N(N545))*F545)-N(Q545))</f>
        <v/>
      </c>
      <c r="V545" s="9">
        <f>IF(OR(B545="",P545=""),"",U545/S545)</f>
        <v/>
      </c>
      <c r="W545">
        <f>IF(OR(B545="",P545=""),"",NETWORKDAYS(C545,P545)-1)</f>
        <v/>
      </c>
      <c r="X545">
        <f>IF(B545="","",IF(P545="","Aberto","Fechado"))</f>
        <v/>
      </c>
    </row>
    <row r="546">
      <c r="C546" s="6" t="n"/>
      <c r="E546" s="7" t="n"/>
      <c r="F546" s="8" t="n"/>
      <c r="G546" s="8" t="n"/>
      <c r="H546" s="8" t="n"/>
      <c r="J546" s="7" t="n"/>
      <c r="K546" s="8" t="n"/>
      <c r="L546" s="7" t="n"/>
      <c r="M546" s="8" t="n"/>
      <c r="N546" s="7" t="n"/>
      <c r="O546" s="8" t="n"/>
      <c r="P546" s="6" t="n"/>
      <c r="Q546" s="8" t="n"/>
      <c r="S546" s="8">
        <f>IF(B546="","",E546*F546)</f>
        <v/>
      </c>
      <c r="T546" s="8">
        <f>IF(OR(B546="",N(G546)=0),"",ABS(F546-G546)*E546)</f>
        <v/>
      </c>
      <c r="U546" s="8">
        <f>IF(OR(B546="",P546=""),"",IF(D546="Venda",-1,1)*((N(J546)*N(K546)+N(L546)*N(M546)+N(N546)*N(O546))-(N(J546)+N(L546)+N(N546))*F546)-N(Q546))</f>
        <v/>
      </c>
      <c r="V546" s="9">
        <f>IF(OR(B546="",P546=""),"",U546/S546)</f>
        <v/>
      </c>
      <c r="W546">
        <f>IF(OR(B546="",P546=""),"",NETWORKDAYS(C546,P546)-1)</f>
        <v/>
      </c>
      <c r="X546">
        <f>IF(B546="","",IF(P546="","Aberto","Fechado"))</f>
        <v/>
      </c>
    </row>
    <row r="547">
      <c r="C547" s="6" t="n"/>
      <c r="E547" s="7" t="n"/>
      <c r="F547" s="8" t="n"/>
      <c r="G547" s="8" t="n"/>
      <c r="H547" s="8" t="n"/>
      <c r="J547" s="7" t="n"/>
      <c r="K547" s="8" t="n"/>
      <c r="L547" s="7" t="n"/>
      <c r="M547" s="8" t="n"/>
      <c r="N547" s="7" t="n"/>
      <c r="O547" s="8" t="n"/>
      <c r="P547" s="6" t="n"/>
      <c r="Q547" s="8" t="n"/>
      <c r="S547" s="8">
        <f>IF(B547="","",E547*F547)</f>
        <v/>
      </c>
      <c r="T547" s="8">
        <f>IF(OR(B547="",N(G547)=0),"",ABS(F547-G547)*E547)</f>
        <v/>
      </c>
      <c r="U547" s="8">
        <f>IF(OR(B547="",P547=""),"",IF(D547="Venda",-1,1)*((N(J547)*N(K547)+N(L547)*N(M547)+N(N547)*N(O547))-(N(J547)+N(L547)+N(N547))*F547)-N(Q547))</f>
        <v/>
      </c>
      <c r="V547" s="9">
        <f>IF(OR(B547="",P547=""),"",U547/S547)</f>
        <v/>
      </c>
      <c r="W547">
        <f>IF(OR(B547="",P547=""),"",NETWORKDAYS(C547,P547)-1)</f>
        <v/>
      </c>
      <c r="X547">
        <f>IF(B547="","",IF(P547="","Aberto","Fechado"))</f>
        <v/>
      </c>
    </row>
    <row r="548">
      <c r="C548" s="6" t="n"/>
      <c r="E548" s="7" t="n"/>
      <c r="F548" s="8" t="n"/>
      <c r="G548" s="8" t="n"/>
      <c r="H548" s="8" t="n"/>
      <c r="J548" s="7" t="n"/>
      <c r="K548" s="8" t="n"/>
      <c r="L548" s="7" t="n"/>
      <c r="M548" s="8" t="n"/>
      <c r="N548" s="7" t="n"/>
      <c r="O548" s="8" t="n"/>
      <c r="P548" s="6" t="n"/>
      <c r="Q548" s="8" t="n"/>
      <c r="S548" s="8">
        <f>IF(B548="","",E548*F548)</f>
        <v/>
      </c>
      <c r="T548" s="8">
        <f>IF(OR(B548="",N(G548)=0),"",ABS(F548-G548)*E548)</f>
        <v/>
      </c>
      <c r="U548" s="8">
        <f>IF(OR(B548="",P548=""),"",IF(D548="Venda",-1,1)*((N(J548)*N(K548)+N(L548)*N(M548)+N(N548)*N(O548))-(N(J548)+N(L548)+N(N548))*F548)-N(Q548))</f>
        <v/>
      </c>
      <c r="V548" s="9">
        <f>IF(OR(B548="",P548=""),"",U548/S548)</f>
        <v/>
      </c>
      <c r="W548">
        <f>IF(OR(B548="",P548=""),"",NETWORKDAYS(C548,P548)-1)</f>
        <v/>
      </c>
      <c r="X548">
        <f>IF(B548="","",IF(P548="","Aberto","Fechado"))</f>
        <v/>
      </c>
    </row>
    <row r="549">
      <c r="C549" s="6" t="n"/>
      <c r="E549" s="7" t="n"/>
      <c r="F549" s="8" t="n"/>
      <c r="G549" s="8" t="n"/>
      <c r="H549" s="8" t="n"/>
      <c r="J549" s="7" t="n"/>
      <c r="K549" s="8" t="n"/>
      <c r="L549" s="7" t="n"/>
      <c r="M549" s="8" t="n"/>
      <c r="N549" s="7" t="n"/>
      <c r="O549" s="8" t="n"/>
      <c r="P549" s="6" t="n"/>
      <c r="Q549" s="8" t="n"/>
      <c r="S549" s="8">
        <f>IF(B549="","",E549*F549)</f>
        <v/>
      </c>
      <c r="T549" s="8">
        <f>IF(OR(B549="",N(G549)=0),"",ABS(F549-G549)*E549)</f>
        <v/>
      </c>
      <c r="U549" s="8">
        <f>IF(OR(B549="",P549=""),"",IF(D549="Venda",-1,1)*((N(J549)*N(K549)+N(L549)*N(M549)+N(N549)*N(O549))-(N(J549)+N(L549)+N(N549))*F549)-N(Q549))</f>
        <v/>
      </c>
      <c r="V549" s="9">
        <f>IF(OR(B549="",P549=""),"",U549/S549)</f>
        <v/>
      </c>
      <c r="W549">
        <f>IF(OR(B549="",P549=""),"",NETWORKDAYS(C549,P549)-1)</f>
        <v/>
      </c>
      <c r="X549">
        <f>IF(B549="","",IF(P549="","Aberto","Fechado"))</f>
        <v/>
      </c>
    </row>
    <row r="550">
      <c r="C550" s="6" t="n"/>
      <c r="E550" s="7" t="n"/>
      <c r="F550" s="8" t="n"/>
      <c r="G550" s="8" t="n"/>
      <c r="H550" s="8" t="n"/>
      <c r="J550" s="7" t="n"/>
      <c r="K550" s="8" t="n"/>
      <c r="L550" s="7" t="n"/>
      <c r="M550" s="8" t="n"/>
      <c r="N550" s="7" t="n"/>
      <c r="O550" s="8" t="n"/>
      <c r="P550" s="6" t="n"/>
      <c r="Q550" s="8" t="n"/>
      <c r="S550" s="8">
        <f>IF(B550="","",E550*F550)</f>
        <v/>
      </c>
      <c r="T550" s="8">
        <f>IF(OR(B550="",N(G550)=0),"",ABS(F550-G550)*E550)</f>
        <v/>
      </c>
      <c r="U550" s="8">
        <f>IF(OR(B550="",P550=""),"",IF(D550="Venda",-1,1)*((N(J550)*N(K550)+N(L550)*N(M550)+N(N550)*N(O550))-(N(J550)+N(L550)+N(N550))*F550)-N(Q550))</f>
        <v/>
      </c>
      <c r="V550" s="9">
        <f>IF(OR(B550="",P550=""),"",U550/S550)</f>
        <v/>
      </c>
      <c r="W550">
        <f>IF(OR(B550="",P550=""),"",NETWORKDAYS(C550,P550)-1)</f>
        <v/>
      </c>
      <c r="X550">
        <f>IF(B550="","",IF(P550="","Aberto","Fechado"))</f>
        <v/>
      </c>
    </row>
    <row r="551">
      <c r="C551" s="6" t="n"/>
      <c r="E551" s="7" t="n"/>
      <c r="F551" s="8" t="n"/>
      <c r="G551" s="8" t="n"/>
      <c r="H551" s="8" t="n"/>
      <c r="J551" s="7" t="n"/>
      <c r="K551" s="8" t="n"/>
      <c r="L551" s="7" t="n"/>
      <c r="M551" s="8" t="n"/>
      <c r="N551" s="7" t="n"/>
      <c r="O551" s="8" t="n"/>
      <c r="P551" s="6" t="n"/>
      <c r="Q551" s="8" t="n"/>
      <c r="S551" s="8">
        <f>IF(B551="","",E551*F551)</f>
        <v/>
      </c>
      <c r="T551" s="8">
        <f>IF(OR(B551="",N(G551)=0),"",ABS(F551-G551)*E551)</f>
        <v/>
      </c>
      <c r="U551" s="8">
        <f>IF(OR(B551="",P551=""),"",IF(D551="Venda",-1,1)*((N(J551)*N(K551)+N(L551)*N(M551)+N(N551)*N(O551))-(N(J551)+N(L551)+N(N551))*F551)-N(Q551))</f>
        <v/>
      </c>
      <c r="V551" s="9">
        <f>IF(OR(B551="",P551=""),"",U551/S551)</f>
        <v/>
      </c>
      <c r="W551">
        <f>IF(OR(B551="",P551=""),"",NETWORKDAYS(C551,P551)-1)</f>
        <v/>
      </c>
      <c r="X551">
        <f>IF(B551="","",IF(P551="","Aberto","Fechado"))</f>
        <v/>
      </c>
    </row>
    <row r="552">
      <c r="C552" s="6" t="n"/>
      <c r="E552" s="7" t="n"/>
      <c r="F552" s="8" t="n"/>
      <c r="G552" s="8" t="n"/>
      <c r="H552" s="8" t="n"/>
      <c r="J552" s="7" t="n"/>
      <c r="K552" s="8" t="n"/>
      <c r="L552" s="7" t="n"/>
      <c r="M552" s="8" t="n"/>
      <c r="N552" s="7" t="n"/>
      <c r="O552" s="8" t="n"/>
      <c r="P552" s="6" t="n"/>
      <c r="Q552" s="8" t="n"/>
      <c r="S552" s="8">
        <f>IF(B552="","",E552*F552)</f>
        <v/>
      </c>
      <c r="T552" s="8">
        <f>IF(OR(B552="",N(G552)=0),"",ABS(F552-G552)*E552)</f>
        <v/>
      </c>
      <c r="U552" s="8">
        <f>IF(OR(B552="",P552=""),"",IF(D552="Venda",-1,1)*((N(J552)*N(K552)+N(L552)*N(M552)+N(N552)*N(O552))-(N(J552)+N(L552)+N(N552))*F552)-N(Q552))</f>
        <v/>
      </c>
      <c r="V552" s="9">
        <f>IF(OR(B552="",P552=""),"",U552/S552)</f>
        <v/>
      </c>
      <c r="W552">
        <f>IF(OR(B552="",P552=""),"",NETWORKDAYS(C552,P552)-1)</f>
        <v/>
      </c>
      <c r="X552">
        <f>IF(B552="","",IF(P552="","Aberto","Fechado"))</f>
        <v/>
      </c>
    </row>
    <row r="553">
      <c r="C553" s="6" t="n"/>
      <c r="E553" s="7" t="n"/>
      <c r="F553" s="8" t="n"/>
      <c r="G553" s="8" t="n"/>
      <c r="H553" s="8" t="n"/>
      <c r="J553" s="7" t="n"/>
      <c r="K553" s="8" t="n"/>
      <c r="L553" s="7" t="n"/>
      <c r="M553" s="8" t="n"/>
      <c r="N553" s="7" t="n"/>
      <c r="O553" s="8" t="n"/>
      <c r="P553" s="6" t="n"/>
      <c r="Q553" s="8" t="n"/>
      <c r="S553" s="8">
        <f>IF(B553="","",E553*F553)</f>
        <v/>
      </c>
      <c r="T553" s="8">
        <f>IF(OR(B553="",N(G553)=0),"",ABS(F553-G553)*E553)</f>
        <v/>
      </c>
      <c r="U553" s="8">
        <f>IF(OR(B553="",P553=""),"",IF(D553="Venda",-1,1)*((N(J553)*N(K553)+N(L553)*N(M553)+N(N553)*N(O553))-(N(J553)+N(L553)+N(N553))*F553)-N(Q553))</f>
        <v/>
      </c>
      <c r="V553" s="9">
        <f>IF(OR(B553="",P553=""),"",U553/S553)</f>
        <v/>
      </c>
      <c r="W553">
        <f>IF(OR(B553="",P553=""),"",NETWORKDAYS(C553,P553)-1)</f>
        <v/>
      </c>
      <c r="X553">
        <f>IF(B553="","",IF(P553="","Aberto","Fechado"))</f>
        <v/>
      </c>
    </row>
    <row r="554">
      <c r="C554" s="6" t="n"/>
      <c r="E554" s="7" t="n"/>
      <c r="F554" s="8" t="n"/>
      <c r="G554" s="8" t="n"/>
      <c r="H554" s="8" t="n"/>
      <c r="J554" s="7" t="n"/>
      <c r="K554" s="8" t="n"/>
      <c r="L554" s="7" t="n"/>
      <c r="M554" s="8" t="n"/>
      <c r="N554" s="7" t="n"/>
      <c r="O554" s="8" t="n"/>
      <c r="P554" s="6" t="n"/>
      <c r="Q554" s="8" t="n"/>
      <c r="S554" s="8">
        <f>IF(B554="","",E554*F554)</f>
        <v/>
      </c>
      <c r="T554" s="8">
        <f>IF(OR(B554="",N(G554)=0),"",ABS(F554-G554)*E554)</f>
        <v/>
      </c>
      <c r="U554" s="8">
        <f>IF(OR(B554="",P554=""),"",IF(D554="Venda",-1,1)*((N(J554)*N(K554)+N(L554)*N(M554)+N(N554)*N(O554))-(N(J554)+N(L554)+N(N554))*F554)-N(Q554))</f>
        <v/>
      </c>
      <c r="V554" s="9">
        <f>IF(OR(B554="",P554=""),"",U554/S554)</f>
        <v/>
      </c>
      <c r="W554">
        <f>IF(OR(B554="",P554=""),"",NETWORKDAYS(C554,P554)-1)</f>
        <v/>
      </c>
      <c r="X554">
        <f>IF(B554="","",IF(P554="","Aberto","Fechado"))</f>
        <v/>
      </c>
    </row>
    <row r="555">
      <c r="C555" s="6" t="n"/>
      <c r="E555" s="7" t="n"/>
      <c r="F555" s="8" t="n"/>
      <c r="G555" s="8" t="n"/>
      <c r="H555" s="8" t="n"/>
      <c r="J555" s="7" t="n"/>
      <c r="K555" s="8" t="n"/>
      <c r="L555" s="7" t="n"/>
      <c r="M555" s="8" t="n"/>
      <c r="N555" s="7" t="n"/>
      <c r="O555" s="8" t="n"/>
      <c r="P555" s="6" t="n"/>
      <c r="Q555" s="8" t="n"/>
      <c r="S555" s="8">
        <f>IF(B555="","",E555*F555)</f>
        <v/>
      </c>
      <c r="T555" s="8">
        <f>IF(OR(B555="",N(G555)=0),"",ABS(F555-G555)*E555)</f>
        <v/>
      </c>
      <c r="U555" s="8">
        <f>IF(OR(B555="",P555=""),"",IF(D555="Venda",-1,1)*((N(J555)*N(K555)+N(L555)*N(M555)+N(N555)*N(O555))-(N(J555)+N(L555)+N(N555))*F555)-N(Q555))</f>
        <v/>
      </c>
      <c r="V555" s="9">
        <f>IF(OR(B555="",P555=""),"",U555/S555)</f>
        <v/>
      </c>
      <c r="W555">
        <f>IF(OR(B555="",P555=""),"",NETWORKDAYS(C555,P555)-1)</f>
        <v/>
      </c>
      <c r="X555">
        <f>IF(B555="","",IF(P555="","Aberto","Fechado"))</f>
        <v/>
      </c>
    </row>
    <row r="556">
      <c r="C556" s="6" t="n"/>
      <c r="E556" s="7" t="n"/>
      <c r="F556" s="8" t="n"/>
      <c r="G556" s="8" t="n"/>
      <c r="H556" s="8" t="n"/>
      <c r="J556" s="7" t="n"/>
      <c r="K556" s="8" t="n"/>
      <c r="L556" s="7" t="n"/>
      <c r="M556" s="8" t="n"/>
      <c r="N556" s="7" t="n"/>
      <c r="O556" s="8" t="n"/>
      <c r="P556" s="6" t="n"/>
      <c r="Q556" s="8" t="n"/>
      <c r="S556" s="8">
        <f>IF(B556="","",E556*F556)</f>
        <v/>
      </c>
      <c r="T556" s="8">
        <f>IF(OR(B556="",N(G556)=0),"",ABS(F556-G556)*E556)</f>
        <v/>
      </c>
      <c r="U556" s="8">
        <f>IF(OR(B556="",P556=""),"",IF(D556="Venda",-1,1)*((N(J556)*N(K556)+N(L556)*N(M556)+N(N556)*N(O556))-(N(J556)+N(L556)+N(N556))*F556)-N(Q556))</f>
        <v/>
      </c>
      <c r="V556" s="9">
        <f>IF(OR(B556="",P556=""),"",U556/S556)</f>
        <v/>
      </c>
      <c r="W556">
        <f>IF(OR(B556="",P556=""),"",NETWORKDAYS(C556,P556)-1)</f>
        <v/>
      </c>
      <c r="X556">
        <f>IF(B556="","",IF(P556="","Aberto","Fechado"))</f>
        <v/>
      </c>
    </row>
    <row r="557">
      <c r="C557" s="6" t="n"/>
      <c r="E557" s="7" t="n"/>
      <c r="F557" s="8" t="n"/>
      <c r="G557" s="8" t="n"/>
      <c r="H557" s="8" t="n"/>
      <c r="J557" s="7" t="n"/>
      <c r="K557" s="8" t="n"/>
      <c r="L557" s="7" t="n"/>
      <c r="M557" s="8" t="n"/>
      <c r="N557" s="7" t="n"/>
      <c r="O557" s="8" t="n"/>
      <c r="P557" s="6" t="n"/>
      <c r="Q557" s="8" t="n"/>
      <c r="S557" s="8">
        <f>IF(B557="","",E557*F557)</f>
        <v/>
      </c>
      <c r="T557" s="8">
        <f>IF(OR(B557="",N(G557)=0),"",ABS(F557-G557)*E557)</f>
        <v/>
      </c>
      <c r="U557" s="8">
        <f>IF(OR(B557="",P557=""),"",IF(D557="Venda",-1,1)*((N(J557)*N(K557)+N(L557)*N(M557)+N(N557)*N(O557))-(N(J557)+N(L557)+N(N557))*F557)-N(Q557))</f>
        <v/>
      </c>
      <c r="V557" s="9">
        <f>IF(OR(B557="",P557=""),"",U557/S557)</f>
        <v/>
      </c>
      <c r="W557">
        <f>IF(OR(B557="",P557=""),"",NETWORKDAYS(C557,P557)-1)</f>
        <v/>
      </c>
      <c r="X557">
        <f>IF(B557="","",IF(P557="","Aberto","Fechado"))</f>
        <v/>
      </c>
    </row>
    <row r="558">
      <c r="C558" s="6" t="n"/>
      <c r="E558" s="7" t="n"/>
      <c r="F558" s="8" t="n"/>
      <c r="G558" s="8" t="n"/>
      <c r="H558" s="8" t="n"/>
      <c r="J558" s="7" t="n"/>
      <c r="K558" s="8" t="n"/>
      <c r="L558" s="7" t="n"/>
      <c r="M558" s="8" t="n"/>
      <c r="N558" s="7" t="n"/>
      <c r="O558" s="8" t="n"/>
      <c r="P558" s="6" t="n"/>
      <c r="Q558" s="8" t="n"/>
      <c r="S558" s="8">
        <f>IF(B558="","",E558*F558)</f>
        <v/>
      </c>
      <c r="T558" s="8">
        <f>IF(OR(B558="",N(G558)=0),"",ABS(F558-G558)*E558)</f>
        <v/>
      </c>
      <c r="U558" s="8">
        <f>IF(OR(B558="",P558=""),"",IF(D558="Venda",-1,1)*((N(J558)*N(K558)+N(L558)*N(M558)+N(N558)*N(O558))-(N(J558)+N(L558)+N(N558))*F558)-N(Q558))</f>
        <v/>
      </c>
      <c r="V558" s="9">
        <f>IF(OR(B558="",P558=""),"",U558/S558)</f>
        <v/>
      </c>
      <c r="W558">
        <f>IF(OR(B558="",P558=""),"",NETWORKDAYS(C558,P558)-1)</f>
        <v/>
      </c>
      <c r="X558">
        <f>IF(B558="","",IF(P558="","Aberto","Fechado"))</f>
        <v/>
      </c>
    </row>
    <row r="559">
      <c r="C559" s="6" t="n"/>
      <c r="E559" s="7" t="n"/>
      <c r="F559" s="8" t="n"/>
      <c r="G559" s="8" t="n"/>
      <c r="H559" s="8" t="n"/>
      <c r="J559" s="7" t="n"/>
      <c r="K559" s="8" t="n"/>
      <c r="L559" s="7" t="n"/>
      <c r="M559" s="8" t="n"/>
      <c r="N559" s="7" t="n"/>
      <c r="O559" s="8" t="n"/>
      <c r="P559" s="6" t="n"/>
      <c r="Q559" s="8" t="n"/>
      <c r="S559" s="8">
        <f>IF(B559="","",E559*F559)</f>
        <v/>
      </c>
      <c r="T559" s="8">
        <f>IF(OR(B559="",N(G559)=0),"",ABS(F559-G559)*E559)</f>
        <v/>
      </c>
      <c r="U559" s="8">
        <f>IF(OR(B559="",P559=""),"",IF(D559="Venda",-1,1)*((N(J559)*N(K559)+N(L559)*N(M559)+N(N559)*N(O559))-(N(J559)+N(L559)+N(N559))*F559)-N(Q559))</f>
        <v/>
      </c>
      <c r="V559" s="9">
        <f>IF(OR(B559="",P559=""),"",U559/S559)</f>
        <v/>
      </c>
      <c r="W559">
        <f>IF(OR(B559="",P559=""),"",NETWORKDAYS(C559,P559)-1)</f>
        <v/>
      </c>
      <c r="X559">
        <f>IF(B559="","",IF(P559="","Aberto","Fechado"))</f>
        <v/>
      </c>
    </row>
    <row r="560">
      <c r="C560" s="6" t="n"/>
      <c r="E560" s="7" t="n"/>
      <c r="F560" s="8" t="n"/>
      <c r="G560" s="8" t="n"/>
      <c r="H560" s="8" t="n"/>
      <c r="J560" s="7" t="n"/>
      <c r="K560" s="8" t="n"/>
      <c r="L560" s="7" t="n"/>
      <c r="M560" s="8" t="n"/>
      <c r="N560" s="7" t="n"/>
      <c r="O560" s="8" t="n"/>
      <c r="P560" s="6" t="n"/>
      <c r="Q560" s="8" t="n"/>
      <c r="S560" s="8">
        <f>IF(B560="","",E560*F560)</f>
        <v/>
      </c>
      <c r="T560" s="8">
        <f>IF(OR(B560="",N(G560)=0),"",ABS(F560-G560)*E560)</f>
        <v/>
      </c>
      <c r="U560" s="8">
        <f>IF(OR(B560="",P560=""),"",IF(D560="Venda",-1,1)*((N(J560)*N(K560)+N(L560)*N(M560)+N(N560)*N(O560))-(N(J560)+N(L560)+N(N560))*F560)-N(Q560))</f>
        <v/>
      </c>
      <c r="V560" s="9">
        <f>IF(OR(B560="",P560=""),"",U560/S560)</f>
        <v/>
      </c>
      <c r="W560">
        <f>IF(OR(B560="",P560=""),"",NETWORKDAYS(C560,P560)-1)</f>
        <v/>
      </c>
      <c r="X560">
        <f>IF(B560="","",IF(P560="","Aberto","Fechado"))</f>
        <v/>
      </c>
    </row>
    <row r="561">
      <c r="C561" s="6" t="n"/>
      <c r="E561" s="7" t="n"/>
      <c r="F561" s="8" t="n"/>
      <c r="G561" s="8" t="n"/>
      <c r="H561" s="8" t="n"/>
      <c r="J561" s="7" t="n"/>
      <c r="K561" s="8" t="n"/>
      <c r="L561" s="7" t="n"/>
      <c r="M561" s="8" t="n"/>
      <c r="N561" s="7" t="n"/>
      <c r="O561" s="8" t="n"/>
      <c r="P561" s="6" t="n"/>
      <c r="Q561" s="8" t="n"/>
      <c r="S561" s="8">
        <f>IF(B561="","",E561*F561)</f>
        <v/>
      </c>
      <c r="T561" s="8">
        <f>IF(OR(B561="",N(G561)=0),"",ABS(F561-G561)*E561)</f>
        <v/>
      </c>
      <c r="U561" s="8">
        <f>IF(OR(B561="",P561=""),"",IF(D561="Venda",-1,1)*((N(J561)*N(K561)+N(L561)*N(M561)+N(N561)*N(O561))-(N(J561)+N(L561)+N(N561))*F561)-N(Q561))</f>
        <v/>
      </c>
      <c r="V561" s="9">
        <f>IF(OR(B561="",P561=""),"",U561/S561)</f>
        <v/>
      </c>
      <c r="W561">
        <f>IF(OR(B561="",P561=""),"",NETWORKDAYS(C561,P561)-1)</f>
        <v/>
      </c>
      <c r="X561">
        <f>IF(B561="","",IF(P561="","Aberto","Fechado"))</f>
        <v/>
      </c>
    </row>
    <row r="562">
      <c r="C562" s="6" t="n"/>
      <c r="E562" s="7" t="n"/>
      <c r="F562" s="8" t="n"/>
      <c r="G562" s="8" t="n"/>
      <c r="H562" s="8" t="n"/>
      <c r="J562" s="7" t="n"/>
      <c r="K562" s="8" t="n"/>
      <c r="L562" s="7" t="n"/>
      <c r="M562" s="8" t="n"/>
      <c r="N562" s="7" t="n"/>
      <c r="O562" s="8" t="n"/>
      <c r="P562" s="6" t="n"/>
      <c r="Q562" s="8" t="n"/>
      <c r="S562" s="8">
        <f>IF(B562="","",E562*F562)</f>
        <v/>
      </c>
      <c r="T562" s="8">
        <f>IF(OR(B562="",N(G562)=0),"",ABS(F562-G562)*E562)</f>
        <v/>
      </c>
      <c r="U562" s="8">
        <f>IF(OR(B562="",P562=""),"",IF(D562="Venda",-1,1)*((N(J562)*N(K562)+N(L562)*N(M562)+N(N562)*N(O562))-(N(J562)+N(L562)+N(N562))*F562)-N(Q562))</f>
        <v/>
      </c>
      <c r="V562" s="9">
        <f>IF(OR(B562="",P562=""),"",U562/S562)</f>
        <v/>
      </c>
      <c r="W562">
        <f>IF(OR(B562="",P562=""),"",NETWORKDAYS(C562,P562)-1)</f>
        <v/>
      </c>
      <c r="X562">
        <f>IF(B562="","",IF(P562="","Aberto","Fechado"))</f>
        <v/>
      </c>
    </row>
    <row r="563">
      <c r="C563" s="6" t="n"/>
      <c r="E563" s="7" t="n"/>
      <c r="F563" s="8" t="n"/>
      <c r="G563" s="8" t="n"/>
      <c r="H563" s="8" t="n"/>
      <c r="J563" s="7" t="n"/>
      <c r="K563" s="8" t="n"/>
      <c r="L563" s="7" t="n"/>
      <c r="M563" s="8" t="n"/>
      <c r="N563" s="7" t="n"/>
      <c r="O563" s="8" t="n"/>
      <c r="P563" s="6" t="n"/>
      <c r="Q563" s="8" t="n"/>
      <c r="S563" s="8">
        <f>IF(B563="","",E563*F563)</f>
        <v/>
      </c>
      <c r="T563" s="8">
        <f>IF(OR(B563="",N(G563)=0),"",ABS(F563-G563)*E563)</f>
        <v/>
      </c>
      <c r="U563" s="8">
        <f>IF(OR(B563="",P563=""),"",IF(D563="Venda",-1,1)*((N(J563)*N(K563)+N(L563)*N(M563)+N(N563)*N(O563))-(N(J563)+N(L563)+N(N563))*F563)-N(Q563))</f>
        <v/>
      </c>
      <c r="V563" s="9">
        <f>IF(OR(B563="",P563=""),"",U563/S563)</f>
        <v/>
      </c>
      <c r="W563">
        <f>IF(OR(B563="",P563=""),"",NETWORKDAYS(C563,P563)-1)</f>
        <v/>
      </c>
      <c r="X563">
        <f>IF(B563="","",IF(P563="","Aberto","Fechado"))</f>
        <v/>
      </c>
    </row>
    <row r="564">
      <c r="C564" s="6" t="n"/>
      <c r="E564" s="7" t="n"/>
      <c r="F564" s="8" t="n"/>
      <c r="G564" s="8" t="n"/>
      <c r="H564" s="8" t="n"/>
      <c r="J564" s="7" t="n"/>
      <c r="K564" s="8" t="n"/>
      <c r="L564" s="7" t="n"/>
      <c r="M564" s="8" t="n"/>
      <c r="N564" s="7" t="n"/>
      <c r="O564" s="8" t="n"/>
      <c r="P564" s="6" t="n"/>
      <c r="Q564" s="8" t="n"/>
      <c r="S564" s="8">
        <f>IF(B564="","",E564*F564)</f>
        <v/>
      </c>
      <c r="T564" s="8">
        <f>IF(OR(B564="",N(G564)=0),"",ABS(F564-G564)*E564)</f>
        <v/>
      </c>
      <c r="U564" s="8">
        <f>IF(OR(B564="",P564=""),"",IF(D564="Venda",-1,1)*((N(J564)*N(K564)+N(L564)*N(M564)+N(N564)*N(O564))-(N(J564)+N(L564)+N(N564))*F564)-N(Q564))</f>
        <v/>
      </c>
      <c r="V564" s="9">
        <f>IF(OR(B564="",P564=""),"",U564/S564)</f>
        <v/>
      </c>
      <c r="W564">
        <f>IF(OR(B564="",P564=""),"",NETWORKDAYS(C564,P564)-1)</f>
        <v/>
      </c>
      <c r="X564">
        <f>IF(B564="","",IF(P564="","Aberto","Fechado"))</f>
        <v/>
      </c>
    </row>
    <row r="565">
      <c r="C565" s="6" t="n"/>
      <c r="E565" s="7" t="n"/>
      <c r="F565" s="8" t="n"/>
      <c r="G565" s="8" t="n"/>
      <c r="H565" s="8" t="n"/>
      <c r="J565" s="7" t="n"/>
      <c r="K565" s="8" t="n"/>
      <c r="L565" s="7" t="n"/>
      <c r="M565" s="8" t="n"/>
      <c r="N565" s="7" t="n"/>
      <c r="O565" s="8" t="n"/>
      <c r="P565" s="6" t="n"/>
      <c r="Q565" s="8" t="n"/>
      <c r="S565" s="8">
        <f>IF(B565="","",E565*F565)</f>
        <v/>
      </c>
      <c r="T565" s="8">
        <f>IF(OR(B565="",N(G565)=0),"",ABS(F565-G565)*E565)</f>
        <v/>
      </c>
      <c r="U565" s="8">
        <f>IF(OR(B565="",P565=""),"",IF(D565="Venda",-1,1)*((N(J565)*N(K565)+N(L565)*N(M565)+N(N565)*N(O565))-(N(J565)+N(L565)+N(N565))*F565)-N(Q565))</f>
        <v/>
      </c>
      <c r="V565" s="9">
        <f>IF(OR(B565="",P565=""),"",U565/S565)</f>
        <v/>
      </c>
      <c r="W565">
        <f>IF(OR(B565="",P565=""),"",NETWORKDAYS(C565,P565)-1)</f>
        <v/>
      </c>
      <c r="X565">
        <f>IF(B565="","",IF(P565="","Aberto","Fechado"))</f>
        <v/>
      </c>
    </row>
    <row r="566">
      <c r="C566" s="6" t="n"/>
      <c r="E566" s="7" t="n"/>
      <c r="F566" s="8" t="n"/>
      <c r="G566" s="8" t="n"/>
      <c r="H566" s="8" t="n"/>
      <c r="J566" s="7" t="n"/>
      <c r="K566" s="8" t="n"/>
      <c r="L566" s="7" t="n"/>
      <c r="M566" s="8" t="n"/>
      <c r="N566" s="7" t="n"/>
      <c r="O566" s="8" t="n"/>
      <c r="P566" s="6" t="n"/>
      <c r="Q566" s="8" t="n"/>
      <c r="S566" s="8">
        <f>IF(B566="","",E566*F566)</f>
        <v/>
      </c>
      <c r="T566" s="8">
        <f>IF(OR(B566="",N(G566)=0),"",ABS(F566-G566)*E566)</f>
        <v/>
      </c>
      <c r="U566" s="8">
        <f>IF(OR(B566="",P566=""),"",IF(D566="Venda",-1,1)*((N(J566)*N(K566)+N(L566)*N(M566)+N(N566)*N(O566))-(N(J566)+N(L566)+N(N566))*F566)-N(Q566))</f>
        <v/>
      </c>
      <c r="V566" s="9">
        <f>IF(OR(B566="",P566=""),"",U566/S566)</f>
        <v/>
      </c>
      <c r="W566">
        <f>IF(OR(B566="",P566=""),"",NETWORKDAYS(C566,P566)-1)</f>
        <v/>
      </c>
      <c r="X566">
        <f>IF(B566="","",IF(P566="","Aberto","Fechado"))</f>
        <v/>
      </c>
    </row>
    <row r="567">
      <c r="C567" s="6" t="n"/>
      <c r="E567" s="7" t="n"/>
      <c r="F567" s="8" t="n"/>
      <c r="G567" s="8" t="n"/>
      <c r="H567" s="8" t="n"/>
      <c r="J567" s="7" t="n"/>
      <c r="K567" s="8" t="n"/>
      <c r="L567" s="7" t="n"/>
      <c r="M567" s="8" t="n"/>
      <c r="N567" s="7" t="n"/>
      <c r="O567" s="8" t="n"/>
      <c r="P567" s="6" t="n"/>
      <c r="Q567" s="8" t="n"/>
      <c r="S567" s="8">
        <f>IF(B567="","",E567*F567)</f>
        <v/>
      </c>
      <c r="T567" s="8">
        <f>IF(OR(B567="",N(G567)=0),"",ABS(F567-G567)*E567)</f>
        <v/>
      </c>
      <c r="U567" s="8">
        <f>IF(OR(B567="",P567=""),"",IF(D567="Venda",-1,1)*((N(J567)*N(K567)+N(L567)*N(M567)+N(N567)*N(O567))-(N(J567)+N(L567)+N(N567))*F567)-N(Q567))</f>
        <v/>
      </c>
      <c r="V567" s="9">
        <f>IF(OR(B567="",P567=""),"",U567/S567)</f>
        <v/>
      </c>
      <c r="W567">
        <f>IF(OR(B567="",P567=""),"",NETWORKDAYS(C567,P567)-1)</f>
        <v/>
      </c>
      <c r="X567">
        <f>IF(B567="","",IF(P567="","Aberto","Fechado"))</f>
        <v/>
      </c>
    </row>
    <row r="568">
      <c r="C568" s="6" t="n"/>
      <c r="E568" s="7" t="n"/>
      <c r="F568" s="8" t="n"/>
      <c r="G568" s="8" t="n"/>
      <c r="H568" s="8" t="n"/>
      <c r="J568" s="7" t="n"/>
      <c r="K568" s="8" t="n"/>
      <c r="L568" s="7" t="n"/>
      <c r="M568" s="8" t="n"/>
      <c r="N568" s="7" t="n"/>
      <c r="O568" s="8" t="n"/>
      <c r="P568" s="6" t="n"/>
      <c r="Q568" s="8" t="n"/>
      <c r="S568" s="8">
        <f>IF(B568="","",E568*F568)</f>
        <v/>
      </c>
      <c r="T568" s="8">
        <f>IF(OR(B568="",N(G568)=0),"",ABS(F568-G568)*E568)</f>
        <v/>
      </c>
      <c r="U568" s="8">
        <f>IF(OR(B568="",P568=""),"",IF(D568="Venda",-1,1)*((N(J568)*N(K568)+N(L568)*N(M568)+N(N568)*N(O568))-(N(J568)+N(L568)+N(N568))*F568)-N(Q568))</f>
        <v/>
      </c>
      <c r="V568" s="9">
        <f>IF(OR(B568="",P568=""),"",U568/S568)</f>
        <v/>
      </c>
      <c r="W568">
        <f>IF(OR(B568="",P568=""),"",NETWORKDAYS(C568,P568)-1)</f>
        <v/>
      </c>
      <c r="X568">
        <f>IF(B568="","",IF(P568="","Aberto","Fechado"))</f>
        <v/>
      </c>
    </row>
    <row r="569">
      <c r="C569" s="6" t="n"/>
      <c r="E569" s="7" t="n"/>
      <c r="F569" s="8" t="n"/>
      <c r="G569" s="8" t="n"/>
      <c r="H569" s="8" t="n"/>
      <c r="J569" s="7" t="n"/>
      <c r="K569" s="8" t="n"/>
      <c r="L569" s="7" t="n"/>
      <c r="M569" s="8" t="n"/>
      <c r="N569" s="7" t="n"/>
      <c r="O569" s="8" t="n"/>
      <c r="P569" s="6" t="n"/>
      <c r="Q569" s="8" t="n"/>
      <c r="S569" s="8">
        <f>IF(B569="","",E569*F569)</f>
        <v/>
      </c>
      <c r="T569" s="8">
        <f>IF(OR(B569="",N(G569)=0),"",ABS(F569-G569)*E569)</f>
        <v/>
      </c>
      <c r="U569" s="8">
        <f>IF(OR(B569="",P569=""),"",IF(D569="Venda",-1,1)*((N(J569)*N(K569)+N(L569)*N(M569)+N(N569)*N(O569))-(N(J569)+N(L569)+N(N569))*F569)-N(Q569))</f>
        <v/>
      </c>
      <c r="V569" s="9">
        <f>IF(OR(B569="",P569=""),"",U569/S569)</f>
        <v/>
      </c>
      <c r="W569">
        <f>IF(OR(B569="",P569=""),"",NETWORKDAYS(C569,P569)-1)</f>
        <v/>
      </c>
      <c r="X569">
        <f>IF(B569="","",IF(P569="","Aberto","Fechado"))</f>
        <v/>
      </c>
    </row>
    <row r="570">
      <c r="C570" s="6" t="n"/>
      <c r="E570" s="7" t="n"/>
      <c r="F570" s="8" t="n"/>
      <c r="G570" s="8" t="n"/>
      <c r="H570" s="8" t="n"/>
      <c r="J570" s="7" t="n"/>
      <c r="K570" s="8" t="n"/>
      <c r="L570" s="7" t="n"/>
      <c r="M570" s="8" t="n"/>
      <c r="N570" s="7" t="n"/>
      <c r="O570" s="8" t="n"/>
      <c r="P570" s="6" t="n"/>
      <c r="Q570" s="8" t="n"/>
      <c r="S570" s="8">
        <f>IF(B570="","",E570*F570)</f>
        <v/>
      </c>
      <c r="T570" s="8">
        <f>IF(OR(B570="",N(G570)=0),"",ABS(F570-G570)*E570)</f>
        <v/>
      </c>
      <c r="U570" s="8">
        <f>IF(OR(B570="",P570=""),"",IF(D570="Venda",-1,1)*((N(J570)*N(K570)+N(L570)*N(M570)+N(N570)*N(O570))-(N(J570)+N(L570)+N(N570))*F570)-N(Q570))</f>
        <v/>
      </c>
      <c r="V570" s="9">
        <f>IF(OR(B570="",P570=""),"",U570/S570)</f>
        <v/>
      </c>
      <c r="W570">
        <f>IF(OR(B570="",P570=""),"",NETWORKDAYS(C570,P570)-1)</f>
        <v/>
      </c>
      <c r="X570">
        <f>IF(B570="","",IF(P570="","Aberto","Fechado"))</f>
        <v/>
      </c>
    </row>
    <row r="571">
      <c r="C571" s="6" t="n"/>
      <c r="E571" s="7" t="n"/>
      <c r="F571" s="8" t="n"/>
      <c r="G571" s="8" t="n"/>
      <c r="H571" s="8" t="n"/>
      <c r="J571" s="7" t="n"/>
      <c r="K571" s="8" t="n"/>
      <c r="L571" s="7" t="n"/>
      <c r="M571" s="8" t="n"/>
      <c r="N571" s="7" t="n"/>
      <c r="O571" s="8" t="n"/>
      <c r="P571" s="6" t="n"/>
      <c r="Q571" s="8" t="n"/>
      <c r="S571" s="8">
        <f>IF(B571="","",E571*F571)</f>
        <v/>
      </c>
      <c r="T571" s="8">
        <f>IF(OR(B571="",N(G571)=0),"",ABS(F571-G571)*E571)</f>
        <v/>
      </c>
      <c r="U571" s="8">
        <f>IF(OR(B571="",P571=""),"",IF(D571="Venda",-1,1)*((N(J571)*N(K571)+N(L571)*N(M571)+N(N571)*N(O571))-(N(J571)+N(L571)+N(N571))*F571)-N(Q571))</f>
        <v/>
      </c>
      <c r="V571" s="9">
        <f>IF(OR(B571="",P571=""),"",U571/S571)</f>
        <v/>
      </c>
      <c r="W571">
        <f>IF(OR(B571="",P571=""),"",NETWORKDAYS(C571,P571)-1)</f>
        <v/>
      </c>
      <c r="X571">
        <f>IF(B571="","",IF(P571="","Aberto","Fechado"))</f>
        <v/>
      </c>
    </row>
    <row r="572">
      <c r="C572" s="6" t="n"/>
      <c r="E572" s="7" t="n"/>
      <c r="F572" s="8" t="n"/>
      <c r="G572" s="8" t="n"/>
      <c r="H572" s="8" t="n"/>
      <c r="J572" s="7" t="n"/>
      <c r="K572" s="8" t="n"/>
      <c r="L572" s="7" t="n"/>
      <c r="M572" s="8" t="n"/>
      <c r="N572" s="7" t="n"/>
      <c r="O572" s="8" t="n"/>
      <c r="P572" s="6" t="n"/>
      <c r="Q572" s="8" t="n"/>
      <c r="S572" s="8">
        <f>IF(B572="","",E572*F572)</f>
        <v/>
      </c>
      <c r="T572" s="8">
        <f>IF(OR(B572="",N(G572)=0),"",ABS(F572-G572)*E572)</f>
        <v/>
      </c>
      <c r="U572" s="8">
        <f>IF(OR(B572="",P572=""),"",IF(D572="Venda",-1,1)*((N(J572)*N(K572)+N(L572)*N(M572)+N(N572)*N(O572))-(N(J572)+N(L572)+N(N572))*F572)-N(Q572))</f>
        <v/>
      </c>
      <c r="V572" s="9">
        <f>IF(OR(B572="",P572=""),"",U572/S572)</f>
        <v/>
      </c>
      <c r="W572">
        <f>IF(OR(B572="",P572=""),"",NETWORKDAYS(C572,P572)-1)</f>
        <v/>
      </c>
      <c r="X572">
        <f>IF(B572="","",IF(P572="","Aberto","Fechado"))</f>
        <v/>
      </c>
    </row>
    <row r="573">
      <c r="C573" s="6" t="n"/>
      <c r="E573" s="7" t="n"/>
      <c r="F573" s="8" t="n"/>
      <c r="G573" s="8" t="n"/>
      <c r="H573" s="8" t="n"/>
      <c r="J573" s="7" t="n"/>
      <c r="K573" s="8" t="n"/>
      <c r="L573" s="7" t="n"/>
      <c r="M573" s="8" t="n"/>
      <c r="N573" s="7" t="n"/>
      <c r="O573" s="8" t="n"/>
      <c r="P573" s="6" t="n"/>
      <c r="Q573" s="8" t="n"/>
      <c r="S573" s="8">
        <f>IF(B573="","",E573*F573)</f>
        <v/>
      </c>
      <c r="T573" s="8">
        <f>IF(OR(B573="",N(G573)=0),"",ABS(F573-G573)*E573)</f>
        <v/>
      </c>
      <c r="U573" s="8">
        <f>IF(OR(B573="",P573=""),"",IF(D573="Venda",-1,1)*((N(J573)*N(K573)+N(L573)*N(M573)+N(N573)*N(O573))-(N(J573)+N(L573)+N(N573))*F573)-N(Q573))</f>
        <v/>
      </c>
      <c r="V573" s="9">
        <f>IF(OR(B573="",P573=""),"",U573/S573)</f>
        <v/>
      </c>
      <c r="W573">
        <f>IF(OR(B573="",P573=""),"",NETWORKDAYS(C573,P573)-1)</f>
        <v/>
      </c>
      <c r="X573">
        <f>IF(B573="","",IF(P573="","Aberto","Fechado"))</f>
        <v/>
      </c>
    </row>
    <row r="574">
      <c r="C574" s="6" t="n"/>
      <c r="E574" s="7" t="n"/>
      <c r="F574" s="8" t="n"/>
      <c r="G574" s="8" t="n"/>
      <c r="H574" s="8" t="n"/>
      <c r="J574" s="7" t="n"/>
      <c r="K574" s="8" t="n"/>
      <c r="L574" s="7" t="n"/>
      <c r="M574" s="8" t="n"/>
      <c r="N574" s="7" t="n"/>
      <c r="O574" s="8" t="n"/>
      <c r="P574" s="6" t="n"/>
      <c r="Q574" s="8" t="n"/>
      <c r="S574" s="8">
        <f>IF(B574="","",E574*F574)</f>
        <v/>
      </c>
      <c r="T574" s="8">
        <f>IF(OR(B574="",N(G574)=0),"",ABS(F574-G574)*E574)</f>
        <v/>
      </c>
      <c r="U574" s="8">
        <f>IF(OR(B574="",P574=""),"",IF(D574="Venda",-1,1)*((N(J574)*N(K574)+N(L574)*N(M574)+N(N574)*N(O574))-(N(J574)+N(L574)+N(N574))*F574)-N(Q574))</f>
        <v/>
      </c>
      <c r="V574" s="9">
        <f>IF(OR(B574="",P574=""),"",U574/S574)</f>
        <v/>
      </c>
      <c r="W574">
        <f>IF(OR(B574="",P574=""),"",NETWORKDAYS(C574,P574)-1)</f>
        <v/>
      </c>
      <c r="X574">
        <f>IF(B574="","",IF(P574="","Aberto","Fechado"))</f>
        <v/>
      </c>
    </row>
    <row r="575">
      <c r="C575" s="6" t="n"/>
      <c r="E575" s="7" t="n"/>
      <c r="F575" s="8" t="n"/>
      <c r="G575" s="8" t="n"/>
      <c r="H575" s="8" t="n"/>
      <c r="J575" s="7" t="n"/>
      <c r="K575" s="8" t="n"/>
      <c r="L575" s="7" t="n"/>
      <c r="M575" s="8" t="n"/>
      <c r="N575" s="7" t="n"/>
      <c r="O575" s="8" t="n"/>
      <c r="P575" s="6" t="n"/>
      <c r="Q575" s="8" t="n"/>
      <c r="S575" s="8">
        <f>IF(B575="","",E575*F575)</f>
        <v/>
      </c>
      <c r="T575" s="8">
        <f>IF(OR(B575="",N(G575)=0),"",ABS(F575-G575)*E575)</f>
        <v/>
      </c>
      <c r="U575" s="8">
        <f>IF(OR(B575="",P575=""),"",IF(D575="Venda",-1,1)*((N(J575)*N(K575)+N(L575)*N(M575)+N(N575)*N(O575))-(N(J575)+N(L575)+N(N575))*F575)-N(Q575))</f>
        <v/>
      </c>
      <c r="V575" s="9">
        <f>IF(OR(B575="",P575=""),"",U575/S575)</f>
        <v/>
      </c>
      <c r="W575">
        <f>IF(OR(B575="",P575=""),"",NETWORKDAYS(C575,P575)-1)</f>
        <v/>
      </c>
      <c r="X575">
        <f>IF(B575="","",IF(P575="","Aberto","Fechado"))</f>
        <v/>
      </c>
    </row>
    <row r="576">
      <c r="C576" s="6" t="n"/>
      <c r="E576" s="7" t="n"/>
      <c r="F576" s="8" t="n"/>
      <c r="G576" s="8" t="n"/>
      <c r="H576" s="8" t="n"/>
      <c r="J576" s="7" t="n"/>
      <c r="K576" s="8" t="n"/>
      <c r="L576" s="7" t="n"/>
      <c r="M576" s="8" t="n"/>
      <c r="N576" s="7" t="n"/>
      <c r="O576" s="8" t="n"/>
      <c r="P576" s="6" t="n"/>
      <c r="Q576" s="8" t="n"/>
      <c r="S576" s="8">
        <f>IF(B576="","",E576*F576)</f>
        <v/>
      </c>
      <c r="T576" s="8">
        <f>IF(OR(B576="",N(G576)=0),"",ABS(F576-G576)*E576)</f>
        <v/>
      </c>
      <c r="U576" s="8">
        <f>IF(OR(B576="",P576=""),"",IF(D576="Venda",-1,1)*((N(J576)*N(K576)+N(L576)*N(M576)+N(N576)*N(O576))-(N(J576)+N(L576)+N(N576))*F576)-N(Q576))</f>
        <v/>
      </c>
      <c r="V576" s="9">
        <f>IF(OR(B576="",P576=""),"",U576/S576)</f>
        <v/>
      </c>
      <c r="W576">
        <f>IF(OR(B576="",P576=""),"",NETWORKDAYS(C576,P576)-1)</f>
        <v/>
      </c>
      <c r="X576">
        <f>IF(B576="","",IF(P576="","Aberto","Fechado"))</f>
        <v/>
      </c>
    </row>
    <row r="577">
      <c r="C577" s="6" t="n"/>
      <c r="E577" s="7" t="n"/>
      <c r="F577" s="8" t="n"/>
      <c r="G577" s="8" t="n"/>
      <c r="H577" s="8" t="n"/>
      <c r="J577" s="7" t="n"/>
      <c r="K577" s="8" t="n"/>
      <c r="L577" s="7" t="n"/>
      <c r="M577" s="8" t="n"/>
      <c r="N577" s="7" t="n"/>
      <c r="O577" s="8" t="n"/>
      <c r="P577" s="6" t="n"/>
      <c r="Q577" s="8" t="n"/>
      <c r="S577" s="8">
        <f>IF(B577="","",E577*F577)</f>
        <v/>
      </c>
      <c r="T577" s="8">
        <f>IF(OR(B577="",N(G577)=0),"",ABS(F577-G577)*E577)</f>
        <v/>
      </c>
      <c r="U577" s="8">
        <f>IF(OR(B577="",P577=""),"",IF(D577="Venda",-1,1)*((N(J577)*N(K577)+N(L577)*N(M577)+N(N577)*N(O577))-(N(J577)+N(L577)+N(N577))*F577)-N(Q577))</f>
        <v/>
      </c>
      <c r="V577" s="9">
        <f>IF(OR(B577="",P577=""),"",U577/S577)</f>
        <v/>
      </c>
      <c r="W577">
        <f>IF(OR(B577="",P577=""),"",NETWORKDAYS(C577,P577)-1)</f>
        <v/>
      </c>
      <c r="X577">
        <f>IF(B577="","",IF(P577="","Aberto","Fechado"))</f>
        <v/>
      </c>
    </row>
    <row r="578">
      <c r="C578" s="6" t="n"/>
      <c r="E578" s="7" t="n"/>
      <c r="F578" s="8" t="n"/>
      <c r="G578" s="8" t="n"/>
      <c r="H578" s="8" t="n"/>
      <c r="J578" s="7" t="n"/>
      <c r="K578" s="8" t="n"/>
      <c r="L578" s="7" t="n"/>
      <c r="M578" s="8" t="n"/>
      <c r="N578" s="7" t="n"/>
      <c r="O578" s="8" t="n"/>
      <c r="P578" s="6" t="n"/>
      <c r="Q578" s="8" t="n"/>
      <c r="S578" s="8">
        <f>IF(B578="","",E578*F578)</f>
        <v/>
      </c>
      <c r="T578" s="8">
        <f>IF(OR(B578="",N(G578)=0),"",ABS(F578-G578)*E578)</f>
        <v/>
      </c>
      <c r="U578" s="8">
        <f>IF(OR(B578="",P578=""),"",IF(D578="Venda",-1,1)*((N(J578)*N(K578)+N(L578)*N(M578)+N(N578)*N(O578))-(N(J578)+N(L578)+N(N578))*F578)-N(Q578))</f>
        <v/>
      </c>
      <c r="V578" s="9">
        <f>IF(OR(B578="",P578=""),"",U578/S578)</f>
        <v/>
      </c>
      <c r="W578">
        <f>IF(OR(B578="",P578=""),"",NETWORKDAYS(C578,P578)-1)</f>
        <v/>
      </c>
      <c r="X578">
        <f>IF(B578="","",IF(P578="","Aberto","Fechado"))</f>
        <v/>
      </c>
    </row>
    <row r="579">
      <c r="C579" s="6" t="n"/>
      <c r="E579" s="7" t="n"/>
      <c r="F579" s="8" t="n"/>
      <c r="G579" s="8" t="n"/>
      <c r="H579" s="8" t="n"/>
      <c r="J579" s="7" t="n"/>
      <c r="K579" s="8" t="n"/>
      <c r="L579" s="7" t="n"/>
      <c r="M579" s="8" t="n"/>
      <c r="N579" s="7" t="n"/>
      <c r="O579" s="8" t="n"/>
      <c r="P579" s="6" t="n"/>
      <c r="Q579" s="8" t="n"/>
      <c r="S579" s="8">
        <f>IF(B579="","",E579*F579)</f>
        <v/>
      </c>
      <c r="T579" s="8">
        <f>IF(OR(B579="",N(G579)=0),"",ABS(F579-G579)*E579)</f>
        <v/>
      </c>
      <c r="U579" s="8">
        <f>IF(OR(B579="",P579=""),"",IF(D579="Venda",-1,1)*((N(J579)*N(K579)+N(L579)*N(M579)+N(N579)*N(O579))-(N(J579)+N(L579)+N(N579))*F579)-N(Q579))</f>
        <v/>
      </c>
      <c r="V579" s="9">
        <f>IF(OR(B579="",P579=""),"",U579/S579)</f>
        <v/>
      </c>
      <c r="W579">
        <f>IF(OR(B579="",P579=""),"",NETWORKDAYS(C579,P579)-1)</f>
        <v/>
      </c>
      <c r="X579">
        <f>IF(B579="","",IF(P579="","Aberto","Fechado"))</f>
        <v/>
      </c>
    </row>
    <row r="580">
      <c r="C580" s="6" t="n"/>
      <c r="E580" s="7" t="n"/>
      <c r="F580" s="8" t="n"/>
      <c r="G580" s="8" t="n"/>
      <c r="H580" s="8" t="n"/>
      <c r="J580" s="7" t="n"/>
      <c r="K580" s="8" t="n"/>
      <c r="L580" s="7" t="n"/>
      <c r="M580" s="8" t="n"/>
      <c r="N580" s="7" t="n"/>
      <c r="O580" s="8" t="n"/>
      <c r="P580" s="6" t="n"/>
      <c r="Q580" s="8" t="n"/>
      <c r="S580" s="8">
        <f>IF(B580="","",E580*F580)</f>
        <v/>
      </c>
      <c r="T580" s="8">
        <f>IF(OR(B580="",N(G580)=0),"",ABS(F580-G580)*E580)</f>
        <v/>
      </c>
      <c r="U580" s="8">
        <f>IF(OR(B580="",P580=""),"",IF(D580="Venda",-1,1)*((N(J580)*N(K580)+N(L580)*N(M580)+N(N580)*N(O580))-(N(J580)+N(L580)+N(N580))*F580)-N(Q580))</f>
        <v/>
      </c>
      <c r="V580" s="9">
        <f>IF(OR(B580="",P580=""),"",U580/S580)</f>
        <v/>
      </c>
      <c r="W580">
        <f>IF(OR(B580="",P580=""),"",NETWORKDAYS(C580,P580)-1)</f>
        <v/>
      </c>
      <c r="X580">
        <f>IF(B580="","",IF(P580="","Aberto","Fechado"))</f>
        <v/>
      </c>
    </row>
    <row r="581">
      <c r="C581" s="6" t="n"/>
      <c r="E581" s="7" t="n"/>
      <c r="F581" s="8" t="n"/>
      <c r="G581" s="8" t="n"/>
      <c r="H581" s="8" t="n"/>
      <c r="J581" s="7" t="n"/>
      <c r="K581" s="8" t="n"/>
      <c r="L581" s="7" t="n"/>
      <c r="M581" s="8" t="n"/>
      <c r="N581" s="7" t="n"/>
      <c r="O581" s="8" t="n"/>
      <c r="P581" s="6" t="n"/>
      <c r="Q581" s="8" t="n"/>
      <c r="S581" s="8">
        <f>IF(B581="","",E581*F581)</f>
        <v/>
      </c>
      <c r="T581" s="8">
        <f>IF(OR(B581="",N(G581)=0),"",ABS(F581-G581)*E581)</f>
        <v/>
      </c>
      <c r="U581" s="8">
        <f>IF(OR(B581="",P581=""),"",IF(D581="Venda",-1,1)*((N(J581)*N(K581)+N(L581)*N(M581)+N(N581)*N(O581))-(N(J581)+N(L581)+N(N581))*F581)-N(Q581))</f>
        <v/>
      </c>
      <c r="V581" s="9">
        <f>IF(OR(B581="",P581=""),"",U581/S581)</f>
        <v/>
      </c>
      <c r="W581">
        <f>IF(OR(B581="",P581=""),"",NETWORKDAYS(C581,P581)-1)</f>
        <v/>
      </c>
      <c r="X581">
        <f>IF(B581="","",IF(P581="","Aberto","Fechado"))</f>
        <v/>
      </c>
    </row>
    <row r="582">
      <c r="C582" s="6" t="n"/>
      <c r="E582" s="7" t="n"/>
      <c r="F582" s="8" t="n"/>
      <c r="G582" s="8" t="n"/>
      <c r="H582" s="8" t="n"/>
      <c r="J582" s="7" t="n"/>
      <c r="K582" s="8" t="n"/>
      <c r="L582" s="7" t="n"/>
      <c r="M582" s="8" t="n"/>
      <c r="N582" s="7" t="n"/>
      <c r="O582" s="8" t="n"/>
      <c r="P582" s="6" t="n"/>
      <c r="Q582" s="8" t="n"/>
      <c r="S582" s="8">
        <f>IF(B582="","",E582*F582)</f>
        <v/>
      </c>
      <c r="T582" s="8">
        <f>IF(OR(B582="",N(G582)=0),"",ABS(F582-G582)*E582)</f>
        <v/>
      </c>
      <c r="U582" s="8">
        <f>IF(OR(B582="",P582=""),"",IF(D582="Venda",-1,1)*((N(J582)*N(K582)+N(L582)*N(M582)+N(N582)*N(O582))-(N(J582)+N(L582)+N(N582))*F582)-N(Q582))</f>
        <v/>
      </c>
      <c r="V582" s="9">
        <f>IF(OR(B582="",P582=""),"",U582/S582)</f>
        <v/>
      </c>
      <c r="W582">
        <f>IF(OR(B582="",P582=""),"",NETWORKDAYS(C582,P582)-1)</f>
        <v/>
      </c>
      <c r="X582">
        <f>IF(B582="","",IF(P582="","Aberto","Fechado"))</f>
        <v/>
      </c>
    </row>
    <row r="583">
      <c r="C583" s="6" t="n"/>
      <c r="E583" s="7" t="n"/>
      <c r="F583" s="8" t="n"/>
      <c r="G583" s="8" t="n"/>
      <c r="H583" s="8" t="n"/>
      <c r="J583" s="7" t="n"/>
      <c r="K583" s="8" t="n"/>
      <c r="L583" s="7" t="n"/>
      <c r="M583" s="8" t="n"/>
      <c r="N583" s="7" t="n"/>
      <c r="O583" s="8" t="n"/>
      <c r="P583" s="6" t="n"/>
      <c r="Q583" s="8" t="n"/>
      <c r="S583" s="8">
        <f>IF(B583="","",E583*F583)</f>
        <v/>
      </c>
      <c r="T583" s="8">
        <f>IF(OR(B583="",N(G583)=0),"",ABS(F583-G583)*E583)</f>
        <v/>
      </c>
      <c r="U583" s="8">
        <f>IF(OR(B583="",P583=""),"",IF(D583="Venda",-1,1)*((N(J583)*N(K583)+N(L583)*N(M583)+N(N583)*N(O583))-(N(J583)+N(L583)+N(N583))*F583)-N(Q583))</f>
        <v/>
      </c>
      <c r="V583" s="9">
        <f>IF(OR(B583="",P583=""),"",U583/S583)</f>
        <v/>
      </c>
      <c r="W583">
        <f>IF(OR(B583="",P583=""),"",NETWORKDAYS(C583,P583)-1)</f>
        <v/>
      </c>
      <c r="X583">
        <f>IF(B583="","",IF(P583="","Aberto","Fechado"))</f>
        <v/>
      </c>
    </row>
    <row r="584">
      <c r="C584" s="6" t="n"/>
      <c r="E584" s="7" t="n"/>
      <c r="F584" s="8" t="n"/>
      <c r="G584" s="8" t="n"/>
      <c r="H584" s="8" t="n"/>
      <c r="J584" s="7" t="n"/>
      <c r="K584" s="8" t="n"/>
      <c r="L584" s="7" t="n"/>
      <c r="M584" s="8" t="n"/>
      <c r="N584" s="7" t="n"/>
      <c r="O584" s="8" t="n"/>
      <c r="P584" s="6" t="n"/>
      <c r="Q584" s="8" t="n"/>
      <c r="S584" s="8">
        <f>IF(B584="","",E584*F584)</f>
        <v/>
      </c>
      <c r="T584" s="8">
        <f>IF(OR(B584="",N(G584)=0),"",ABS(F584-G584)*E584)</f>
        <v/>
      </c>
      <c r="U584" s="8">
        <f>IF(OR(B584="",P584=""),"",IF(D584="Venda",-1,1)*((N(J584)*N(K584)+N(L584)*N(M584)+N(N584)*N(O584))-(N(J584)+N(L584)+N(N584))*F584)-N(Q584))</f>
        <v/>
      </c>
      <c r="V584" s="9">
        <f>IF(OR(B584="",P584=""),"",U584/S584)</f>
        <v/>
      </c>
      <c r="W584">
        <f>IF(OR(B584="",P584=""),"",NETWORKDAYS(C584,P584)-1)</f>
        <v/>
      </c>
      <c r="X584">
        <f>IF(B584="","",IF(P584="","Aberto","Fechado"))</f>
        <v/>
      </c>
    </row>
    <row r="585">
      <c r="C585" s="6" t="n"/>
      <c r="E585" s="7" t="n"/>
      <c r="F585" s="8" t="n"/>
      <c r="G585" s="8" t="n"/>
      <c r="H585" s="8" t="n"/>
      <c r="J585" s="7" t="n"/>
      <c r="K585" s="8" t="n"/>
      <c r="L585" s="7" t="n"/>
      <c r="M585" s="8" t="n"/>
      <c r="N585" s="7" t="n"/>
      <c r="O585" s="8" t="n"/>
      <c r="P585" s="6" t="n"/>
      <c r="Q585" s="8" t="n"/>
      <c r="S585" s="8">
        <f>IF(B585="","",E585*F585)</f>
        <v/>
      </c>
      <c r="T585" s="8">
        <f>IF(OR(B585="",N(G585)=0),"",ABS(F585-G585)*E585)</f>
        <v/>
      </c>
      <c r="U585" s="8">
        <f>IF(OR(B585="",P585=""),"",IF(D585="Venda",-1,1)*((N(J585)*N(K585)+N(L585)*N(M585)+N(N585)*N(O585))-(N(J585)+N(L585)+N(N585))*F585)-N(Q585))</f>
        <v/>
      </c>
      <c r="V585" s="9">
        <f>IF(OR(B585="",P585=""),"",U585/S585)</f>
        <v/>
      </c>
      <c r="W585">
        <f>IF(OR(B585="",P585=""),"",NETWORKDAYS(C585,P585)-1)</f>
        <v/>
      </c>
      <c r="X585">
        <f>IF(B585="","",IF(P585="","Aberto","Fechado"))</f>
        <v/>
      </c>
    </row>
    <row r="586">
      <c r="C586" s="6" t="n"/>
      <c r="E586" s="7" t="n"/>
      <c r="F586" s="8" t="n"/>
      <c r="G586" s="8" t="n"/>
      <c r="H586" s="8" t="n"/>
      <c r="J586" s="7" t="n"/>
      <c r="K586" s="8" t="n"/>
      <c r="L586" s="7" t="n"/>
      <c r="M586" s="8" t="n"/>
      <c r="N586" s="7" t="n"/>
      <c r="O586" s="8" t="n"/>
      <c r="P586" s="6" t="n"/>
      <c r="Q586" s="8" t="n"/>
      <c r="S586" s="8">
        <f>IF(B586="","",E586*F586)</f>
        <v/>
      </c>
      <c r="T586" s="8">
        <f>IF(OR(B586="",N(G586)=0),"",ABS(F586-G586)*E586)</f>
        <v/>
      </c>
      <c r="U586" s="8">
        <f>IF(OR(B586="",P586=""),"",IF(D586="Venda",-1,1)*((N(J586)*N(K586)+N(L586)*N(M586)+N(N586)*N(O586))-(N(J586)+N(L586)+N(N586))*F586)-N(Q586))</f>
        <v/>
      </c>
      <c r="V586" s="9">
        <f>IF(OR(B586="",P586=""),"",U586/S586)</f>
        <v/>
      </c>
      <c r="W586">
        <f>IF(OR(B586="",P586=""),"",NETWORKDAYS(C586,P586)-1)</f>
        <v/>
      </c>
      <c r="X586">
        <f>IF(B586="","",IF(P586="","Aberto","Fechado"))</f>
        <v/>
      </c>
    </row>
    <row r="587">
      <c r="C587" s="6" t="n"/>
      <c r="E587" s="7" t="n"/>
      <c r="F587" s="8" t="n"/>
      <c r="G587" s="8" t="n"/>
      <c r="H587" s="8" t="n"/>
      <c r="J587" s="7" t="n"/>
      <c r="K587" s="8" t="n"/>
      <c r="L587" s="7" t="n"/>
      <c r="M587" s="8" t="n"/>
      <c r="N587" s="7" t="n"/>
      <c r="O587" s="8" t="n"/>
      <c r="P587" s="6" t="n"/>
      <c r="Q587" s="8" t="n"/>
      <c r="S587" s="8">
        <f>IF(B587="","",E587*F587)</f>
        <v/>
      </c>
      <c r="T587" s="8">
        <f>IF(OR(B587="",N(G587)=0),"",ABS(F587-G587)*E587)</f>
        <v/>
      </c>
      <c r="U587" s="8">
        <f>IF(OR(B587="",P587=""),"",IF(D587="Venda",-1,1)*((N(J587)*N(K587)+N(L587)*N(M587)+N(N587)*N(O587))-(N(J587)+N(L587)+N(N587))*F587)-N(Q587))</f>
        <v/>
      </c>
      <c r="V587" s="9">
        <f>IF(OR(B587="",P587=""),"",U587/S587)</f>
        <v/>
      </c>
      <c r="W587">
        <f>IF(OR(B587="",P587=""),"",NETWORKDAYS(C587,P587)-1)</f>
        <v/>
      </c>
      <c r="X587">
        <f>IF(B587="","",IF(P587="","Aberto","Fechado"))</f>
        <v/>
      </c>
    </row>
    <row r="588">
      <c r="C588" s="6" t="n"/>
      <c r="E588" s="7" t="n"/>
      <c r="F588" s="8" t="n"/>
      <c r="G588" s="8" t="n"/>
      <c r="H588" s="8" t="n"/>
      <c r="J588" s="7" t="n"/>
      <c r="K588" s="8" t="n"/>
      <c r="L588" s="7" t="n"/>
      <c r="M588" s="8" t="n"/>
      <c r="N588" s="7" t="n"/>
      <c r="O588" s="8" t="n"/>
      <c r="P588" s="6" t="n"/>
      <c r="Q588" s="8" t="n"/>
      <c r="S588" s="8">
        <f>IF(B588="","",E588*F588)</f>
        <v/>
      </c>
      <c r="T588" s="8">
        <f>IF(OR(B588="",N(G588)=0),"",ABS(F588-G588)*E588)</f>
        <v/>
      </c>
      <c r="U588" s="8">
        <f>IF(OR(B588="",P588=""),"",IF(D588="Venda",-1,1)*((N(J588)*N(K588)+N(L588)*N(M588)+N(N588)*N(O588))-(N(J588)+N(L588)+N(N588))*F588)-N(Q588))</f>
        <v/>
      </c>
      <c r="V588" s="9">
        <f>IF(OR(B588="",P588=""),"",U588/S588)</f>
        <v/>
      </c>
      <c r="W588">
        <f>IF(OR(B588="",P588=""),"",NETWORKDAYS(C588,P588)-1)</f>
        <v/>
      </c>
      <c r="X588">
        <f>IF(B588="","",IF(P588="","Aberto","Fechado"))</f>
        <v/>
      </c>
    </row>
    <row r="589">
      <c r="C589" s="6" t="n"/>
      <c r="E589" s="7" t="n"/>
      <c r="F589" s="8" t="n"/>
      <c r="G589" s="8" t="n"/>
      <c r="H589" s="8" t="n"/>
      <c r="J589" s="7" t="n"/>
      <c r="K589" s="8" t="n"/>
      <c r="L589" s="7" t="n"/>
      <c r="M589" s="8" t="n"/>
      <c r="N589" s="7" t="n"/>
      <c r="O589" s="8" t="n"/>
      <c r="P589" s="6" t="n"/>
      <c r="Q589" s="8" t="n"/>
      <c r="S589" s="8">
        <f>IF(B589="","",E589*F589)</f>
        <v/>
      </c>
      <c r="T589" s="8">
        <f>IF(OR(B589="",N(G589)=0),"",ABS(F589-G589)*E589)</f>
        <v/>
      </c>
      <c r="U589" s="8">
        <f>IF(OR(B589="",P589=""),"",IF(D589="Venda",-1,1)*((N(J589)*N(K589)+N(L589)*N(M589)+N(N589)*N(O589))-(N(J589)+N(L589)+N(N589))*F589)-N(Q589))</f>
        <v/>
      </c>
      <c r="V589" s="9">
        <f>IF(OR(B589="",P589=""),"",U589/S589)</f>
        <v/>
      </c>
      <c r="W589">
        <f>IF(OR(B589="",P589=""),"",NETWORKDAYS(C589,P589)-1)</f>
        <v/>
      </c>
      <c r="X589">
        <f>IF(B589="","",IF(P589="","Aberto","Fechado"))</f>
        <v/>
      </c>
    </row>
    <row r="590">
      <c r="C590" s="6" t="n"/>
      <c r="E590" s="7" t="n"/>
      <c r="F590" s="8" t="n"/>
      <c r="G590" s="8" t="n"/>
      <c r="H590" s="8" t="n"/>
      <c r="J590" s="7" t="n"/>
      <c r="K590" s="8" t="n"/>
      <c r="L590" s="7" t="n"/>
      <c r="M590" s="8" t="n"/>
      <c r="N590" s="7" t="n"/>
      <c r="O590" s="8" t="n"/>
      <c r="P590" s="6" t="n"/>
      <c r="Q590" s="8" t="n"/>
      <c r="S590" s="8">
        <f>IF(B590="","",E590*F590)</f>
        <v/>
      </c>
      <c r="T590" s="8">
        <f>IF(OR(B590="",N(G590)=0),"",ABS(F590-G590)*E590)</f>
        <v/>
      </c>
      <c r="U590" s="8">
        <f>IF(OR(B590="",P590=""),"",IF(D590="Venda",-1,1)*((N(J590)*N(K590)+N(L590)*N(M590)+N(N590)*N(O590))-(N(J590)+N(L590)+N(N590))*F590)-N(Q590))</f>
        <v/>
      </c>
      <c r="V590" s="9">
        <f>IF(OR(B590="",P590=""),"",U590/S590)</f>
        <v/>
      </c>
      <c r="W590">
        <f>IF(OR(B590="",P590=""),"",NETWORKDAYS(C590,P590)-1)</f>
        <v/>
      </c>
      <c r="X590">
        <f>IF(B590="","",IF(P590="","Aberto","Fechado"))</f>
        <v/>
      </c>
    </row>
    <row r="591">
      <c r="C591" s="6" t="n"/>
      <c r="E591" s="7" t="n"/>
      <c r="F591" s="8" t="n"/>
      <c r="G591" s="8" t="n"/>
      <c r="H591" s="8" t="n"/>
      <c r="J591" s="7" t="n"/>
      <c r="K591" s="8" t="n"/>
      <c r="L591" s="7" t="n"/>
      <c r="M591" s="8" t="n"/>
      <c r="N591" s="7" t="n"/>
      <c r="O591" s="8" t="n"/>
      <c r="P591" s="6" t="n"/>
      <c r="Q591" s="8" t="n"/>
      <c r="S591" s="8">
        <f>IF(B591="","",E591*F591)</f>
        <v/>
      </c>
      <c r="T591" s="8">
        <f>IF(OR(B591="",N(G591)=0),"",ABS(F591-G591)*E591)</f>
        <v/>
      </c>
      <c r="U591" s="8">
        <f>IF(OR(B591="",P591=""),"",IF(D591="Venda",-1,1)*((N(J591)*N(K591)+N(L591)*N(M591)+N(N591)*N(O591))-(N(J591)+N(L591)+N(N591))*F591)-N(Q591))</f>
        <v/>
      </c>
      <c r="V591" s="9">
        <f>IF(OR(B591="",P591=""),"",U591/S591)</f>
        <v/>
      </c>
      <c r="W591">
        <f>IF(OR(B591="",P591=""),"",NETWORKDAYS(C591,P591)-1)</f>
        <v/>
      </c>
      <c r="X591">
        <f>IF(B591="","",IF(P591="","Aberto","Fechado"))</f>
        <v/>
      </c>
    </row>
    <row r="592">
      <c r="C592" s="6" t="n"/>
      <c r="E592" s="7" t="n"/>
      <c r="F592" s="8" t="n"/>
      <c r="G592" s="8" t="n"/>
      <c r="H592" s="8" t="n"/>
      <c r="J592" s="7" t="n"/>
      <c r="K592" s="8" t="n"/>
      <c r="L592" s="7" t="n"/>
      <c r="M592" s="8" t="n"/>
      <c r="N592" s="7" t="n"/>
      <c r="O592" s="8" t="n"/>
      <c r="P592" s="6" t="n"/>
      <c r="Q592" s="8" t="n"/>
      <c r="S592" s="8">
        <f>IF(B592="","",E592*F592)</f>
        <v/>
      </c>
      <c r="T592" s="8">
        <f>IF(OR(B592="",N(G592)=0),"",ABS(F592-G592)*E592)</f>
        <v/>
      </c>
      <c r="U592" s="8">
        <f>IF(OR(B592="",P592=""),"",IF(D592="Venda",-1,1)*((N(J592)*N(K592)+N(L592)*N(M592)+N(N592)*N(O592))-(N(J592)+N(L592)+N(N592))*F592)-N(Q592))</f>
        <v/>
      </c>
      <c r="V592" s="9">
        <f>IF(OR(B592="",P592=""),"",U592/S592)</f>
        <v/>
      </c>
      <c r="W592">
        <f>IF(OR(B592="",P592=""),"",NETWORKDAYS(C592,P592)-1)</f>
        <v/>
      </c>
      <c r="X592">
        <f>IF(B592="","",IF(P592="","Aberto","Fechado"))</f>
        <v/>
      </c>
    </row>
    <row r="593">
      <c r="C593" s="6" t="n"/>
      <c r="E593" s="7" t="n"/>
      <c r="F593" s="8" t="n"/>
      <c r="G593" s="8" t="n"/>
      <c r="H593" s="8" t="n"/>
      <c r="J593" s="7" t="n"/>
      <c r="K593" s="8" t="n"/>
      <c r="L593" s="7" t="n"/>
      <c r="M593" s="8" t="n"/>
      <c r="N593" s="7" t="n"/>
      <c r="O593" s="8" t="n"/>
      <c r="P593" s="6" t="n"/>
      <c r="Q593" s="8" t="n"/>
      <c r="S593" s="8">
        <f>IF(B593="","",E593*F593)</f>
        <v/>
      </c>
      <c r="T593" s="8">
        <f>IF(OR(B593="",N(G593)=0),"",ABS(F593-G593)*E593)</f>
        <v/>
      </c>
      <c r="U593" s="8">
        <f>IF(OR(B593="",P593=""),"",IF(D593="Venda",-1,1)*((N(J593)*N(K593)+N(L593)*N(M593)+N(N593)*N(O593))-(N(J593)+N(L593)+N(N593))*F593)-N(Q593))</f>
        <v/>
      </c>
      <c r="V593" s="9">
        <f>IF(OR(B593="",P593=""),"",U593/S593)</f>
        <v/>
      </c>
      <c r="W593">
        <f>IF(OR(B593="",P593=""),"",NETWORKDAYS(C593,P593)-1)</f>
        <v/>
      </c>
      <c r="X593">
        <f>IF(B593="","",IF(P593="","Aberto","Fechado"))</f>
        <v/>
      </c>
    </row>
    <row r="594">
      <c r="C594" s="6" t="n"/>
      <c r="E594" s="7" t="n"/>
      <c r="F594" s="8" t="n"/>
      <c r="G594" s="8" t="n"/>
      <c r="H594" s="8" t="n"/>
      <c r="J594" s="7" t="n"/>
      <c r="K594" s="8" t="n"/>
      <c r="L594" s="7" t="n"/>
      <c r="M594" s="8" t="n"/>
      <c r="N594" s="7" t="n"/>
      <c r="O594" s="8" t="n"/>
      <c r="P594" s="6" t="n"/>
      <c r="Q594" s="8" t="n"/>
      <c r="S594" s="8">
        <f>IF(B594="","",E594*F594)</f>
        <v/>
      </c>
      <c r="T594" s="8">
        <f>IF(OR(B594="",N(G594)=0),"",ABS(F594-G594)*E594)</f>
        <v/>
      </c>
      <c r="U594" s="8">
        <f>IF(OR(B594="",P594=""),"",IF(D594="Venda",-1,1)*((N(J594)*N(K594)+N(L594)*N(M594)+N(N594)*N(O594))-(N(J594)+N(L594)+N(N594))*F594)-N(Q594))</f>
        <v/>
      </c>
      <c r="V594" s="9">
        <f>IF(OR(B594="",P594=""),"",U594/S594)</f>
        <v/>
      </c>
      <c r="W594">
        <f>IF(OR(B594="",P594=""),"",NETWORKDAYS(C594,P594)-1)</f>
        <v/>
      </c>
      <c r="X594">
        <f>IF(B594="","",IF(P594="","Aberto","Fechado"))</f>
        <v/>
      </c>
    </row>
    <row r="595">
      <c r="C595" s="6" t="n"/>
      <c r="E595" s="7" t="n"/>
      <c r="F595" s="8" t="n"/>
      <c r="G595" s="8" t="n"/>
      <c r="H595" s="8" t="n"/>
      <c r="J595" s="7" t="n"/>
      <c r="K595" s="8" t="n"/>
      <c r="L595" s="7" t="n"/>
      <c r="M595" s="8" t="n"/>
      <c r="N595" s="7" t="n"/>
      <c r="O595" s="8" t="n"/>
      <c r="P595" s="6" t="n"/>
      <c r="Q595" s="8" t="n"/>
      <c r="S595" s="8">
        <f>IF(B595="","",E595*F595)</f>
        <v/>
      </c>
      <c r="T595" s="8">
        <f>IF(OR(B595="",N(G595)=0),"",ABS(F595-G595)*E595)</f>
        <v/>
      </c>
      <c r="U595" s="8">
        <f>IF(OR(B595="",P595=""),"",IF(D595="Venda",-1,1)*((N(J595)*N(K595)+N(L595)*N(M595)+N(N595)*N(O595))-(N(J595)+N(L595)+N(N595))*F595)-N(Q595))</f>
        <v/>
      </c>
      <c r="V595" s="9">
        <f>IF(OR(B595="",P595=""),"",U595/S595)</f>
        <v/>
      </c>
      <c r="W595">
        <f>IF(OR(B595="",P595=""),"",NETWORKDAYS(C595,P595)-1)</f>
        <v/>
      </c>
      <c r="X595">
        <f>IF(B595="","",IF(P595="","Aberto","Fechado"))</f>
        <v/>
      </c>
    </row>
    <row r="596">
      <c r="C596" s="6" t="n"/>
      <c r="E596" s="7" t="n"/>
      <c r="F596" s="8" t="n"/>
      <c r="G596" s="8" t="n"/>
      <c r="H596" s="8" t="n"/>
      <c r="J596" s="7" t="n"/>
      <c r="K596" s="8" t="n"/>
      <c r="L596" s="7" t="n"/>
      <c r="M596" s="8" t="n"/>
      <c r="N596" s="7" t="n"/>
      <c r="O596" s="8" t="n"/>
      <c r="P596" s="6" t="n"/>
      <c r="Q596" s="8" t="n"/>
      <c r="S596" s="8">
        <f>IF(B596="","",E596*F596)</f>
        <v/>
      </c>
      <c r="T596" s="8">
        <f>IF(OR(B596="",N(G596)=0),"",ABS(F596-G596)*E596)</f>
        <v/>
      </c>
      <c r="U596" s="8">
        <f>IF(OR(B596="",P596=""),"",IF(D596="Venda",-1,1)*((N(J596)*N(K596)+N(L596)*N(M596)+N(N596)*N(O596))-(N(J596)+N(L596)+N(N596))*F596)-N(Q596))</f>
        <v/>
      </c>
      <c r="V596" s="9">
        <f>IF(OR(B596="",P596=""),"",U596/S596)</f>
        <v/>
      </c>
      <c r="W596">
        <f>IF(OR(B596="",P596=""),"",NETWORKDAYS(C596,P596)-1)</f>
        <v/>
      </c>
      <c r="X596">
        <f>IF(B596="","",IF(P596="","Aberto","Fechado"))</f>
        <v/>
      </c>
    </row>
    <row r="597">
      <c r="C597" s="6" t="n"/>
      <c r="E597" s="7" t="n"/>
      <c r="F597" s="8" t="n"/>
      <c r="G597" s="8" t="n"/>
      <c r="H597" s="8" t="n"/>
      <c r="J597" s="7" t="n"/>
      <c r="K597" s="8" t="n"/>
      <c r="L597" s="7" t="n"/>
      <c r="M597" s="8" t="n"/>
      <c r="N597" s="7" t="n"/>
      <c r="O597" s="8" t="n"/>
      <c r="P597" s="6" t="n"/>
      <c r="Q597" s="8" t="n"/>
      <c r="S597" s="8">
        <f>IF(B597="","",E597*F597)</f>
        <v/>
      </c>
      <c r="T597" s="8">
        <f>IF(OR(B597="",N(G597)=0),"",ABS(F597-G597)*E597)</f>
        <v/>
      </c>
      <c r="U597" s="8">
        <f>IF(OR(B597="",P597=""),"",IF(D597="Venda",-1,1)*((N(J597)*N(K597)+N(L597)*N(M597)+N(N597)*N(O597))-(N(J597)+N(L597)+N(N597))*F597)-N(Q597))</f>
        <v/>
      </c>
      <c r="V597" s="9">
        <f>IF(OR(B597="",P597=""),"",U597/S597)</f>
        <v/>
      </c>
      <c r="W597">
        <f>IF(OR(B597="",P597=""),"",NETWORKDAYS(C597,P597)-1)</f>
        <v/>
      </c>
      <c r="X597">
        <f>IF(B597="","",IF(P597="","Aberto","Fechado"))</f>
        <v/>
      </c>
    </row>
    <row r="598">
      <c r="C598" s="6" t="n"/>
      <c r="E598" s="7" t="n"/>
      <c r="F598" s="8" t="n"/>
      <c r="G598" s="8" t="n"/>
      <c r="H598" s="8" t="n"/>
      <c r="J598" s="7" t="n"/>
      <c r="K598" s="8" t="n"/>
      <c r="L598" s="7" t="n"/>
      <c r="M598" s="8" t="n"/>
      <c r="N598" s="7" t="n"/>
      <c r="O598" s="8" t="n"/>
      <c r="P598" s="6" t="n"/>
      <c r="Q598" s="8" t="n"/>
      <c r="S598" s="8">
        <f>IF(B598="","",E598*F598)</f>
        <v/>
      </c>
      <c r="T598" s="8">
        <f>IF(OR(B598="",N(G598)=0),"",ABS(F598-G598)*E598)</f>
        <v/>
      </c>
      <c r="U598" s="8">
        <f>IF(OR(B598="",P598=""),"",IF(D598="Venda",-1,1)*((N(J598)*N(K598)+N(L598)*N(M598)+N(N598)*N(O598))-(N(J598)+N(L598)+N(N598))*F598)-N(Q598))</f>
        <v/>
      </c>
      <c r="V598" s="9">
        <f>IF(OR(B598="",P598=""),"",U598/S598)</f>
        <v/>
      </c>
      <c r="W598">
        <f>IF(OR(B598="",P598=""),"",NETWORKDAYS(C598,P598)-1)</f>
        <v/>
      </c>
      <c r="X598">
        <f>IF(B598="","",IF(P598="","Aberto","Fechado"))</f>
        <v/>
      </c>
    </row>
    <row r="599">
      <c r="C599" s="6" t="n"/>
      <c r="E599" s="7" t="n"/>
      <c r="F599" s="8" t="n"/>
      <c r="G599" s="8" t="n"/>
      <c r="H599" s="8" t="n"/>
      <c r="J599" s="7" t="n"/>
      <c r="K599" s="8" t="n"/>
      <c r="L599" s="7" t="n"/>
      <c r="M599" s="8" t="n"/>
      <c r="N599" s="7" t="n"/>
      <c r="O599" s="8" t="n"/>
      <c r="P599" s="6" t="n"/>
      <c r="Q599" s="8" t="n"/>
      <c r="S599" s="8">
        <f>IF(B599="","",E599*F599)</f>
        <v/>
      </c>
      <c r="T599" s="8">
        <f>IF(OR(B599="",N(G599)=0),"",ABS(F599-G599)*E599)</f>
        <v/>
      </c>
      <c r="U599" s="8">
        <f>IF(OR(B599="",P599=""),"",IF(D599="Venda",-1,1)*((N(J599)*N(K599)+N(L599)*N(M599)+N(N599)*N(O599))-(N(J599)+N(L599)+N(N599))*F599)-N(Q599))</f>
        <v/>
      </c>
      <c r="V599" s="9">
        <f>IF(OR(B599="",P599=""),"",U599/S599)</f>
        <v/>
      </c>
      <c r="W599">
        <f>IF(OR(B599="",P599=""),"",NETWORKDAYS(C599,P599)-1)</f>
        <v/>
      </c>
      <c r="X599">
        <f>IF(B599="","",IF(P599="","Aberto","Fechado"))</f>
        <v/>
      </c>
    </row>
    <row r="600">
      <c r="C600" s="6" t="n"/>
      <c r="E600" s="7" t="n"/>
      <c r="F600" s="8" t="n"/>
      <c r="G600" s="8" t="n"/>
      <c r="H600" s="8" t="n"/>
      <c r="J600" s="7" t="n"/>
      <c r="K600" s="8" t="n"/>
      <c r="L600" s="7" t="n"/>
      <c r="M600" s="8" t="n"/>
      <c r="N600" s="7" t="n"/>
      <c r="O600" s="8" t="n"/>
      <c r="P600" s="6" t="n"/>
      <c r="Q600" s="8" t="n"/>
      <c r="S600" s="8">
        <f>IF(B600="","",E600*F600)</f>
        <v/>
      </c>
      <c r="T600" s="8">
        <f>IF(OR(B600="",N(G600)=0),"",ABS(F600-G600)*E600)</f>
        <v/>
      </c>
      <c r="U600" s="8">
        <f>IF(OR(B600="",P600=""),"",IF(D600="Venda",-1,1)*((N(J600)*N(K600)+N(L600)*N(M600)+N(N600)*N(O600))-(N(J600)+N(L600)+N(N600))*F600)-N(Q600))</f>
        <v/>
      </c>
      <c r="V600" s="9">
        <f>IF(OR(B600="",P600=""),"",U600/S600)</f>
        <v/>
      </c>
      <c r="W600">
        <f>IF(OR(B600="",P600=""),"",NETWORKDAYS(C600,P600)-1)</f>
        <v/>
      </c>
      <c r="X600">
        <f>IF(B600="","",IF(P600="","Aberto","Fechado"))</f>
        <v/>
      </c>
    </row>
    <row r="601">
      <c r="C601" s="6" t="n"/>
      <c r="E601" s="7" t="n"/>
      <c r="F601" s="8" t="n"/>
      <c r="G601" s="8" t="n"/>
      <c r="H601" s="8" t="n"/>
      <c r="J601" s="7" t="n"/>
      <c r="K601" s="8" t="n"/>
      <c r="L601" s="7" t="n"/>
      <c r="M601" s="8" t="n"/>
      <c r="N601" s="7" t="n"/>
      <c r="O601" s="8" t="n"/>
      <c r="P601" s="6" t="n"/>
      <c r="Q601" s="8" t="n"/>
      <c r="S601" s="8">
        <f>IF(B601="","",E601*F601)</f>
        <v/>
      </c>
      <c r="T601" s="8">
        <f>IF(OR(B601="",N(G601)=0),"",ABS(F601-G601)*E601)</f>
        <v/>
      </c>
      <c r="U601" s="8">
        <f>IF(OR(B601="",P601=""),"",IF(D601="Venda",-1,1)*((N(J601)*N(K601)+N(L601)*N(M601)+N(N601)*N(O601))-(N(J601)+N(L601)+N(N601))*F601)-N(Q601))</f>
        <v/>
      </c>
      <c r="V601" s="9">
        <f>IF(OR(B601="",P601=""),"",U601/S601)</f>
        <v/>
      </c>
      <c r="W601">
        <f>IF(OR(B601="",P601=""),"",NETWORKDAYS(C601,P601)-1)</f>
        <v/>
      </c>
      <c r="X601">
        <f>IF(B601="","",IF(P601="","Aberto","Fechado"))</f>
        <v/>
      </c>
    </row>
    <row r="602">
      <c r="C602" s="6" t="n"/>
      <c r="E602" s="7" t="n"/>
      <c r="F602" s="8" t="n"/>
      <c r="G602" s="8" t="n"/>
      <c r="H602" s="8" t="n"/>
      <c r="J602" s="7" t="n"/>
      <c r="K602" s="8" t="n"/>
      <c r="L602" s="7" t="n"/>
      <c r="M602" s="8" t="n"/>
      <c r="N602" s="7" t="n"/>
      <c r="O602" s="8" t="n"/>
      <c r="P602" s="6" t="n"/>
      <c r="Q602" s="8" t="n"/>
      <c r="S602" s="8">
        <f>IF(B602="","",E602*F602)</f>
        <v/>
      </c>
      <c r="T602" s="8">
        <f>IF(OR(B602="",N(G602)=0),"",ABS(F602-G602)*E602)</f>
        <v/>
      </c>
      <c r="U602" s="8">
        <f>IF(OR(B602="",P602=""),"",IF(D602="Venda",-1,1)*((N(J602)*N(K602)+N(L602)*N(M602)+N(N602)*N(O602))-(N(J602)+N(L602)+N(N602))*F602)-N(Q602))</f>
        <v/>
      </c>
      <c r="V602" s="9">
        <f>IF(OR(B602="",P602=""),"",U602/S602)</f>
        <v/>
      </c>
      <c r="W602">
        <f>IF(OR(B602="",P602=""),"",NETWORKDAYS(C602,P602)-1)</f>
        <v/>
      </c>
      <c r="X602">
        <f>IF(B602="","",IF(P602="","Aberto","Fechado"))</f>
        <v/>
      </c>
    </row>
    <row r="603">
      <c r="C603" s="6" t="n"/>
      <c r="E603" s="7" t="n"/>
      <c r="F603" s="8" t="n"/>
      <c r="G603" s="8" t="n"/>
      <c r="H603" s="8" t="n"/>
      <c r="J603" s="7" t="n"/>
      <c r="K603" s="8" t="n"/>
      <c r="L603" s="7" t="n"/>
      <c r="M603" s="8" t="n"/>
      <c r="N603" s="7" t="n"/>
      <c r="O603" s="8" t="n"/>
      <c r="P603" s="6" t="n"/>
      <c r="Q603" s="8" t="n"/>
      <c r="S603" s="8">
        <f>IF(B603="","",E603*F603)</f>
        <v/>
      </c>
      <c r="T603" s="8">
        <f>IF(OR(B603="",N(G603)=0),"",ABS(F603-G603)*E603)</f>
        <v/>
      </c>
      <c r="U603" s="8">
        <f>IF(OR(B603="",P603=""),"",IF(D603="Venda",-1,1)*((N(J603)*N(K603)+N(L603)*N(M603)+N(N603)*N(O603))-(N(J603)+N(L603)+N(N603))*F603)-N(Q603))</f>
        <v/>
      </c>
      <c r="V603" s="9">
        <f>IF(OR(B603="",P603=""),"",U603/S603)</f>
        <v/>
      </c>
      <c r="W603">
        <f>IF(OR(B603="",P603=""),"",NETWORKDAYS(C603,P603)-1)</f>
        <v/>
      </c>
      <c r="X603">
        <f>IF(B603="","",IF(P603="","Aberto","Fechado"))</f>
        <v/>
      </c>
    </row>
    <row r="604">
      <c r="C604" s="6" t="n"/>
      <c r="E604" s="7" t="n"/>
      <c r="F604" s="8" t="n"/>
      <c r="G604" s="8" t="n"/>
      <c r="H604" s="8" t="n"/>
      <c r="J604" s="7" t="n"/>
      <c r="K604" s="8" t="n"/>
      <c r="L604" s="7" t="n"/>
      <c r="M604" s="8" t="n"/>
      <c r="N604" s="7" t="n"/>
      <c r="O604" s="8" t="n"/>
      <c r="P604" s="6" t="n"/>
      <c r="Q604" s="8" t="n"/>
      <c r="S604" s="8">
        <f>IF(B604="","",E604*F604)</f>
        <v/>
      </c>
      <c r="T604" s="8">
        <f>IF(OR(B604="",N(G604)=0),"",ABS(F604-G604)*E604)</f>
        <v/>
      </c>
      <c r="U604" s="8">
        <f>IF(OR(B604="",P604=""),"",IF(D604="Venda",-1,1)*((N(J604)*N(K604)+N(L604)*N(M604)+N(N604)*N(O604))-(N(J604)+N(L604)+N(N604))*F604)-N(Q604))</f>
        <v/>
      </c>
      <c r="V604" s="9">
        <f>IF(OR(B604="",P604=""),"",U604/S604)</f>
        <v/>
      </c>
      <c r="W604">
        <f>IF(OR(B604="",P604=""),"",NETWORKDAYS(C604,P604)-1)</f>
        <v/>
      </c>
      <c r="X604">
        <f>IF(B604="","",IF(P604="","Aberto","Fechado"))</f>
        <v/>
      </c>
    </row>
    <row r="605">
      <c r="C605" s="6" t="n"/>
      <c r="E605" s="7" t="n"/>
      <c r="F605" s="8" t="n"/>
      <c r="G605" s="8" t="n"/>
      <c r="H605" s="8" t="n"/>
      <c r="J605" s="7" t="n"/>
      <c r="K605" s="8" t="n"/>
      <c r="L605" s="7" t="n"/>
      <c r="M605" s="8" t="n"/>
      <c r="N605" s="7" t="n"/>
      <c r="O605" s="8" t="n"/>
      <c r="P605" s="6" t="n"/>
      <c r="Q605" s="8" t="n"/>
      <c r="S605" s="8">
        <f>IF(B605="","",E605*F605)</f>
        <v/>
      </c>
      <c r="T605" s="8">
        <f>IF(OR(B605="",N(G605)=0),"",ABS(F605-G605)*E605)</f>
        <v/>
      </c>
      <c r="U605" s="8">
        <f>IF(OR(B605="",P605=""),"",IF(D605="Venda",-1,1)*((N(J605)*N(K605)+N(L605)*N(M605)+N(N605)*N(O605))-(N(J605)+N(L605)+N(N605))*F605)-N(Q605))</f>
        <v/>
      </c>
      <c r="V605" s="9">
        <f>IF(OR(B605="",P605=""),"",U605/S605)</f>
        <v/>
      </c>
      <c r="W605">
        <f>IF(OR(B605="",P605=""),"",NETWORKDAYS(C605,P605)-1)</f>
        <v/>
      </c>
      <c r="X605">
        <f>IF(B605="","",IF(P605="","Aberto","Fechado"))</f>
        <v/>
      </c>
    </row>
    <row r="606">
      <c r="C606" s="6" t="n"/>
      <c r="E606" s="7" t="n"/>
      <c r="F606" s="8" t="n"/>
      <c r="G606" s="8" t="n"/>
      <c r="H606" s="8" t="n"/>
      <c r="J606" s="7" t="n"/>
      <c r="K606" s="8" t="n"/>
      <c r="L606" s="7" t="n"/>
      <c r="M606" s="8" t="n"/>
      <c r="N606" s="7" t="n"/>
      <c r="O606" s="8" t="n"/>
      <c r="P606" s="6" t="n"/>
      <c r="Q606" s="8" t="n"/>
      <c r="S606" s="8">
        <f>IF(B606="","",E606*F606)</f>
        <v/>
      </c>
      <c r="T606" s="8">
        <f>IF(OR(B606="",N(G606)=0),"",ABS(F606-G606)*E606)</f>
        <v/>
      </c>
      <c r="U606" s="8">
        <f>IF(OR(B606="",P606=""),"",IF(D606="Venda",-1,1)*((N(J606)*N(K606)+N(L606)*N(M606)+N(N606)*N(O606))-(N(J606)+N(L606)+N(N606))*F606)-N(Q606))</f>
        <v/>
      </c>
      <c r="V606" s="9">
        <f>IF(OR(B606="",P606=""),"",U606/S606)</f>
        <v/>
      </c>
      <c r="W606">
        <f>IF(OR(B606="",P606=""),"",NETWORKDAYS(C606,P606)-1)</f>
        <v/>
      </c>
      <c r="X606">
        <f>IF(B606="","",IF(P606="","Aberto","Fechado"))</f>
        <v/>
      </c>
    </row>
    <row r="607">
      <c r="C607" s="6" t="n"/>
      <c r="E607" s="7" t="n"/>
      <c r="F607" s="8" t="n"/>
      <c r="G607" s="8" t="n"/>
      <c r="H607" s="8" t="n"/>
      <c r="J607" s="7" t="n"/>
      <c r="K607" s="8" t="n"/>
      <c r="L607" s="7" t="n"/>
      <c r="M607" s="8" t="n"/>
      <c r="N607" s="7" t="n"/>
      <c r="O607" s="8" t="n"/>
      <c r="P607" s="6" t="n"/>
      <c r="Q607" s="8" t="n"/>
      <c r="S607" s="8">
        <f>IF(B607="","",E607*F607)</f>
        <v/>
      </c>
      <c r="T607" s="8">
        <f>IF(OR(B607="",N(G607)=0),"",ABS(F607-G607)*E607)</f>
        <v/>
      </c>
      <c r="U607" s="8">
        <f>IF(OR(B607="",P607=""),"",IF(D607="Venda",-1,1)*((N(J607)*N(K607)+N(L607)*N(M607)+N(N607)*N(O607))-(N(J607)+N(L607)+N(N607))*F607)-N(Q607))</f>
        <v/>
      </c>
      <c r="V607" s="9">
        <f>IF(OR(B607="",P607=""),"",U607/S607)</f>
        <v/>
      </c>
      <c r="W607">
        <f>IF(OR(B607="",P607=""),"",NETWORKDAYS(C607,P607)-1)</f>
        <v/>
      </c>
      <c r="X607">
        <f>IF(B607="","",IF(P607="","Aberto","Fechado"))</f>
        <v/>
      </c>
    </row>
    <row r="608">
      <c r="C608" s="6" t="n"/>
      <c r="E608" s="7" t="n"/>
      <c r="F608" s="8" t="n"/>
      <c r="G608" s="8" t="n"/>
      <c r="H608" s="8" t="n"/>
      <c r="J608" s="7" t="n"/>
      <c r="K608" s="8" t="n"/>
      <c r="L608" s="7" t="n"/>
      <c r="M608" s="8" t="n"/>
      <c r="N608" s="7" t="n"/>
      <c r="O608" s="8" t="n"/>
      <c r="P608" s="6" t="n"/>
      <c r="Q608" s="8" t="n"/>
      <c r="S608" s="8">
        <f>IF(B608="","",E608*F608)</f>
        <v/>
      </c>
      <c r="T608" s="8">
        <f>IF(OR(B608="",N(G608)=0),"",ABS(F608-G608)*E608)</f>
        <v/>
      </c>
      <c r="U608" s="8">
        <f>IF(OR(B608="",P608=""),"",IF(D608="Venda",-1,1)*((N(J608)*N(K608)+N(L608)*N(M608)+N(N608)*N(O608))-(N(J608)+N(L608)+N(N608))*F608)-N(Q608))</f>
        <v/>
      </c>
      <c r="V608" s="9">
        <f>IF(OR(B608="",P608=""),"",U608/S608)</f>
        <v/>
      </c>
      <c r="W608">
        <f>IF(OR(B608="",P608=""),"",NETWORKDAYS(C608,P608)-1)</f>
        <v/>
      </c>
      <c r="X608">
        <f>IF(B608="","",IF(P608="","Aberto","Fechado"))</f>
        <v/>
      </c>
    </row>
    <row r="609">
      <c r="C609" s="6" t="n"/>
      <c r="E609" s="7" t="n"/>
      <c r="F609" s="8" t="n"/>
      <c r="G609" s="8" t="n"/>
      <c r="H609" s="8" t="n"/>
      <c r="J609" s="7" t="n"/>
      <c r="K609" s="8" t="n"/>
      <c r="L609" s="7" t="n"/>
      <c r="M609" s="8" t="n"/>
      <c r="N609" s="7" t="n"/>
      <c r="O609" s="8" t="n"/>
      <c r="P609" s="6" t="n"/>
      <c r="Q609" s="8" t="n"/>
      <c r="S609" s="8">
        <f>IF(B609="","",E609*F609)</f>
        <v/>
      </c>
      <c r="T609" s="8">
        <f>IF(OR(B609="",N(G609)=0),"",ABS(F609-G609)*E609)</f>
        <v/>
      </c>
      <c r="U609" s="8">
        <f>IF(OR(B609="",P609=""),"",IF(D609="Venda",-1,1)*((N(J609)*N(K609)+N(L609)*N(M609)+N(N609)*N(O609))-(N(J609)+N(L609)+N(N609))*F609)-N(Q609))</f>
        <v/>
      </c>
      <c r="V609" s="9">
        <f>IF(OR(B609="",P609=""),"",U609/S609)</f>
        <v/>
      </c>
      <c r="W609">
        <f>IF(OR(B609="",P609=""),"",NETWORKDAYS(C609,P609)-1)</f>
        <v/>
      </c>
      <c r="X609">
        <f>IF(B609="","",IF(P609="","Aberto","Fechado"))</f>
        <v/>
      </c>
    </row>
    <row r="610">
      <c r="C610" s="6" t="n"/>
      <c r="E610" s="7" t="n"/>
      <c r="F610" s="8" t="n"/>
      <c r="G610" s="8" t="n"/>
      <c r="H610" s="8" t="n"/>
      <c r="J610" s="7" t="n"/>
      <c r="K610" s="8" t="n"/>
      <c r="L610" s="7" t="n"/>
      <c r="M610" s="8" t="n"/>
      <c r="N610" s="7" t="n"/>
      <c r="O610" s="8" t="n"/>
      <c r="P610" s="6" t="n"/>
      <c r="Q610" s="8" t="n"/>
      <c r="S610" s="8">
        <f>IF(B610="","",E610*F610)</f>
        <v/>
      </c>
      <c r="T610" s="8">
        <f>IF(OR(B610="",N(G610)=0),"",ABS(F610-G610)*E610)</f>
        <v/>
      </c>
      <c r="U610" s="8">
        <f>IF(OR(B610="",P610=""),"",IF(D610="Venda",-1,1)*((N(J610)*N(K610)+N(L610)*N(M610)+N(N610)*N(O610))-(N(J610)+N(L610)+N(N610))*F610)-N(Q610))</f>
        <v/>
      </c>
      <c r="V610" s="9">
        <f>IF(OR(B610="",P610=""),"",U610/S610)</f>
        <v/>
      </c>
      <c r="W610">
        <f>IF(OR(B610="",P610=""),"",NETWORKDAYS(C610,P610)-1)</f>
        <v/>
      </c>
      <c r="X610">
        <f>IF(B610="","",IF(P610="","Aberto","Fechado"))</f>
        <v/>
      </c>
    </row>
    <row r="611">
      <c r="C611" s="6" t="n"/>
      <c r="E611" s="7" t="n"/>
      <c r="F611" s="8" t="n"/>
      <c r="G611" s="8" t="n"/>
      <c r="H611" s="8" t="n"/>
      <c r="J611" s="7" t="n"/>
      <c r="K611" s="8" t="n"/>
      <c r="L611" s="7" t="n"/>
      <c r="M611" s="8" t="n"/>
      <c r="N611" s="7" t="n"/>
      <c r="O611" s="8" t="n"/>
      <c r="P611" s="6" t="n"/>
      <c r="Q611" s="8" t="n"/>
      <c r="S611" s="8">
        <f>IF(B611="","",E611*F611)</f>
        <v/>
      </c>
      <c r="T611" s="8">
        <f>IF(OR(B611="",N(G611)=0),"",ABS(F611-G611)*E611)</f>
        <v/>
      </c>
      <c r="U611" s="8">
        <f>IF(OR(B611="",P611=""),"",IF(D611="Venda",-1,1)*((N(J611)*N(K611)+N(L611)*N(M611)+N(N611)*N(O611))-(N(J611)+N(L611)+N(N611))*F611)-N(Q611))</f>
        <v/>
      </c>
      <c r="V611" s="9">
        <f>IF(OR(B611="",P611=""),"",U611/S611)</f>
        <v/>
      </c>
      <c r="W611">
        <f>IF(OR(B611="",P611=""),"",NETWORKDAYS(C611,P611)-1)</f>
        <v/>
      </c>
      <c r="X611">
        <f>IF(B611="","",IF(P611="","Aberto","Fechado"))</f>
        <v/>
      </c>
    </row>
    <row r="612">
      <c r="C612" s="6" t="n"/>
      <c r="E612" s="7" t="n"/>
      <c r="F612" s="8" t="n"/>
      <c r="G612" s="8" t="n"/>
      <c r="H612" s="8" t="n"/>
      <c r="J612" s="7" t="n"/>
      <c r="K612" s="8" t="n"/>
      <c r="L612" s="7" t="n"/>
      <c r="M612" s="8" t="n"/>
      <c r="N612" s="7" t="n"/>
      <c r="O612" s="8" t="n"/>
      <c r="P612" s="6" t="n"/>
      <c r="Q612" s="8" t="n"/>
      <c r="S612" s="8">
        <f>IF(B612="","",E612*F612)</f>
        <v/>
      </c>
      <c r="T612" s="8">
        <f>IF(OR(B612="",N(G612)=0),"",ABS(F612-G612)*E612)</f>
        <v/>
      </c>
      <c r="U612" s="8">
        <f>IF(OR(B612="",P612=""),"",IF(D612="Venda",-1,1)*((N(J612)*N(K612)+N(L612)*N(M612)+N(N612)*N(O612))-(N(J612)+N(L612)+N(N612))*F612)-N(Q612))</f>
        <v/>
      </c>
      <c r="V612" s="9">
        <f>IF(OR(B612="",P612=""),"",U612/S612)</f>
        <v/>
      </c>
      <c r="W612">
        <f>IF(OR(B612="",P612=""),"",NETWORKDAYS(C612,P612)-1)</f>
        <v/>
      </c>
      <c r="X612">
        <f>IF(B612="","",IF(P612="","Aberto","Fechado"))</f>
        <v/>
      </c>
    </row>
    <row r="613">
      <c r="C613" s="6" t="n"/>
      <c r="E613" s="7" t="n"/>
      <c r="F613" s="8" t="n"/>
      <c r="G613" s="8" t="n"/>
      <c r="H613" s="8" t="n"/>
      <c r="J613" s="7" t="n"/>
      <c r="K613" s="8" t="n"/>
      <c r="L613" s="7" t="n"/>
      <c r="M613" s="8" t="n"/>
      <c r="N613" s="7" t="n"/>
      <c r="O613" s="8" t="n"/>
      <c r="P613" s="6" t="n"/>
      <c r="Q613" s="8" t="n"/>
      <c r="S613" s="8">
        <f>IF(B613="","",E613*F613)</f>
        <v/>
      </c>
      <c r="T613" s="8">
        <f>IF(OR(B613="",N(G613)=0),"",ABS(F613-G613)*E613)</f>
        <v/>
      </c>
      <c r="U613" s="8">
        <f>IF(OR(B613="",P613=""),"",IF(D613="Venda",-1,1)*((N(J613)*N(K613)+N(L613)*N(M613)+N(N613)*N(O613))-(N(J613)+N(L613)+N(N613))*F613)-N(Q613))</f>
        <v/>
      </c>
      <c r="V613" s="9">
        <f>IF(OR(B613="",P613=""),"",U613/S613)</f>
        <v/>
      </c>
      <c r="W613">
        <f>IF(OR(B613="",P613=""),"",NETWORKDAYS(C613,P613)-1)</f>
        <v/>
      </c>
      <c r="X613">
        <f>IF(B613="","",IF(P613="","Aberto","Fechado"))</f>
        <v/>
      </c>
    </row>
    <row r="614">
      <c r="C614" s="6" t="n"/>
      <c r="E614" s="7" t="n"/>
      <c r="F614" s="8" t="n"/>
      <c r="G614" s="8" t="n"/>
      <c r="H614" s="8" t="n"/>
      <c r="J614" s="7" t="n"/>
      <c r="K614" s="8" t="n"/>
      <c r="L614" s="7" t="n"/>
      <c r="M614" s="8" t="n"/>
      <c r="N614" s="7" t="n"/>
      <c r="O614" s="8" t="n"/>
      <c r="P614" s="6" t="n"/>
      <c r="Q614" s="8" t="n"/>
      <c r="S614" s="8">
        <f>IF(B614="","",E614*F614)</f>
        <v/>
      </c>
      <c r="T614" s="8">
        <f>IF(OR(B614="",N(G614)=0),"",ABS(F614-G614)*E614)</f>
        <v/>
      </c>
      <c r="U614" s="8">
        <f>IF(OR(B614="",P614=""),"",IF(D614="Venda",-1,1)*((N(J614)*N(K614)+N(L614)*N(M614)+N(N614)*N(O614))-(N(J614)+N(L614)+N(N614))*F614)-N(Q614))</f>
        <v/>
      </c>
      <c r="V614" s="9">
        <f>IF(OR(B614="",P614=""),"",U614/S614)</f>
        <v/>
      </c>
      <c r="W614">
        <f>IF(OR(B614="",P614=""),"",NETWORKDAYS(C614,P614)-1)</f>
        <v/>
      </c>
      <c r="X614">
        <f>IF(B614="","",IF(P614="","Aberto","Fechado"))</f>
        <v/>
      </c>
    </row>
    <row r="615">
      <c r="C615" s="6" t="n"/>
      <c r="E615" s="7" t="n"/>
      <c r="F615" s="8" t="n"/>
      <c r="G615" s="8" t="n"/>
      <c r="H615" s="8" t="n"/>
      <c r="J615" s="7" t="n"/>
      <c r="K615" s="8" t="n"/>
      <c r="L615" s="7" t="n"/>
      <c r="M615" s="8" t="n"/>
      <c r="N615" s="7" t="n"/>
      <c r="O615" s="8" t="n"/>
      <c r="P615" s="6" t="n"/>
      <c r="Q615" s="8" t="n"/>
      <c r="S615" s="8">
        <f>IF(B615="","",E615*F615)</f>
        <v/>
      </c>
      <c r="T615" s="8">
        <f>IF(OR(B615="",N(G615)=0),"",ABS(F615-G615)*E615)</f>
        <v/>
      </c>
      <c r="U615" s="8">
        <f>IF(OR(B615="",P615=""),"",IF(D615="Venda",-1,1)*((N(J615)*N(K615)+N(L615)*N(M615)+N(N615)*N(O615))-(N(J615)+N(L615)+N(N615))*F615)-N(Q615))</f>
        <v/>
      </c>
      <c r="V615" s="9">
        <f>IF(OR(B615="",P615=""),"",U615/S615)</f>
        <v/>
      </c>
      <c r="W615">
        <f>IF(OR(B615="",P615=""),"",NETWORKDAYS(C615,P615)-1)</f>
        <v/>
      </c>
      <c r="X615">
        <f>IF(B615="","",IF(P615="","Aberto","Fechado"))</f>
        <v/>
      </c>
    </row>
    <row r="616">
      <c r="C616" s="6" t="n"/>
      <c r="E616" s="7" t="n"/>
      <c r="F616" s="8" t="n"/>
      <c r="G616" s="8" t="n"/>
      <c r="H616" s="8" t="n"/>
      <c r="J616" s="7" t="n"/>
      <c r="K616" s="8" t="n"/>
      <c r="L616" s="7" t="n"/>
      <c r="M616" s="8" t="n"/>
      <c r="N616" s="7" t="n"/>
      <c r="O616" s="8" t="n"/>
      <c r="P616" s="6" t="n"/>
      <c r="Q616" s="8" t="n"/>
      <c r="S616" s="8">
        <f>IF(B616="","",E616*F616)</f>
        <v/>
      </c>
      <c r="T616" s="8">
        <f>IF(OR(B616="",N(G616)=0),"",ABS(F616-G616)*E616)</f>
        <v/>
      </c>
      <c r="U616" s="8">
        <f>IF(OR(B616="",P616=""),"",IF(D616="Venda",-1,1)*((N(J616)*N(K616)+N(L616)*N(M616)+N(N616)*N(O616))-(N(J616)+N(L616)+N(N616))*F616)-N(Q616))</f>
        <v/>
      </c>
      <c r="V616" s="9">
        <f>IF(OR(B616="",P616=""),"",U616/S616)</f>
        <v/>
      </c>
      <c r="W616">
        <f>IF(OR(B616="",P616=""),"",NETWORKDAYS(C616,P616)-1)</f>
        <v/>
      </c>
      <c r="X616">
        <f>IF(B616="","",IF(P616="","Aberto","Fechado"))</f>
        <v/>
      </c>
    </row>
    <row r="617">
      <c r="C617" s="6" t="n"/>
      <c r="E617" s="7" t="n"/>
      <c r="F617" s="8" t="n"/>
      <c r="G617" s="8" t="n"/>
      <c r="H617" s="8" t="n"/>
      <c r="J617" s="7" t="n"/>
      <c r="K617" s="8" t="n"/>
      <c r="L617" s="7" t="n"/>
      <c r="M617" s="8" t="n"/>
      <c r="N617" s="7" t="n"/>
      <c r="O617" s="8" t="n"/>
      <c r="P617" s="6" t="n"/>
      <c r="Q617" s="8" t="n"/>
      <c r="S617" s="8">
        <f>IF(B617="","",E617*F617)</f>
        <v/>
      </c>
      <c r="T617" s="8">
        <f>IF(OR(B617="",N(G617)=0),"",ABS(F617-G617)*E617)</f>
        <v/>
      </c>
      <c r="U617" s="8">
        <f>IF(OR(B617="",P617=""),"",IF(D617="Venda",-1,1)*((N(J617)*N(K617)+N(L617)*N(M617)+N(N617)*N(O617))-(N(J617)+N(L617)+N(N617))*F617)-N(Q617))</f>
        <v/>
      </c>
      <c r="V617" s="9">
        <f>IF(OR(B617="",P617=""),"",U617/S617)</f>
        <v/>
      </c>
      <c r="W617">
        <f>IF(OR(B617="",P617=""),"",NETWORKDAYS(C617,P617)-1)</f>
        <v/>
      </c>
      <c r="X617">
        <f>IF(B617="","",IF(P617="","Aberto","Fechado"))</f>
        <v/>
      </c>
    </row>
    <row r="618">
      <c r="C618" s="6" t="n"/>
      <c r="E618" s="7" t="n"/>
      <c r="F618" s="8" t="n"/>
      <c r="G618" s="8" t="n"/>
      <c r="H618" s="8" t="n"/>
      <c r="J618" s="7" t="n"/>
      <c r="K618" s="8" t="n"/>
      <c r="L618" s="7" t="n"/>
      <c r="M618" s="8" t="n"/>
      <c r="N618" s="7" t="n"/>
      <c r="O618" s="8" t="n"/>
      <c r="P618" s="6" t="n"/>
      <c r="Q618" s="8" t="n"/>
      <c r="S618" s="8">
        <f>IF(B618="","",E618*F618)</f>
        <v/>
      </c>
      <c r="T618" s="8">
        <f>IF(OR(B618="",N(G618)=0),"",ABS(F618-G618)*E618)</f>
        <v/>
      </c>
      <c r="U618" s="8">
        <f>IF(OR(B618="",P618=""),"",IF(D618="Venda",-1,1)*((N(J618)*N(K618)+N(L618)*N(M618)+N(N618)*N(O618))-(N(J618)+N(L618)+N(N618))*F618)-N(Q618))</f>
        <v/>
      </c>
      <c r="V618" s="9">
        <f>IF(OR(B618="",P618=""),"",U618/S618)</f>
        <v/>
      </c>
      <c r="W618">
        <f>IF(OR(B618="",P618=""),"",NETWORKDAYS(C618,P618)-1)</f>
        <v/>
      </c>
      <c r="X618">
        <f>IF(B618="","",IF(P618="","Aberto","Fechado"))</f>
        <v/>
      </c>
    </row>
    <row r="619">
      <c r="C619" s="6" t="n"/>
      <c r="E619" s="7" t="n"/>
      <c r="F619" s="8" t="n"/>
      <c r="G619" s="8" t="n"/>
      <c r="H619" s="8" t="n"/>
      <c r="J619" s="7" t="n"/>
      <c r="K619" s="8" t="n"/>
      <c r="L619" s="7" t="n"/>
      <c r="M619" s="8" t="n"/>
      <c r="N619" s="7" t="n"/>
      <c r="O619" s="8" t="n"/>
      <c r="P619" s="6" t="n"/>
      <c r="Q619" s="8" t="n"/>
      <c r="S619" s="8">
        <f>IF(B619="","",E619*F619)</f>
        <v/>
      </c>
      <c r="T619" s="8">
        <f>IF(OR(B619="",N(G619)=0),"",ABS(F619-G619)*E619)</f>
        <v/>
      </c>
      <c r="U619" s="8">
        <f>IF(OR(B619="",P619=""),"",IF(D619="Venda",-1,1)*((N(J619)*N(K619)+N(L619)*N(M619)+N(N619)*N(O619))-(N(J619)+N(L619)+N(N619))*F619)-N(Q619))</f>
        <v/>
      </c>
      <c r="V619" s="9">
        <f>IF(OR(B619="",P619=""),"",U619/S619)</f>
        <v/>
      </c>
      <c r="W619">
        <f>IF(OR(B619="",P619=""),"",NETWORKDAYS(C619,P619)-1)</f>
        <v/>
      </c>
      <c r="X619">
        <f>IF(B619="","",IF(P619="","Aberto","Fechado"))</f>
        <v/>
      </c>
    </row>
    <row r="620">
      <c r="C620" s="6" t="n"/>
      <c r="E620" s="7" t="n"/>
      <c r="F620" s="8" t="n"/>
      <c r="G620" s="8" t="n"/>
      <c r="H620" s="8" t="n"/>
      <c r="J620" s="7" t="n"/>
      <c r="K620" s="8" t="n"/>
      <c r="L620" s="7" t="n"/>
      <c r="M620" s="8" t="n"/>
      <c r="N620" s="7" t="n"/>
      <c r="O620" s="8" t="n"/>
      <c r="P620" s="6" t="n"/>
      <c r="Q620" s="8" t="n"/>
      <c r="S620" s="8">
        <f>IF(B620="","",E620*F620)</f>
        <v/>
      </c>
      <c r="T620" s="8">
        <f>IF(OR(B620="",N(G620)=0),"",ABS(F620-G620)*E620)</f>
        <v/>
      </c>
      <c r="U620" s="8">
        <f>IF(OR(B620="",P620=""),"",IF(D620="Venda",-1,1)*((N(J620)*N(K620)+N(L620)*N(M620)+N(N620)*N(O620))-(N(J620)+N(L620)+N(N620))*F620)-N(Q620))</f>
        <v/>
      </c>
      <c r="V620" s="9">
        <f>IF(OR(B620="",P620=""),"",U620/S620)</f>
        <v/>
      </c>
      <c r="W620">
        <f>IF(OR(B620="",P620=""),"",NETWORKDAYS(C620,P620)-1)</f>
        <v/>
      </c>
      <c r="X620">
        <f>IF(B620="","",IF(P620="","Aberto","Fechado"))</f>
        <v/>
      </c>
    </row>
    <row r="621">
      <c r="C621" s="6" t="n"/>
      <c r="E621" s="7" t="n"/>
      <c r="F621" s="8" t="n"/>
      <c r="G621" s="8" t="n"/>
      <c r="H621" s="8" t="n"/>
      <c r="J621" s="7" t="n"/>
      <c r="K621" s="8" t="n"/>
      <c r="L621" s="7" t="n"/>
      <c r="M621" s="8" t="n"/>
      <c r="N621" s="7" t="n"/>
      <c r="O621" s="8" t="n"/>
      <c r="P621" s="6" t="n"/>
      <c r="Q621" s="8" t="n"/>
      <c r="S621" s="8">
        <f>IF(B621="","",E621*F621)</f>
        <v/>
      </c>
      <c r="T621" s="8">
        <f>IF(OR(B621="",N(G621)=0),"",ABS(F621-G621)*E621)</f>
        <v/>
      </c>
      <c r="U621" s="8">
        <f>IF(OR(B621="",P621=""),"",IF(D621="Venda",-1,1)*((N(J621)*N(K621)+N(L621)*N(M621)+N(N621)*N(O621))-(N(J621)+N(L621)+N(N621))*F621)-N(Q621))</f>
        <v/>
      </c>
      <c r="V621" s="9">
        <f>IF(OR(B621="",P621=""),"",U621/S621)</f>
        <v/>
      </c>
      <c r="W621">
        <f>IF(OR(B621="",P621=""),"",NETWORKDAYS(C621,P621)-1)</f>
        <v/>
      </c>
      <c r="X621">
        <f>IF(B621="","",IF(P621="","Aberto","Fechado"))</f>
        <v/>
      </c>
    </row>
    <row r="622">
      <c r="C622" s="6" t="n"/>
      <c r="E622" s="7" t="n"/>
      <c r="F622" s="8" t="n"/>
      <c r="G622" s="8" t="n"/>
      <c r="H622" s="8" t="n"/>
      <c r="J622" s="7" t="n"/>
      <c r="K622" s="8" t="n"/>
      <c r="L622" s="7" t="n"/>
      <c r="M622" s="8" t="n"/>
      <c r="N622" s="7" t="n"/>
      <c r="O622" s="8" t="n"/>
      <c r="P622" s="6" t="n"/>
      <c r="Q622" s="8" t="n"/>
      <c r="S622" s="8">
        <f>IF(B622="","",E622*F622)</f>
        <v/>
      </c>
      <c r="T622" s="8">
        <f>IF(OR(B622="",N(G622)=0),"",ABS(F622-G622)*E622)</f>
        <v/>
      </c>
      <c r="U622" s="8">
        <f>IF(OR(B622="",P622=""),"",IF(D622="Venda",-1,1)*((N(J622)*N(K622)+N(L622)*N(M622)+N(N622)*N(O622))-(N(J622)+N(L622)+N(N622))*F622)-N(Q622))</f>
        <v/>
      </c>
      <c r="V622" s="9">
        <f>IF(OR(B622="",P622=""),"",U622/S622)</f>
        <v/>
      </c>
      <c r="W622">
        <f>IF(OR(B622="",P622=""),"",NETWORKDAYS(C622,P622)-1)</f>
        <v/>
      </c>
      <c r="X622">
        <f>IF(B622="","",IF(P622="","Aberto","Fechado"))</f>
        <v/>
      </c>
    </row>
    <row r="623">
      <c r="C623" s="6" t="n"/>
      <c r="E623" s="7" t="n"/>
      <c r="F623" s="8" t="n"/>
      <c r="G623" s="8" t="n"/>
      <c r="H623" s="8" t="n"/>
      <c r="J623" s="7" t="n"/>
      <c r="K623" s="8" t="n"/>
      <c r="L623" s="7" t="n"/>
      <c r="M623" s="8" t="n"/>
      <c r="N623" s="7" t="n"/>
      <c r="O623" s="8" t="n"/>
      <c r="P623" s="6" t="n"/>
      <c r="Q623" s="8" t="n"/>
      <c r="S623" s="8">
        <f>IF(B623="","",E623*F623)</f>
        <v/>
      </c>
      <c r="T623" s="8">
        <f>IF(OR(B623="",N(G623)=0),"",ABS(F623-G623)*E623)</f>
        <v/>
      </c>
      <c r="U623" s="8">
        <f>IF(OR(B623="",P623=""),"",IF(D623="Venda",-1,1)*((N(J623)*N(K623)+N(L623)*N(M623)+N(N623)*N(O623))-(N(J623)+N(L623)+N(N623))*F623)-N(Q623))</f>
        <v/>
      </c>
      <c r="V623" s="9">
        <f>IF(OR(B623="",P623=""),"",U623/S623)</f>
        <v/>
      </c>
      <c r="W623">
        <f>IF(OR(B623="",P623=""),"",NETWORKDAYS(C623,P623)-1)</f>
        <v/>
      </c>
      <c r="X623">
        <f>IF(B623="","",IF(P623="","Aberto","Fechado"))</f>
        <v/>
      </c>
    </row>
    <row r="624">
      <c r="C624" s="6" t="n"/>
      <c r="E624" s="7" t="n"/>
      <c r="F624" s="8" t="n"/>
      <c r="G624" s="8" t="n"/>
      <c r="H624" s="8" t="n"/>
      <c r="J624" s="7" t="n"/>
      <c r="K624" s="8" t="n"/>
      <c r="L624" s="7" t="n"/>
      <c r="M624" s="8" t="n"/>
      <c r="N624" s="7" t="n"/>
      <c r="O624" s="8" t="n"/>
      <c r="P624" s="6" t="n"/>
      <c r="Q624" s="8" t="n"/>
      <c r="S624" s="8">
        <f>IF(B624="","",E624*F624)</f>
        <v/>
      </c>
      <c r="T624" s="8">
        <f>IF(OR(B624="",N(G624)=0),"",ABS(F624-G624)*E624)</f>
        <v/>
      </c>
      <c r="U624" s="8">
        <f>IF(OR(B624="",P624=""),"",IF(D624="Venda",-1,1)*((N(J624)*N(K624)+N(L624)*N(M624)+N(N624)*N(O624))-(N(J624)+N(L624)+N(N624))*F624)-N(Q624))</f>
        <v/>
      </c>
      <c r="V624" s="9">
        <f>IF(OR(B624="",P624=""),"",U624/S624)</f>
        <v/>
      </c>
      <c r="W624">
        <f>IF(OR(B624="",P624=""),"",NETWORKDAYS(C624,P624)-1)</f>
        <v/>
      </c>
      <c r="X624">
        <f>IF(B624="","",IF(P624="","Aberto","Fechado"))</f>
        <v/>
      </c>
    </row>
    <row r="625">
      <c r="C625" s="6" t="n"/>
      <c r="E625" s="7" t="n"/>
      <c r="F625" s="8" t="n"/>
      <c r="G625" s="8" t="n"/>
      <c r="H625" s="8" t="n"/>
      <c r="J625" s="7" t="n"/>
      <c r="K625" s="8" t="n"/>
      <c r="L625" s="7" t="n"/>
      <c r="M625" s="8" t="n"/>
      <c r="N625" s="7" t="n"/>
      <c r="O625" s="8" t="n"/>
      <c r="P625" s="6" t="n"/>
      <c r="Q625" s="8" t="n"/>
      <c r="S625" s="8">
        <f>IF(B625="","",E625*F625)</f>
        <v/>
      </c>
      <c r="T625" s="8">
        <f>IF(OR(B625="",N(G625)=0),"",ABS(F625-G625)*E625)</f>
        <v/>
      </c>
      <c r="U625" s="8">
        <f>IF(OR(B625="",P625=""),"",IF(D625="Venda",-1,1)*((N(J625)*N(K625)+N(L625)*N(M625)+N(N625)*N(O625))-(N(J625)+N(L625)+N(N625))*F625)-N(Q625))</f>
        <v/>
      </c>
      <c r="V625" s="9">
        <f>IF(OR(B625="",P625=""),"",U625/S625)</f>
        <v/>
      </c>
      <c r="W625">
        <f>IF(OR(B625="",P625=""),"",NETWORKDAYS(C625,P625)-1)</f>
        <v/>
      </c>
      <c r="X625">
        <f>IF(B625="","",IF(P625="","Aberto","Fechado"))</f>
        <v/>
      </c>
    </row>
    <row r="626">
      <c r="C626" s="6" t="n"/>
      <c r="E626" s="7" t="n"/>
      <c r="F626" s="8" t="n"/>
      <c r="G626" s="8" t="n"/>
      <c r="H626" s="8" t="n"/>
      <c r="J626" s="7" t="n"/>
      <c r="K626" s="8" t="n"/>
      <c r="L626" s="7" t="n"/>
      <c r="M626" s="8" t="n"/>
      <c r="N626" s="7" t="n"/>
      <c r="O626" s="8" t="n"/>
      <c r="P626" s="6" t="n"/>
      <c r="Q626" s="8" t="n"/>
      <c r="S626" s="8">
        <f>IF(B626="","",E626*F626)</f>
        <v/>
      </c>
      <c r="T626" s="8">
        <f>IF(OR(B626="",N(G626)=0),"",ABS(F626-G626)*E626)</f>
        <v/>
      </c>
      <c r="U626" s="8">
        <f>IF(OR(B626="",P626=""),"",IF(D626="Venda",-1,1)*((N(J626)*N(K626)+N(L626)*N(M626)+N(N626)*N(O626))-(N(J626)+N(L626)+N(N626))*F626)-N(Q626))</f>
        <v/>
      </c>
      <c r="V626" s="9">
        <f>IF(OR(B626="",P626=""),"",U626/S626)</f>
        <v/>
      </c>
      <c r="W626">
        <f>IF(OR(B626="",P626=""),"",NETWORKDAYS(C626,P626)-1)</f>
        <v/>
      </c>
      <c r="X626">
        <f>IF(B626="","",IF(P626="","Aberto","Fechado"))</f>
        <v/>
      </c>
    </row>
    <row r="627">
      <c r="C627" s="6" t="n"/>
      <c r="E627" s="7" t="n"/>
      <c r="F627" s="8" t="n"/>
      <c r="G627" s="8" t="n"/>
      <c r="H627" s="8" t="n"/>
      <c r="J627" s="7" t="n"/>
      <c r="K627" s="8" t="n"/>
      <c r="L627" s="7" t="n"/>
      <c r="M627" s="8" t="n"/>
      <c r="N627" s="7" t="n"/>
      <c r="O627" s="8" t="n"/>
      <c r="P627" s="6" t="n"/>
      <c r="Q627" s="8" t="n"/>
      <c r="S627" s="8">
        <f>IF(B627="","",E627*F627)</f>
        <v/>
      </c>
      <c r="T627" s="8">
        <f>IF(OR(B627="",N(G627)=0),"",ABS(F627-G627)*E627)</f>
        <v/>
      </c>
      <c r="U627" s="8">
        <f>IF(OR(B627="",P627=""),"",IF(D627="Venda",-1,1)*((N(J627)*N(K627)+N(L627)*N(M627)+N(N627)*N(O627))-(N(J627)+N(L627)+N(N627))*F627)-N(Q627))</f>
        <v/>
      </c>
      <c r="V627" s="9">
        <f>IF(OR(B627="",P627=""),"",U627/S627)</f>
        <v/>
      </c>
      <c r="W627">
        <f>IF(OR(B627="",P627=""),"",NETWORKDAYS(C627,P627)-1)</f>
        <v/>
      </c>
      <c r="X627">
        <f>IF(B627="","",IF(P627="","Aberto","Fechado"))</f>
        <v/>
      </c>
    </row>
    <row r="628">
      <c r="C628" s="6" t="n"/>
      <c r="E628" s="7" t="n"/>
      <c r="F628" s="8" t="n"/>
      <c r="G628" s="8" t="n"/>
      <c r="H628" s="8" t="n"/>
      <c r="J628" s="7" t="n"/>
      <c r="K628" s="8" t="n"/>
      <c r="L628" s="7" t="n"/>
      <c r="M628" s="8" t="n"/>
      <c r="N628" s="7" t="n"/>
      <c r="O628" s="8" t="n"/>
      <c r="P628" s="6" t="n"/>
      <c r="Q628" s="8" t="n"/>
      <c r="S628" s="8">
        <f>IF(B628="","",E628*F628)</f>
        <v/>
      </c>
      <c r="T628" s="8">
        <f>IF(OR(B628="",N(G628)=0),"",ABS(F628-G628)*E628)</f>
        <v/>
      </c>
      <c r="U628" s="8">
        <f>IF(OR(B628="",P628=""),"",IF(D628="Venda",-1,1)*((N(J628)*N(K628)+N(L628)*N(M628)+N(N628)*N(O628))-(N(J628)+N(L628)+N(N628))*F628)-N(Q628))</f>
        <v/>
      </c>
      <c r="V628" s="9">
        <f>IF(OR(B628="",P628=""),"",U628/S628)</f>
        <v/>
      </c>
      <c r="W628">
        <f>IF(OR(B628="",P628=""),"",NETWORKDAYS(C628,P628)-1)</f>
        <v/>
      </c>
      <c r="X628">
        <f>IF(B628="","",IF(P628="","Aberto","Fechado"))</f>
        <v/>
      </c>
    </row>
    <row r="629">
      <c r="C629" s="6" t="n"/>
      <c r="E629" s="7" t="n"/>
      <c r="F629" s="8" t="n"/>
      <c r="G629" s="8" t="n"/>
      <c r="H629" s="8" t="n"/>
      <c r="J629" s="7" t="n"/>
      <c r="K629" s="8" t="n"/>
      <c r="L629" s="7" t="n"/>
      <c r="M629" s="8" t="n"/>
      <c r="N629" s="7" t="n"/>
      <c r="O629" s="8" t="n"/>
      <c r="P629" s="6" t="n"/>
      <c r="Q629" s="8" t="n"/>
      <c r="S629" s="8">
        <f>IF(B629="","",E629*F629)</f>
        <v/>
      </c>
      <c r="T629" s="8">
        <f>IF(OR(B629="",N(G629)=0),"",ABS(F629-G629)*E629)</f>
        <v/>
      </c>
      <c r="U629" s="8">
        <f>IF(OR(B629="",P629=""),"",IF(D629="Venda",-1,1)*((N(J629)*N(K629)+N(L629)*N(M629)+N(N629)*N(O629))-(N(J629)+N(L629)+N(N629))*F629)-N(Q629))</f>
        <v/>
      </c>
      <c r="V629" s="9">
        <f>IF(OR(B629="",P629=""),"",U629/S629)</f>
        <v/>
      </c>
      <c r="W629">
        <f>IF(OR(B629="",P629=""),"",NETWORKDAYS(C629,P629)-1)</f>
        <v/>
      </c>
      <c r="X629">
        <f>IF(B629="","",IF(P629="","Aberto","Fechado"))</f>
        <v/>
      </c>
    </row>
    <row r="630">
      <c r="C630" s="6" t="n"/>
      <c r="E630" s="7" t="n"/>
      <c r="F630" s="8" t="n"/>
      <c r="G630" s="8" t="n"/>
      <c r="H630" s="8" t="n"/>
      <c r="J630" s="7" t="n"/>
      <c r="K630" s="8" t="n"/>
      <c r="L630" s="7" t="n"/>
      <c r="M630" s="8" t="n"/>
      <c r="N630" s="7" t="n"/>
      <c r="O630" s="8" t="n"/>
      <c r="P630" s="6" t="n"/>
      <c r="Q630" s="8" t="n"/>
      <c r="S630" s="8">
        <f>IF(B630="","",E630*F630)</f>
        <v/>
      </c>
      <c r="T630" s="8">
        <f>IF(OR(B630="",N(G630)=0),"",ABS(F630-G630)*E630)</f>
        <v/>
      </c>
      <c r="U630" s="8">
        <f>IF(OR(B630="",P630=""),"",IF(D630="Venda",-1,1)*((N(J630)*N(K630)+N(L630)*N(M630)+N(N630)*N(O630))-(N(J630)+N(L630)+N(N630))*F630)-N(Q630))</f>
        <v/>
      </c>
      <c r="V630" s="9">
        <f>IF(OR(B630="",P630=""),"",U630/S630)</f>
        <v/>
      </c>
      <c r="W630">
        <f>IF(OR(B630="",P630=""),"",NETWORKDAYS(C630,P630)-1)</f>
        <v/>
      </c>
      <c r="X630">
        <f>IF(B630="","",IF(P630="","Aberto","Fechado"))</f>
        <v/>
      </c>
    </row>
    <row r="631">
      <c r="C631" s="6" t="n"/>
      <c r="E631" s="7" t="n"/>
      <c r="F631" s="8" t="n"/>
      <c r="G631" s="8" t="n"/>
      <c r="H631" s="8" t="n"/>
      <c r="J631" s="7" t="n"/>
      <c r="K631" s="8" t="n"/>
      <c r="L631" s="7" t="n"/>
      <c r="M631" s="8" t="n"/>
      <c r="N631" s="7" t="n"/>
      <c r="O631" s="8" t="n"/>
      <c r="P631" s="6" t="n"/>
      <c r="Q631" s="8" t="n"/>
      <c r="S631" s="8">
        <f>IF(B631="","",E631*F631)</f>
        <v/>
      </c>
      <c r="T631" s="8">
        <f>IF(OR(B631="",N(G631)=0),"",ABS(F631-G631)*E631)</f>
        <v/>
      </c>
      <c r="U631" s="8">
        <f>IF(OR(B631="",P631=""),"",IF(D631="Venda",-1,1)*((N(J631)*N(K631)+N(L631)*N(M631)+N(N631)*N(O631))-(N(J631)+N(L631)+N(N631))*F631)-N(Q631))</f>
        <v/>
      </c>
      <c r="V631" s="9">
        <f>IF(OR(B631="",P631=""),"",U631/S631)</f>
        <v/>
      </c>
      <c r="W631">
        <f>IF(OR(B631="",P631=""),"",NETWORKDAYS(C631,P631)-1)</f>
        <v/>
      </c>
      <c r="X631">
        <f>IF(B631="","",IF(P631="","Aberto","Fechado"))</f>
        <v/>
      </c>
    </row>
    <row r="632">
      <c r="C632" s="6" t="n"/>
      <c r="E632" s="7" t="n"/>
      <c r="F632" s="8" t="n"/>
      <c r="G632" s="8" t="n"/>
      <c r="H632" s="8" t="n"/>
      <c r="J632" s="7" t="n"/>
      <c r="K632" s="8" t="n"/>
      <c r="L632" s="7" t="n"/>
      <c r="M632" s="8" t="n"/>
      <c r="N632" s="7" t="n"/>
      <c r="O632" s="8" t="n"/>
      <c r="P632" s="6" t="n"/>
      <c r="Q632" s="8" t="n"/>
      <c r="S632" s="8">
        <f>IF(B632="","",E632*F632)</f>
        <v/>
      </c>
      <c r="T632" s="8">
        <f>IF(OR(B632="",N(G632)=0),"",ABS(F632-G632)*E632)</f>
        <v/>
      </c>
      <c r="U632" s="8">
        <f>IF(OR(B632="",P632=""),"",IF(D632="Venda",-1,1)*((N(J632)*N(K632)+N(L632)*N(M632)+N(N632)*N(O632))-(N(J632)+N(L632)+N(N632))*F632)-N(Q632))</f>
        <v/>
      </c>
      <c r="V632" s="9">
        <f>IF(OR(B632="",P632=""),"",U632/S632)</f>
        <v/>
      </c>
      <c r="W632">
        <f>IF(OR(B632="",P632=""),"",NETWORKDAYS(C632,P632)-1)</f>
        <v/>
      </c>
      <c r="X632">
        <f>IF(B632="","",IF(P632="","Aberto","Fechado"))</f>
        <v/>
      </c>
    </row>
    <row r="633">
      <c r="C633" s="6" t="n"/>
      <c r="E633" s="7" t="n"/>
      <c r="F633" s="8" t="n"/>
      <c r="G633" s="8" t="n"/>
      <c r="H633" s="8" t="n"/>
      <c r="J633" s="7" t="n"/>
      <c r="K633" s="8" t="n"/>
      <c r="L633" s="7" t="n"/>
      <c r="M633" s="8" t="n"/>
      <c r="N633" s="7" t="n"/>
      <c r="O633" s="8" t="n"/>
      <c r="P633" s="6" t="n"/>
      <c r="Q633" s="8" t="n"/>
      <c r="S633" s="8">
        <f>IF(B633="","",E633*F633)</f>
        <v/>
      </c>
      <c r="T633" s="8">
        <f>IF(OR(B633="",N(G633)=0),"",ABS(F633-G633)*E633)</f>
        <v/>
      </c>
      <c r="U633" s="8">
        <f>IF(OR(B633="",P633=""),"",IF(D633="Venda",-1,1)*((N(J633)*N(K633)+N(L633)*N(M633)+N(N633)*N(O633))-(N(J633)+N(L633)+N(N633))*F633)-N(Q633))</f>
        <v/>
      </c>
      <c r="V633" s="9">
        <f>IF(OR(B633="",P633=""),"",U633/S633)</f>
        <v/>
      </c>
      <c r="W633">
        <f>IF(OR(B633="",P633=""),"",NETWORKDAYS(C633,P633)-1)</f>
        <v/>
      </c>
      <c r="X633">
        <f>IF(B633="","",IF(P633="","Aberto","Fechado"))</f>
        <v/>
      </c>
    </row>
    <row r="634">
      <c r="C634" s="6" t="n"/>
      <c r="E634" s="7" t="n"/>
      <c r="F634" s="8" t="n"/>
      <c r="G634" s="8" t="n"/>
      <c r="H634" s="8" t="n"/>
      <c r="J634" s="7" t="n"/>
      <c r="K634" s="8" t="n"/>
      <c r="L634" s="7" t="n"/>
      <c r="M634" s="8" t="n"/>
      <c r="N634" s="7" t="n"/>
      <c r="O634" s="8" t="n"/>
      <c r="P634" s="6" t="n"/>
      <c r="Q634" s="8" t="n"/>
      <c r="S634" s="8">
        <f>IF(B634="","",E634*F634)</f>
        <v/>
      </c>
      <c r="T634" s="8">
        <f>IF(OR(B634="",N(G634)=0),"",ABS(F634-G634)*E634)</f>
        <v/>
      </c>
      <c r="U634" s="8">
        <f>IF(OR(B634="",P634=""),"",IF(D634="Venda",-1,1)*((N(J634)*N(K634)+N(L634)*N(M634)+N(N634)*N(O634))-(N(J634)+N(L634)+N(N634))*F634)-N(Q634))</f>
        <v/>
      </c>
      <c r="V634" s="9">
        <f>IF(OR(B634="",P634=""),"",U634/S634)</f>
        <v/>
      </c>
      <c r="W634">
        <f>IF(OR(B634="",P634=""),"",NETWORKDAYS(C634,P634)-1)</f>
        <v/>
      </c>
      <c r="X634">
        <f>IF(B634="","",IF(P634="","Aberto","Fechado"))</f>
        <v/>
      </c>
    </row>
    <row r="635">
      <c r="C635" s="6" t="n"/>
      <c r="E635" s="7" t="n"/>
      <c r="F635" s="8" t="n"/>
      <c r="G635" s="8" t="n"/>
      <c r="H635" s="8" t="n"/>
      <c r="J635" s="7" t="n"/>
      <c r="K635" s="8" t="n"/>
      <c r="L635" s="7" t="n"/>
      <c r="M635" s="8" t="n"/>
      <c r="N635" s="7" t="n"/>
      <c r="O635" s="8" t="n"/>
      <c r="P635" s="6" t="n"/>
      <c r="Q635" s="8" t="n"/>
      <c r="S635" s="8">
        <f>IF(B635="","",E635*F635)</f>
        <v/>
      </c>
      <c r="T635" s="8">
        <f>IF(OR(B635="",N(G635)=0),"",ABS(F635-G635)*E635)</f>
        <v/>
      </c>
      <c r="U635" s="8">
        <f>IF(OR(B635="",P635=""),"",IF(D635="Venda",-1,1)*((N(J635)*N(K635)+N(L635)*N(M635)+N(N635)*N(O635))-(N(J635)+N(L635)+N(N635))*F635)-N(Q635))</f>
        <v/>
      </c>
      <c r="V635" s="9">
        <f>IF(OR(B635="",P635=""),"",U635/S635)</f>
        <v/>
      </c>
      <c r="W635">
        <f>IF(OR(B635="",P635=""),"",NETWORKDAYS(C635,P635)-1)</f>
        <v/>
      </c>
      <c r="X635">
        <f>IF(B635="","",IF(P635="","Aberto","Fechado"))</f>
        <v/>
      </c>
    </row>
    <row r="636">
      <c r="C636" s="6" t="n"/>
      <c r="E636" s="7" t="n"/>
      <c r="F636" s="8" t="n"/>
      <c r="G636" s="8" t="n"/>
      <c r="H636" s="8" t="n"/>
      <c r="J636" s="7" t="n"/>
      <c r="K636" s="8" t="n"/>
      <c r="L636" s="7" t="n"/>
      <c r="M636" s="8" t="n"/>
      <c r="N636" s="7" t="n"/>
      <c r="O636" s="8" t="n"/>
      <c r="P636" s="6" t="n"/>
      <c r="Q636" s="8" t="n"/>
      <c r="S636" s="8">
        <f>IF(B636="","",E636*F636)</f>
        <v/>
      </c>
      <c r="T636" s="8">
        <f>IF(OR(B636="",N(G636)=0),"",ABS(F636-G636)*E636)</f>
        <v/>
      </c>
      <c r="U636" s="8">
        <f>IF(OR(B636="",P636=""),"",IF(D636="Venda",-1,1)*((N(J636)*N(K636)+N(L636)*N(M636)+N(N636)*N(O636))-(N(J636)+N(L636)+N(N636))*F636)-N(Q636))</f>
        <v/>
      </c>
      <c r="V636" s="9">
        <f>IF(OR(B636="",P636=""),"",U636/S636)</f>
        <v/>
      </c>
      <c r="W636">
        <f>IF(OR(B636="",P636=""),"",NETWORKDAYS(C636,P636)-1)</f>
        <v/>
      </c>
      <c r="X636">
        <f>IF(B636="","",IF(P636="","Aberto","Fechado"))</f>
        <v/>
      </c>
    </row>
    <row r="637">
      <c r="C637" s="6" t="n"/>
      <c r="E637" s="7" t="n"/>
      <c r="F637" s="8" t="n"/>
      <c r="G637" s="8" t="n"/>
      <c r="H637" s="8" t="n"/>
      <c r="J637" s="7" t="n"/>
      <c r="K637" s="8" t="n"/>
      <c r="L637" s="7" t="n"/>
      <c r="M637" s="8" t="n"/>
      <c r="N637" s="7" t="n"/>
      <c r="O637" s="8" t="n"/>
      <c r="P637" s="6" t="n"/>
      <c r="Q637" s="8" t="n"/>
      <c r="S637" s="8">
        <f>IF(B637="","",E637*F637)</f>
        <v/>
      </c>
      <c r="T637" s="8">
        <f>IF(OR(B637="",N(G637)=0),"",ABS(F637-G637)*E637)</f>
        <v/>
      </c>
      <c r="U637" s="8">
        <f>IF(OR(B637="",P637=""),"",IF(D637="Venda",-1,1)*((N(J637)*N(K637)+N(L637)*N(M637)+N(N637)*N(O637))-(N(J637)+N(L637)+N(N637))*F637)-N(Q637))</f>
        <v/>
      </c>
      <c r="V637" s="9">
        <f>IF(OR(B637="",P637=""),"",U637/S637)</f>
        <v/>
      </c>
      <c r="W637">
        <f>IF(OR(B637="",P637=""),"",NETWORKDAYS(C637,P637)-1)</f>
        <v/>
      </c>
      <c r="X637">
        <f>IF(B637="","",IF(P637="","Aberto","Fechado"))</f>
        <v/>
      </c>
    </row>
    <row r="638">
      <c r="C638" s="6" t="n"/>
      <c r="E638" s="7" t="n"/>
      <c r="F638" s="8" t="n"/>
      <c r="G638" s="8" t="n"/>
      <c r="H638" s="8" t="n"/>
      <c r="J638" s="7" t="n"/>
      <c r="K638" s="8" t="n"/>
      <c r="L638" s="7" t="n"/>
      <c r="M638" s="8" t="n"/>
      <c r="N638" s="7" t="n"/>
      <c r="O638" s="8" t="n"/>
      <c r="P638" s="6" t="n"/>
      <c r="Q638" s="8" t="n"/>
      <c r="S638" s="8">
        <f>IF(B638="","",E638*F638)</f>
        <v/>
      </c>
      <c r="T638" s="8">
        <f>IF(OR(B638="",N(G638)=0),"",ABS(F638-G638)*E638)</f>
        <v/>
      </c>
      <c r="U638" s="8">
        <f>IF(OR(B638="",P638=""),"",IF(D638="Venda",-1,1)*((N(J638)*N(K638)+N(L638)*N(M638)+N(N638)*N(O638))-(N(J638)+N(L638)+N(N638))*F638)-N(Q638))</f>
        <v/>
      </c>
      <c r="V638" s="9">
        <f>IF(OR(B638="",P638=""),"",U638/S638)</f>
        <v/>
      </c>
      <c r="W638">
        <f>IF(OR(B638="",P638=""),"",NETWORKDAYS(C638,P638)-1)</f>
        <v/>
      </c>
      <c r="X638">
        <f>IF(B638="","",IF(P638="","Aberto","Fechado"))</f>
        <v/>
      </c>
    </row>
    <row r="639">
      <c r="C639" s="6" t="n"/>
      <c r="E639" s="7" t="n"/>
      <c r="F639" s="8" t="n"/>
      <c r="G639" s="8" t="n"/>
      <c r="H639" s="8" t="n"/>
      <c r="J639" s="7" t="n"/>
      <c r="K639" s="8" t="n"/>
      <c r="L639" s="7" t="n"/>
      <c r="M639" s="8" t="n"/>
      <c r="N639" s="7" t="n"/>
      <c r="O639" s="8" t="n"/>
      <c r="P639" s="6" t="n"/>
      <c r="Q639" s="8" t="n"/>
      <c r="S639" s="8">
        <f>IF(B639="","",E639*F639)</f>
        <v/>
      </c>
      <c r="T639" s="8">
        <f>IF(OR(B639="",N(G639)=0),"",ABS(F639-G639)*E639)</f>
        <v/>
      </c>
      <c r="U639" s="8">
        <f>IF(OR(B639="",P639=""),"",IF(D639="Venda",-1,1)*((N(J639)*N(K639)+N(L639)*N(M639)+N(N639)*N(O639))-(N(J639)+N(L639)+N(N639))*F639)-N(Q639))</f>
        <v/>
      </c>
      <c r="V639" s="9">
        <f>IF(OR(B639="",P639=""),"",U639/S639)</f>
        <v/>
      </c>
      <c r="W639">
        <f>IF(OR(B639="",P639=""),"",NETWORKDAYS(C639,P639)-1)</f>
        <v/>
      </c>
      <c r="X639">
        <f>IF(B639="","",IF(P639="","Aberto","Fechado"))</f>
        <v/>
      </c>
    </row>
    <row r="640">
      <c r="C640" s="6" t="n"/>
      <c r="E640" s="7" t="n"/>
      <c r="F640" s="8" t="n"/>
      <c r="G640" s="8" t="n"/>
      <c r="H640" s="8" t="n"/>
      <c r="J640" s="7" t="n"/>
      <c r="K640" s="8" t="n"/>
      <c r="L640" s="7" t="n"/>
      <c r="M640" s="8" t="n"/>
      <c r="N640" s="7" t="n"/>
      <c r="O640" s="8" t="n"/>
      <c r="P640" s="6" t="n"/>
      <c r="Q640" s="8" t="n"/>
      <c r="S640" s="8">
        <f>IF(B640="","",E640*F640)</f>
        <v/>
      </c>
      <c r="T640" s="8">
        <f>IF(OR(B640="",N(G640)=0),"",ABS(F640-G640)*E640)</f>
        <v/>
      </c>
      <c r="U640" s="8">
        <f>IF(OR(B640="",P640=""),"",IF(D640="Venda",-1,1)*((N(J640)*N(K640)+N(L640)*N(M640)+N(N640)*N(O640))-(N(J640)+N(L640)+N(N640))*F640)-N(Q640))</f>
        <v/>
      </c>
      <c r="V640" s="9">
        <f>IF(OR(B640="",P640=""),"",U640/S640)</f>
        <v/>
      </c>
      <c r="W640">
        <f>IF(OR(B640="",P640=""),"",NETWORKDAYS(C640,P640)-1)</f>
        <v/>
      </c>
      <c r="X640">
        <f>IF(B640="","",IF(P640="","Aberto","Fechado"))</f>
        <v/>
      </c>
    </row>
    <row r="641">
      <c r="C641" s="6" t="n"/>
      <c r="E641" s="7" t="n"/>
      <c r="F641" s="8" t="n"/>
      <c r="G641" s="8" t="n"/>
      <c r="H641" s="8" t="n"/>
      <c r="J641" s="7" t="n"/>
      <c r="K641" s="8" t="n"/>
      <c r="L641" s="7" t="n"/>
      <c r="M641" s="8" t="n"/>
      <c r="N641" s="7" t="n"/>
      <c r="O641" s="8" t="n"/>
      <c r="P641" s="6" t="n"/>
      <c r="Q641" s="8" t="n"/>
      <c r="S641" s="8">
        <f>IF(B641="","",E641*F641)</f>
        <v/>
      </c>
      <c r="T641" s="8">
        <f>IF(OR(B641="",N(G641)=0),"",ABS(F641-G641)*E641)</f>
        <v/>
      </c>
      <c r="U641" s="8">
        <f>IF(OR(B641="",P641=""),"",IF(D641="Venda",-1,1)*((N(J641)*N(K641)+N(L641)*N(M641)+N(N641)*N(O641))-(N(J641)+N(L641)+N(N641))*F641)-N(Q641))</f>
        <v/>
      </c>
      <c r="V641" s="9">
        <f>IF(OR(B641="",P641=""),"",U641/S641)</f>
        <v/>
      </c>
      <c r="W641">
        <f>IF(OR(B641="",P641=""),"",NETWORKDAYS(C641,P641)-1)</f>
        <v/>
      </c>
      <c r="X641">
        <f>IF(B641="","",IF(P641="","Aberto","Fechado"))</f>
        <v/>
      </c>
    </row>
    <row r="642">
      <c r="C642" s="6" t="n"/>
      <c r="E642" s="7" t="n"/>
      <c r="F642" s="8" t="n"/>
      <c r="G642" s="8" t="n"/>
      <c r="H642" s="8" t="n"/>
      <c r="J642" s="7" t="n"/>
      <c r="K642" s="8" t="n"/>
      <c r="L642" s="7" t="n"/>
      <c r="M642" s="8" t="n"/>
      <c r="N642" s="7" t="n"/>
      <c r="O642" s="8" t="n"/>
      <c r="P642" s="6" t="n"/>
      <c r="Q642" s="8" t="n"/>
      <c r="S642" s="8">
        <f>IF(B642="","",E642*F642)</f>
        <v/>
      </c>
      <c r="T642" s="8">
        <f>IF(OR(B642="",N(G642)=0),"",ABS(F642-G642)*E642)</f>
        <v/>
      </c>
      <c r="U642" s="8">
        <f>IF(OR(B642="",P642=""),"",IF(D642="Venda",-1,1)*((N(J642)*N(K642)+N(L642)*N(M642)+N(N642)*N(O642))-(N(J642)+N(L642)+N(N642))*F642)-N(Q642))</f>
        <v/>
      </c>
      <c r="V642" s="9">
        <f>IF(OR(B642="",P642=""),"",U642/S642)</f>
        <v/>
      </c>
      <c r="W642">
        <f>IF(OR(B642="",P642=""),"",NETWORKDAYS(C642,P642)-1)</f>
        <v/>
      </c>
      <c r="X642">
        <f>IF(B642="","",IF(P642="","Aberto","Fechado"))</f>
        <v/>
      </c>
    </row>
    <row r="643">
      <c r="C643" s="6" t="n"/>
      <c r="E643" s="7" t="n"/>
      <c r="F643" s="8" t="n"/>
      <c r="G643" s="8" t="n"/>
      <c r="H643" s="8" t="n"/>
      <c r="J643" s="7" t="n"/>
      <c r="K643" s="8" t="n"/>
      <c r="L643" s="7" t="n"/>
      <c r="M643" s="8" t="n"/>
      <c r="N643" s="7" t="n"/>
      <c r="O643" s="8" t="n"/>
      <c r="P643" s="6" t="n"/>
      <c r="Q643" s="8" t="n"/>
      <c r="S643" s="8">
        <f>IF(B643="","",E643*F643)</f>
        <v/>
      </c>
      <c r="T643" s="8">
        <f>IF(OR(B643="",N(G643)=0),"",ABS(F643-G643)*E643)</f>
        <v/>
      </c>
      <c r="U643" s="8">
        <f>IF(OR(B643="",P643=""),"",IF(D643="Venda",-1,1)*((N(J643)*N(K643)+N(L643)*N(M643)+N(N643)*N(O643))-(N(J643)+N(L643)+N(N643))*F643)-N(Q643))</f>
        <v/>
      </c>
      <c r="V643" s="9">
        <f>IF(OR(B643="",P643=""),"",U643/S643)</f>
        <v/>
      </c>
      <c r="W643">
        <f>IF(OR(B643="",P643=""),"",NETWORKDAYS(C643,P643)-1)</f>
        <v/>
      </c>
      <c r="X643">
        <f>IF(B643="","",IF(P643="","Aberto","Fechado"))</f>
        <v/>
      </c>
    </row>
    <row r="644">
      <c r="C644" s="6" t="n"/>
      <c r="E644" s="7" t="n"/>
      <c r="F644" s="8" t="n"/>
      <c r="G644" s="8" t="n"/>
      <c r="H644" s="8" t="n"/>
      <c r="J644" s="7" t="n"/>
      <c r="K644" s="8" t="n"/>
      <c r="L644" s="7" t="n"/>
      <c r="M644" s="8" t="n"/>
      <c r="N644" s="7" t="n"/>
      <c r="O644" s="8" t="n"/>
      <c r="P644" s="6" t="n"/>
      <c r="Q644" s="8" t="n"/>
      <c r="S644" s="8">
        <f>IF(B644="","",E644*F644)</f>
        <v/>
      </c>
      <c r="T644" s="8">
        <f>IF(OR(B644="",N(G644)=0),"",ABS(F644-G644)*E644)</f>
        <v/>
      </c>
      <c r="U644" s="8">
        <f>IF(OR(B644="",P644=""),"",IF(D644="Venda",-1,1)*((N(J644)*N(K644)+N(L644)*N(M644)+N(N644)*N(O644))-(N(J644)+N(L644)+N(N644))*F644)-N(Q644))</f>
        <v/>
      </c>
      <c r="V644" s="9">
        <f>IF(OR(B644="",P644=""),"",U644/S644)</f>
        <v/>
      </c>
      <c r="W644">
        <f>IF(OR(B644="",P644=""),"",NETWORKDAYS(C644,P644)-1)</f>
        <v/>
      </c>
      <c r="X644">
        <f>IF(B644="","",IF(P644="","Aberto","Fechado"))</f>
        <v/>
      </c>
    </row>
    <row r="645">
      <c r="C645" s="6" t="n"/>
      <c r="E645" s="7" t="n"/>
      <c r="F645" s="8" t="n"/>
      <c r="G645" s="8" t="n"/>
      <c r="H645" s="8" t="n"/>
      <c r="J645" s="7" t="n"/>
      <c r="K645" s="8" t="n"/>
      <c r="L645" s="7" t="n"/>
      <c r="M645" s="8" t="n"/>
      <c r="N645" s="7" t="n"/>
      <c r="O645" s="8" t="n"/>
      <c r="P645" s="6" t="n"/>
      <c r="Q645" s="8" t="n"/>
      <c r="S645" s="8">
        <f>IF(B645="","",E645*F645)</f>
        <v/>
      </c>
      <c r="T645" s="8">
        <f>IF(OR(B645="",N(G645)=0),"",ABS(F645-G645)*E645)</f>
        <v/>
      </c>
      <c r="U645" s="8">
        <f>IF(OR(B645="",P645=""),"",IF(D645="Venda",-1,1)*((N(J645)*N(K645)+N(L645)*N(M645)+N(N645)*N(O645))-(N(J645)+N(L645)+N(N645))*F645)-N(Q645))</f>
        <v/>
      </c>
      <c r="V645" s="9">
        <f>IF(OR(B645="",P645=""),"",U645/S645)</f>
        <v/>
      </c>
      <c r="W645">
        <f>IF(OR(B645="",P645=""),"",NETWORKDAYS(C645,P645)-1)</f>
        <v/>
      </c>
      <c r="X645">
        <f>IF(B645="","",IF(P645="","Aberto","Fechado"))</f>
        <v/>
      </c>
    </row>
    <row r="646">
      <c r="C646" s="6" t="n"/>
      <c r="E646" s="7" t="n"/>
      <c r="F646" s="8" t="n"/>
      <c r="G646" s="8" t="n"/>
      <c r="H646" s="8" t="n"/>
      <c r="J646" s="7" t="n"/>
      <c r="K646" s="8" t="n"/>
      <c r="L646" s="7" t="n"/>
      <c r="M646" s="8" t="n"/>
      <c r="N646" s="7" t="n"/>
      <c r="O646" s="8" t="n"/>
      <c r="P646" s="6" t="n"/>
      <c r="Q646" s="8" t="n"/>
      <c r="S646" s="8">
        <f>IF(B646="","",E646*F646)</f>
        <v/>
      </c>
      <c r="T646" s="8">
        <f>IF(OR(B646="",N(G646)=0),"",ABS(F646-G646)*E646)</f>
        <v/>
      </c>
      <c r="U646" s="8">
        <f>IF(OR(B646="",P646=""),"",IF(D646="Venda",-1,1)*((N(J646)*N(K646)+N(L646)*N(M646)+N(N646)*N(O646))-(N(J646)+N(L646)+N(N646))*F646)-N(Q646))</f>
        <v/>
      </c>
      <c r="V646" s="9">
        <f>IF(OR(B646="",P646=""),"",U646/S646)</f>
        <v/>
      </c>
      <c r="W646">
        <f>IF(OR(B646="",P646=""),"",NETWORKDAYS(C646,P646)-1)</f>
        <v/>
      </c>
      <c r="X646">
        <f>IF(B646="","",IF(P646="","Aberto","Fechado"))</f>
        <v/>
      </c>
    </row>
    <row r="647">
      <c r="C647" s="6" t="n"/>
      <c r="E647" s="7" t="n"/>
      <c r="F647" s="8" t="n"/>
      <c r="G647" s="8" t="n"/>
      <c r="H647" s="8" t="n"/>
      <c r="J647" s="7" t="n"/>
      <c r="K647" s="8" t="n"/>
      <c r="L647" s="7" t="n"/>
      <c r="M647" s="8" t="n"/>
      <c r="N647" s="7" t="n"/>
      <c r="O647" s="8" t="n"/>
      <c r="P647" s="6" t="n"/>
      <c r="Q647" s="8" t="n"/>
      <c r="S647" s="8">
        <f>IF(B647="","",E647*F647)</f>
        <v/>
      </c>
      <c r="T647" s="8">
        <f>IF(OR(B647="",N(G647)=0),"",ABS(F647-G647)*E647)</f>
        <v/>
      </c>
      <c r="U647" s="8">
        <f>IF(OR(B647="",P647=""),"",IF(D647="Venda",-1,1)*((N(J647)*N(K647)+N(L647)*N(M647)+N(N647)*N(O647))-(N(J647)+N(L647)+N(N647))*F647)-N(Q647))</f>
        <v/>
      </c>
      <c r="V647" s="9">
        <f>IF(OR(B647="",P647=""),"",U647/S647)</f>
        <v/>
      </c>
      <c r="W647">
        <f>IF(OR(B647="",P647=""),"",NETWORKDAYS(C647,P647)-1)</f>
        <v/>
      </c>
      <c r="X647">
        <f>IF(B647="","",IF(P647="","Aberto","Fechado"))</f>
        <v/>
      </c>
    </row>
    <row r="648">
      <c r="C648" s="6" t="n"/>
      <c r="E648" s="7" t="n"/>
      <c r="F648" s="8" t="n"/>
      <c r="G648" s="8" t="n"/>
      <c r="H648" s="8" t="n"/>
      <c r="J648" s="7" t="n"/>
      <c r="K648" s="8" t="n"/>
      <c r="L648" s="7" t="n"/>
      <c r="M648" s="8" t="n"/>
      <c r="N648" s="7" t="n"/>
      <c r="O648" s="8" t="n"/>
      <c r="P648" s="6" t="n"/>
      <c r="Q648" s="8" t="n"/>
      <c r="S648" s="8">
        <f>IF(B648="","",E648*F648)</f>
        <v/>
      </c>
      <c r="T648" s="8">
        <f>IF(OR(B648="",N(G648)=0),"",ABS(F648-G648)*E648)</f>
        <v/>
      </c>
      <c r="U648" s="8">
        <f>IF(OR(B648="",P648=""),"",IF(D648="Venda",-1,1)*((N(J648)*N(K648)+N(L648)*N(M648)+N(N648)*N(O648))-(N(J648)+N(L648)+N(N648))*F648)-N(Q648))</f>
        <v/>
      </c>
      <c r="V648" s="9">
        <f>IF(OR(B648="",P648=""),"",U648/S648)</f>
        <v/>
      </c>
      <c r="W648">
        <f>IF(OR(B648="",P648=""),"",NETWORKDAYS(C648,P648)-1)</f>
        <v/>
      </c>
      <c r="X648">
        <f>IF(B648="","",IF(P648="","Aberto","Fechado"))</f>
        <v/>
      </c>
    </row>
    <row r="649">
      <c r="C649" s="6" t="n"/>
      <c r="E649" s="7" t="n"/>
      <c r="F649" s="8" t="n"/>
      <c r="G649" s="8" t="n"/>
      <c r="H649" s="8" t="n"/>
      <c r="J649" s="7" t="n"/>
      <c r="K649" s="8" t="n"/>
      <c r="L649" s="7" t="n"/>
      <c r="M649" s="8" t="n"/>
      <c r="N649" s="7" t="n"/>
      <c r="O649" s="8" t="n"/>
      <c r="P649" s="6" t="n"/>
      <c r="Q649" s="8" t="n"/>
      <c r="S649" s="8">
        <f>IF(B649="","",E649*F649)</f>
        <v/>
      </c>
      <c r="T649" s="8">
        <f>IF(OR(B649="",N(G649)=0),"",ABS(F649-G649)*E649)</f>
        <v/>
      </c>
      <c r="U649" s="8">
        <f>IF(OR(B649="",P649=""),"",IF(D649="Venda",-1,1)*((N(J649)*N(K649)+N(L649)*N(M649)+N(N649)*N(O649))-(N(J649)+N(L649)+N(N649))*F649)-N(Q649))</f>
        <v/>
      </c>
      <c r="V649" s="9">
        <f>IF(OR(B649="",P649=""),"",U649/S649)</f>
        <v/>
      </c>
      <c r="W649">
        <f>IF(OR(B649="",P649=""),"",NETWORKDAYS(C649,P649)-1)</f>
        <v/>
      </c>
      <c r="X649">
        <f>IF(B649="","",IF(P649="","Aberto","Fechado"))</f>
        <v/>
      </c>
    </row>
    <row r="650">
      <c r="C650" s="6" t="n"/>
      <c r="E650" s="7" t="n"/>
      <c r="F650" s="8" t="n"/>
      <c r="G650" s="8" t="n"/>
      <c r="H650" s="8" t="n"/>
      <c r="J650" s="7" t="n"/>
      <c r="K650" s="8" t="n"/>
      <c r="L650" s="7" t="n"/>
      <c r="M650" s="8" t="n"/>
      <c r="N650" s="7" t="n"/>
      <c r="O650" s="8" t="n"/>
      <c r="P650" s="6" t="n"/>
      <c r="Q650" s="8" t="n"/>
      <c r="S650" s="8">
        <f>IF(B650="","",E650*F650)</f>
        <v/>
      </c>
      <c r="T650" s="8">
        <f>IF(OR(B650="",N(G650)=0),"",ABS(F650-G650)*E650)</f>
        <v/>
      </c>
      <c r="U650" s="8">
        <f>IF(OR(B650="",P650=""),"",IF(D650="Venda",-1,1)*((N(J650)*N(K650)+N(L650)*N(M650)+N(N650)*N(O650))-(N(J650)+N(L650)+N(N650))*F650)-N(Q650))</f>
        <v/>
      </c>
      <c r="V650" s="9">
        <f>IF(OR(B650="",P650=""),"",U650/S650)</f>
        <v/>
      </c>
      <c r="W650">
        <f>IF(OR(B650="",P650=""),"",NETWORKDAYS(C650,P650)-1)</f>
        <v/>
      </c>
      <c r="X650">
        <f>IF(B650="","",IF(P650="","Aberto","Fechado"))</f>
        <v/>
      </c>
    </row>
    <row r="651">
      <c r="C651" s="6" t="n"/>
      <c r="E651" s="7" t="n"/>
      <c r="F651" s="8" t="n"/>
      <c r="G651" s="8" t="n"/>
      <c r="H651" s="8" t="n"/>
      <c r="J651" s="7" t="n"/>
      <c r="K651" s="8" t="n"/>
      <c r="L651" s="7" t="n"/>
      <c r="M651" s="8" t="n"/>
      <c r="N651" s="7" t="n"/>
      <c r="O651" s="8" t="n"/>
      <c r="P651" s="6" t="n"/>
      <c r="Q651" s="8" t="n"/>
      <c r="S651" s="8">
        <f>IF(B651="","",E651*F651)</f>
        <v/>
      </c>
      <c r="T651" s="8">
        <f>IF(OR(B651="",N(G651)=0),"",ABS(F651-G651)*E651)</f>
        <v/>
      </c>
      <c r="U651" s="8">
        <f>IF(OR(B651="",P651=""),"",IF(D651="Venda",-1,1)*((N(J651)*N(K651)+N(L651)*N(M651)+N(N651)*N(O651))-(N(J651)+N(L651)+N(N651))*F651)-N(Q651))</f>
        <v/>
      </c>
      <c r="V651" s="9">
        <f>IF(OR(B651="",P651=""),"",U651/S651)</f>
        <v/>
      </c>
      <c r="W651">
        <f>IF(OR(B651="",P651=""),"",NETWORKDAYS(C651,P651)-1)</f>
        <v/>
      </c>
      <c r="X651">
        <f>IF(B651="","",IF(P651="","Aberto","Fechado"))</f>
        <v/>
      </c>
    </row>
    <row r="652">
      <c r="C652" s="6" t="n"/>
      <c r="E652" s="7" t="n"/>
      <c r="F652" s="8" t="n"/>
      <c r="G652" s="8" t="n"/>
      <c r="H652" s="8" t="n"/>
      <c r="J652" s="7" t="n"/>
      <c r="K652" s="8" t="n"/>
      <c r="L652" s="7" t="n"/>
      <c r="M652" s="8" t="n"/>
      <c r="N652" s="7" t="n"/>
      <c r="O652" s="8" t="n"/>
      <c r="P652" s="6" t="n"/>
      <c r="Q652" s="8" t="n"/>
      <c r="S652" s="8">
        <f>IF(B652="","",E652*F652)</f>
        <v/>
      </c>
      <c r="T652" s="8">
        <f>IF(OR(B652="",N(G652)=0),"",ABS(F652-G652)*E652)</f>
        <v/>
      </c>
      <c r="U652" s="8">
        <f>IF(OR(B652="",P652=""),"",IF(D652="Venda",-1,1)*((N(J652)*N(K652)+N(L652)*N(M652)+N(N652)*N(O652))-(N(J652)+N(L652)+N(N652))*F652)-N(Q652))</f>
        <v/>
      </c>
      <c r="V652" s="9">
        <f>IF(OR(B652="",P652=""),"",U652/S652)</f>
        <v/>
      </c>
      <c r="W652">
        <f>IF(OR(B652="",P652=""),"",NETWORKDAYS(C652,P652)-1)</f>
        <v/>
      </c>
      <c r="X652">
        <f>IF(B652="","",IF(P652="","Aberto","Fechado"))</f>
        <v/>
      </c>
    </row>
    <row r="653">
      <c r="C653" s="6" t="n"/>
      <c r="E653" s="7" t="n"/>
      <c r="F653" s="8" t="n"/>
      <c r="G653" s="8" t="n"/>
      <c r="H653" s="8" t="n"/>
      <c r="J653" s="7" t="n"/>
      <c r="K653" s="8" t="n"/>
      <c r="L653" s="7" t="n"/>
      <c r="M653" s="8" t="n"/>
      <c r="N653" s="7" t="n"/>
      <c r="O653" s="8" t="n"/>
      <c r="P653" s="6" t="n"/>
      <c r="Q653" s="8" t="n"/>
      <c r="S653" s="8">
        <f>IF(B653="","",E653*F653)</f>
        <v/>
      </c>
      <c r="T653" s="8">
        <f>IF(OR(B653="",N(G653)=0),"",ABS(F653-G653)*E653)</f>
        <v/>
      </c>
      <c r="U653" s="8">
        <f>IF(OR(B653="",P653=""),"",IF(D653="Venda",-1,1)*((N(J653)*N(K653)+N(L653)*N(M653)+N(N653)*N(O653))-(N(J653)+N(L653)+N(N653))*F653)-N(Q653))</f>
        <v/>
      </c>
      <c r="V653" s="9">
        <f>IF(OR(B653="",P653=""),"",U653/S653)</f>
        <v/>
      </c>
      <c r="W653">
        <f>IF(OR(B653="",P653=""),"",NETWORKDAYS(C653,P653)-1)</f>
        <v/>
      </c>
      <c r="X653">
        <f>IF(B653="","",IF(P653="","Aberto","Fechado"))</f>
        <v/>
      </c>
    </row>
    <row r="654">
      <c r="C654" s="6" t="n"/>
      <c r="E654" s="7" t="n"/>
      <c r="F654" s="8" t="n"/>
      <c r="G654" s="8" t="n"/>
      <c r="H654" s="8" t="n"/>
      <c r="J654" s="7" t="n"/>
      <c r="K654" s="8" t="n"/>
      <c r="L654" s="7" t="n"/>
      <c r="M654" s="8" t="n"/>
      <c r="N654" s="7" t="n"/>
      <c r="O654" s="8" t="n"/>
      <c r="P654" s="6" t="n"/>
      <c r="Q654" s="8" t="n"/>
      <c r="S654" s="8">
        <f>IF(B654="","",E654*F654)</f>
        <v/>
      </c>
      <c r="T654" s="8">
        <f>IF(OR(B654="",N(G654)=0),"",ABS(F654-G654)*E654)</f>
        <v/>
      </c>
      <c r="U654" s="8">
        <f>IF(OR(B654="",P654=""),"",IF(D654="Venda",-1,1)*((N(J654)*N(K654)+N(L654)*N(M654)+N(N654)*N(O654))-(N(J654)+N(L654)+N(N654))*F654)-N(Q654))</f>
        <v/>
      </c>
      <c r="V654" s="9">
        <f>IF(OR(B654="",P654=""),"",U654/S654)</f>
        <v/>
      </c>
      <c r="W654">
        <f>IF(OR(B654="",P654=""),"",NETWORKDAYS(C654,P654)-1)</f>
        <v/>
      </c>
      <c r="X654">
        <f>IF(B654="","",IF(P654="","Aberto","Fechado"))</f>
        <v/>
      </c>
    </row>
    <row r="655">
      <c r="C655" s="6" t="n"/>
      <c r="E655" s="7" t="n"/>
      <c r="F655" s="8" t="n"/>
      <c r="G655" s="8" t="n"/>
      <c r="H655" s="8" t="n"/>
      <c r="J655" s="7" t="n"/>
      <c r="K655" s="8" t="n"/>
      <c r="L655" s="7" t="n"/>
      <c r="M655" s="8" t="n"/>
      <c r="N655" s="7" t="n"/>
      <c r="O655" s="8" t="n"/>
      <c r="P655" s="6" t="n"/>
      <c r="Q655" s="8" t="n"/>
      <c r="S655" s="8">
        <f>IF(B655="","",E655*F655)</f>
        <v/>
      </c>
      <c r="T655" s="8">
        <f>IF(OR(B655="",N(G655)=0),"",ABS(F655-G655)*E655)</f>
        <v/>
      </c>
      <c r="U655" s="8">
        <f>IF(OR(B655="",P655=""),"",IF(D655="Venda",-1,1)*((N(J655)*N(K655)+N(L655)*N(M655)+N(N655)*N(O655))-(N(J655)+N(L655)+N(N655))*F655)-N(Q655))</f>
        <v/>
      </c>
      <c r="V655" s="9">
        <f>IF(OR(B655="",P655=""),"",U655/S655)</f>
        <v/>
      </c>
      <c r="W655">
        <f>IF(OR(B655="",P655=""),"",NETWORKDAYS(C655,P655)-1)</f>
        <v/>
      </c>
      <c r="X655">
        <f>IF(B655="","",IF(P655="","Aberto","Fechado"))</f>
        <v/>
      </c>
    </row>
    <row r="656">
      <c r="C656" s="6" t="n"/>
      <c r="E656" s="7" t="n"/>
      <c r="F656" s="8" t="n"/>
      <c r="G656" s="8" t="n"/>
      <c r="H656" s="8" t="n"/>
      <c r="J656" s="7" t="n"/>
      <c r="K656" s="8" t="n"/>
      <c r="L656" s="7" t="n"/>
      <c r="M656" s="8" t="n"/>
      <c r="N656" s="7" t="n"/>
      <c r="O656" s="8" t="n"/>
      <c r="P656" s="6" t="n"/>
      <c r="Q656" s="8" t="n"/>
      <c r="S656" s="8">
        <f>IF(B656="","",E656*F656)</f>
        <v/>
      </c>
      <c r="T656" s="8">
        <f>IF(OR(B656="",N(G656)=0),"",ABS(F656-G656)*E656)</f>
        <v/>
      </c>
      <c r="U656" s="8">
        <f>IF(OR(B656="",P656=""),"",IF(D656="Venda",-1,1)*((N(J656)*N(K656)+N(L656)*N(M656)+N(N656)*N(O656))-(N(J656)+N(L656)+N(N656))*F656)-N(Q656))</f>
        <v/>
      </c>
      <c r="V656" s="9">
        <f>IF(OR(B656="",P656=""),"",U656/S656)</f>
        <v/>
      </c>
      <c r="W656">
        <f>IF(OR(B656="",P656=""),"",NETWORKDAYS(C656,P656)-1)</f>
        <v/>
      </c>
      <c r="X656">
        <f>IF(B656="","",IF(P656="","Aberto","Fechado"))</f>
        <v/>
      </c>
    </row>
    <row r="657">
      <c r="C657" s="6" t="n"/>
      <c r="E657" s="7" t="n"/>
      <c r="F657" s="8" t="n"/>
      <c r="G657" s="8" t="n"/>
      <c r="H657" s="8" t="n"/>
      <c r="J657" s="7" t="n"/>
      <c r="K657" s="8" t="n"/>
      <c r="L657" s="7" t="n"/>
      <c r="M657" s="8" t="n"/>
      <c r="N657" s="7" t="n"/>
      <c r="O657" s="8" t="n"/>
      <c r="P657" s="6" t="n"/>
      <c r="Q657" s="8" t="n"/>
      <c r="S657" s="8">
        <f>IF(B657="","",E657*F657)</f>
        <v/>
      </c>
      <c r="T657" s="8">
        <f>IF(OR(B657="",N(G657)=0),"",ABS(F657-G657)*E657)</f>
        <v/>
      </c>
      <c r="U657" s="8">
        <f>IF(OR(B657="",P657=""),"",IF(D657="Venda",-1,1)*((N(J657)*N(K657)+N(L657)*N(M657)+N(N657)*N(O657))-(N(J657)+N(L657)+N(N657))*F657)-N(Q657))</f>
        <v/>
      </c>
      <c r="V657" s="9">
        <f>IF(OR(B657="",P657=""),"",U657/S657)</f>
        <v/>
      </c>
      <c r="W657">
        <f>IF(OR(B657="",P657=""),"",NETWORKDAYS(C657,P657)-1)</f>
        <v/>
      </c>
      <c r="X657">
        <f>IF(B657="","",IF(P657="","Aberto","Fechado"))</f>
        <v/>
      </c>
    </row>
    <row r="658">
      <c r="C658" s="6" t="n"/>
      <c r="E658" s="7" t="n"/>
      <c r="F658" s="8" t="n"/>
      <c r="G658" s="8" t="n"/>
      <c r="H658" s="8" t="n"/>
      <c r="J658" s="7" t="n"/>
      <c r="K658" s="8" t="n"/>
      <c r="L658" s="7" t="n"/>
      <c r="M658" s="8" t="n"/>
      <c r="N658" s="7" t="n"/>
      <c r="O658" s="8" t="n"/>
      <c r="P658" s="6" t="n"/>
      <c r="Q658" s="8" t="n"/>
      <c r="S658" s="8">
        <f>IF(B658="","",E658*F658)</f>
        <v/>
      </c>
      <c r="T658" s="8">
        <f>IF(OR(B658="",N(G658)=0),"",ABS(F658-G658)*E658)</f>
        <v/>
      </c>
      <c r="U658" s="8">
        <f>IF(OR(B658="",P658=""),"",IF(D658="Venda",-1,1)*((N(J658)*N(K658)+N(L658)*N(M658)+N(N658)*N(O658))-(N(J658)+N(L658)+N(N658))*F658)-N(Q658))</f>
        <v/>
      </c>
      <c r="V658" s="9">
        <f>IF(OR(B658="",P658=""),"",U658/S658)</f>
        <v/>
      </c>
      <c r="W658">
        <f>IF(OR(B658="",P658=""),"",NETWORKDAYS(C658,P658)-1)</f>
        <v/>
      </c>
      <c r="X658">
        <f>IF(B658="","",IF(P658="","Aberto","Fechado"))</f>
        <v/>
      </c>
    </row>
    <row r="659">
      <c r="C659" s="6" t="n"/>
      <c r="E659" s="7" t="n"/>
      <c r="F659" s="8" t="n"/>
      <c r="G659" s="8" t="n"/>
      <c r="H659" s="8" t="n"/>
      <c r="J659" s="7" t="n"/>
      <c r="K659" s="8" t="n"/>
      <c r="L659" s="7" t="n"/>
      <c r="M659" s="8" t="n"/>
      <c r="N659" s="7" t="n"/>
      <c r="O659" s="8" t="n"/>
      <c r="P659" s="6" t="n"/>
      <c r="Q659" s="8" t="n"/>
      <c r="S659" s="8">
        <f>IF(B659="","",E659*F659)</f>
        <v/>
      </c>
      <c r="T659" s="8">
        <f>IF(OR(B659="",N(G659)=0),"",ABS(F659-G659)*E659)</f>
        <v/>
      </c>
      <c r="U659" s="8">
        <f>IF(OR(B659="",P659=""),"",IF(D659="Venda",-1,1)*((N(J659)*N(K659)+N(L659)*N(M659)+N(N659)*N(O659))-(N(J659)+N(L659)+N(N659))*F659)-N(Q659))</f>
        <v/>
      </c>
      <c r="V659" s="9">
        <f>IF(OR(B659="",P659=""),"",U659/S659)</f>
        <v/>
      </c>
      <c r="W659">
        <f>IF(OR(B659="",P659=""),"",NETWORKDAYS(C659,P659)-1)</f>
        <v/>
      </c>
      <c r="X659">
        <f>IF(B659="","",IF(P659="","Aberto","Fechado"))</f>
        <v/>
      </c>
    </row>
    <row r="660">
      <c r="C660" s="6" t="n"/>
      <c r="E660" s="7" t="n"/>
      <c r="F660" s="8" t="n"/>
      <c r="G660" s="8" t="n"/>
      <c r="H660" s="8" t="n"/>
      <c r="J660" s="7" t="n"/>
      <c r="K660" s="8" t="n"/>
      <c r="L660" s="7" t="n"/>
      <c r="M660" s="8" t="n"/>
      <c r="N660" s="7" t="n"/>
      <c r="O660" s="8" t="n"/>
      <c r="P660" s="6" t="n"/>
      <c r="Q660" s="8" t="n"/>
      <c r="S660" s="8">
        <f>IF(B660="","",E660*F660)</f>
        <v/>
      </c>
      <c r="T660" s="8">
        <f>IF(OR(B660="",N(G660)=0),"",ABS(F660-G660)*E660)</f>
        <v/>
      </c>
      <c r="U660" s="8">
        <f>IF(OR(B660="",P660=""),"",IF(D660="Venda",-1,1)*((N(J660)*N(K660)+N(L660)*N(M660)+N(N660)*N(O660))-(N(J660)+N(L660)+N(N660))*F660)-N(Q660))</f>
        <v/>
      </c>
      <c r="V660" s="9">
        <f>IF(OR(B660="",P660=""),"",U660/S660)</f>
        <v/>
      </c>
      <c r="W660">
        <f>IF(OR(B660="",P660=""),"",NETWORKDAYS(C660,P660)-1)</f>
        <v/>
      </c>
      <c r="X660">
        <f>IF(B660="","",IF(P660="","Aberto","Fechado"))</f>
        <v/>
      </c>
    </row>
    <row r="661">
      <c r="C661" s="6" t="n"/>
      <c r="E661" s="7" t="n"/>
      <c r="F661" s="8" t="n"/>
      <c r="G661" s="8" t="n"/>
      <c r="H661" s="8" t="n"/>
      <c r="J661" s="7" t="n"/>
      <c r="K661" s="8" t="n"/>
      <c r="L661" s="7" t="n"/>
      <c r="M661" s="8" t="n"/>
      <c r="N661" s="7" t="n"/>
      <c r="O661" s="8" t="n"/>
      <c r="P661" s="6" t="n"/>
      <c r="Q661" s="8" t="n"/>
      <c r="S661" s="8">
        <f>IF(B661="","",E661*F661)</f>
        <v/>
      </c>
      <c r="T661" s="8">
        <f>IF(OR(B661="",N(G661)=0),"",ABS(F661-G661)*E661)</f>
        <v/>
      </c>
      <c r="U661" s="8">
        <f>IF(OR(B661="",P661=""),"",IF(D661="Venda",-1,1)*((N(J661)*N(K661)+N(L661)*N(M661)+N(N661)*N(O661))-(N(J661)+N(L661)+N(N661))*F661)-N(Q661))</f>
        <v/>
      </c>
      <c r="V661" s="9">
        <f>IF(OR(B661="",P661=""),"",U661/S661)</f>
        <v/>
      </c>
      <c r="W661">
        <f>IF(OR(B661="",P661=""),"",NETWORKDAYS(C661,P661)-1)</f>
        <v/>
      </c>
      <c r="X661">
        <f>IF(B661="","",IF(P661="","Aberto","Fechado"))</f>
        <v/>
      </c>
    </row>
    <row r="662">
      <c r="C662" s="6" t="n"/>
      <c r="E662" s="7" t="n"/>
      <c r="F662" s="8" t="n"/>
      <c r="G662" s="8" t="n"/>
      <c r="H662" s="8" t="n"/>
      <c r="J662" s="7" t="n"/>
      <c r="K662" s="8" t="n"/>
      <c r="L662" s="7" t="n"/>
      <c r="M662" s="8" t="n"/>
      <c r="N662" s="7" t="n"/>
      <c r="O662" s="8" t="n"/>
      <c r="P662" s="6" t="n"/>
      <c r="Q662" s="8" t="n"/>
      <c r="S662" s="8">
        <f>IF(B662="","",E662*F662)</f>
        <v/>
      </c>
      <c r="T662" s="8">
        <f>IF(OR(B662="",N(G662)=0),"",ABS(F662-G662)*E662)</f>
        <v/>
      </c>
      <c r="U662" s="8">
        <f>IF(OR(B662="",P662=""),"",IF(D662="Venda",-1,1)*((N(J662)*N(K662)+N(L662)*N(M662)+N(N662)*N(O662))-(N(J662)+N(L662)+N(N662))*F662)-N(Q662))</f>
        <v/>
      </c>
      <c r="V662" s="9">
        <f>IF(OR(B662="",P662=""),"",U662/S662)</f>
        <v/>
      </c>
      <c r="W662">
        <f>IF(OR(B662="",P662=""),"",NETWORKDAYS(C662,P662)-1)</f>
        <v/>
      </c>
      <c r="X662">
        <f>IF(B662="","",IF(P662="","Aberto","Fechado"))</f>
        <v/>
      </c>
    </row>
    <row r="663">
      <c r="C663" s="6" t="n"/>
      <c r="E663" s="7" t="n"/>
      <c r="F663" s="8" t="n"/>
      <c r="G663" s="8" t="n"/>
      <c r="H663" s="8" t="n"/>
      <c r="J663" s="7" t="n"/>
      <c r="K663" s="8" t="n"/>
      <c r="L663" s="7" t="n"/>
      <c r="M663" s="8" t="n"/>
      <c r="N663" s="7" t="n"/>
      <c r="O663" s="8" t="n"/>
      <c r="P663" s="6" t="n"/>
      <c r="Q663" s="8" t="n"/>
      <c r="S663" s="8">
        <f>IF(B663="","",E663*F663)</f>
        <v/>
      </c>
      <c r="T663" s="8">
        <f>IF(OR(B663="",N(G663)=0),"",ABS(F663-G663)*E663)</f>
        <v/>
      </c>
      <c r="U663" s="8">
        <f>IF(OR(B663="",P663=""),"",IF(D663="Venda",-1,1)*((N(J663)*N(K663)+N(L663)*N(M663)+N(N663)*N(O663))-(N(J663)+N(L663)+N(N663))*F663)-N(Q663))</f>
        <v/>
      </c>
      <c r="V663" s="9">
        <f>IF(OR(B663="",P663=""),"",U663/S663)</f>
        <v/>
      </c>
      <c r="W663">
        <f>IF(OR(B663="",P663=""),"",NETWORKDAYS(C663,P663)-1)</f>
        <v/>
      </c>
      <c r="X663">
        <f>IF(B663="","",IF(P663="","Aberto","Fechado"))</f>
        <v/>
      </c>
    </row>
    <row r="664">
      <c r="C664" s="6" t="n"/>
      <c r="E664" s="7" t="n"/>
      <c r="F664" s="8" t="n"/>
      <c r="G664" s="8" t="n"/>
      <c r="H664" s="8" t="n"/>
      <c r="J664" s="7" t="n"/>
      <c r="K664" s="8" t="n"/>
      <c r="L664" s="7" t="n"/>
      <c r="M664" s="8" t="n"/>
      <c r="N664" s="7" t="n"/>
      <c r="O664" s="8" t="n"/>
      <c r="P664" s="6" t="n"/>
      <c r="Q664" s="8" t="n"/>
      <c r="S664" s="8">
        <f>IF(B664="","",E664*F664)</f>
        <v/>
      </c>
      <c r="T664" s="8">
        <f>IF(OR(B664="",N(G664)=0),"",ABS(F664-G664)*E664)</f>
        <v/>
      </c>
      <c r="U664" s="8">
        <f>IF(OR(B664="",P664=""),"",IF(D664="Venda",-1,1)*((N(J664)*N(K664)+N(L664)*N(M664)+N(N664)*N(O664))-(N(J664)+N(L664)+N(N664))*F664)-N(Q664))</f>
        <v/>
      </c>
      <c r="V664" s="9">
        <f>IF(OR(B664="",P664=""),"",U664/S664)</f>
        <v/>
      </c>
      <c r="W664">
        <f>IF(OR(B664="",P664=""),"",NETWORKDAYS(C664,P664)-1)</f>
        <v/>
      </c>
      <c r="X664">
        <f>IF(B664="","",IF(P664="","Aberto","Fechado"))</f>
        <v/>
      </c>
    </row>
    <row r="665">
      <c r="C665" s="6" t="n"/>
      <c r="E665" s="7" t="n"/>
      <c r="F665" s="8" t="n"/>
      <c r="G665" s="8" t="n"/>
      <c r="H665" s="8" t="n"/>
      <c r="J665" s="7" t="n"/>
      <c r="K665" s="8" t="n"/>
      <c r="L665" s="7" t="n"/>
      <c r="M665" s="8" t="n"/>
      <c r="N665" s="7" t="n"/>
      <c r="O665" s="8" t="n"/>
      <c r="P665" s="6" t="n"/>
      <c r="Q665" s="8" t="n"/>
      <c r="S665" s="8">
        <f>IF(B665="","",E665*F665)</f>
        <v/>
      </c>
      <c r="T665" s="8">
        <f>IF(OR(B665="",N(G665)=0),"",ABS(F665-G665)*E665)</f>
        <v/>
      </c>
      <c r="U665" s="8">
        <f>IF(OR(B665="",P665=""),"",IF(D665="Venda",-1,1)*((N(J665)*N(K665)+N(L665)*N(M665)+N(N665)*N(O665))-(N(J665)+N(L665)+N(N665))*F665)-N(Q665))</f>
        <v/>
      </c>
      <c r="V665" s="9">
        <f>IF(OR(B665="",P665=""),"",U665/S665)</f>
        <v/>
      </c>
      <c r="W665">
        <f>IF(OR(B665="",P665=""),"",NETWORKDAYS(C665,P665)-1)</f>
        <v/>
      </c>
      <c r="X665">
        <f>IF(B665="","",IF(P665="","Aberto","Fechado"))</f>
        <v/>
      </c>
    </row>
    <row r="666">
      <c r="C666" s="6" t="n"/>
      <c r="E666" s="7" t="n"/>
      <c r="F666" s="8" t="n"/>
      <c r="G666" s="8" t="n"/>
      <c r="H666" s="8" t="n"/>
      <c r="J666" s="7" t="n"/>
      <c r="K666" s="8" t="n"/>
      <c r="L666" s="7" t="n"/>
      <c r="M666" s="8" t="n"/>
      <c r="N666" s="7" t="n"/>
      <c r="O666" s="8" t="n"/>
      <c r="P666" s="6" t="n"/>
      <c r="Q666" s="8" t="n"/>
      <c r="S666" s="8">
        <f>IF(B666="","",E666*F666)</f>
        <v/>
      </c>
      <c r="T666" s="8">
        <f>IF(OR(B666="",N(G666)=0),"",ABS(F666-G666)*E666)</f>
        <v/>
      </c>
      <c r="U666" s="8">
        <f>IF(OR(B666="",P666=""),"",IF(D666="Venda",-1,1)*((N(J666)*N(K666)+N(L666)*N(M666)+N(N666)*N(O666))-(N(J666)+N(L666)+N(N666))*F666)-N(Q666))</f>
        <v/>
      </c>
      <c r="V666" s="9">
        <f>IF(OR(B666="",P666=""),"",U666/S666)</f>
        <v/>
      </c>
      <c r="W666">
        <f>IF(OR(B666="",P666=""),"",NETWORKDAYS(C666,P666)-1)</f>
        <v/>
      </c>
      <c r="X666">
        <f>IF(B666="","",IF(P666="","Aberto","Fechado"))</f>
        <v/>
      </c>
    </row>
    <row r="667">
      <c r="C667" s="6" t="n"/>
      <c r="E667" s="7" t="n"/>
      <c r="F667" s="8" t="n"/>
      <c r="G667" s="8" t="n"/>
      <c r="H667" s="8" t="n"/>
      <c r="J667" s="7" t="n"/>
      <c r="K667" s="8" t="n"/>
      <c r="L667" s="7" t="n"/>
      <c r="M667" s="8" t="n"/>
      <c r="N667" s="7" t="n"/>
      <c r="O667" s="8" t="n"/>
      <c r="P667" s="6" t="n"/>
      <c r="Q667" s="8" t="n"/>
      <c r="S667" s="8">
        <f>IF(B667="","",E667*F667)</f>
        <v/>
      </c>
      <c r="T667" s="8">
        <f>IF(OR(B667="",N(G667)=0),"",ABS(F667-G667)*E667)</f>
        <v/>
      </c>
      <c r="U667" s="8">
        <f>IF(OR(B667="",P667=""),"",IF(D667="Venda",-1,1)*((N(J667)*N(K667)+N(L667)*N(M667)+N(N667)*N(O667))-(N(J667)+N(L667)+N(N667))*F667)-N(Q667))</f>
        <v/>
      </c>
      <c r="V667" s="9">
        <f>IF(OR(B667="",P667=""),"",U667/S667)</f>
        <v/>
      </c>
      <c r="W667">
        <f>IF(OR(B667="",P667=""),"",NETWORKDAYS(C667,P667)-1)</f>
        <v/>
      </c>
      <c r="X667">
        <f>IF(B667="","",IF(P667="","Aberto","Fechado"))</f>
        <v/>
      </c>
    </row>
    <row r="668">
      <c r="C668" s="6" t="n"/>
      <c r="E668" s="7" t="n"/>
      <c r="F668" s="8" t="n"/>
      <c r="G668" s="8" t="n"/>
      <c r="H668" s="8" t="n"/>
      <c r="J668" s="7" t="n"/>
      <c r="K668" s="8" t="n"/>
      <c r="L668" s="7" t="n"/>
      <c r="M668" s="8" t="n"/>
      <c r="N668" s="7" t="n"/>
      <c r="O668" s="8" t="n"/>
      <c r="P668" s="6" t="n"/>
      <c r="Q668" s="8" t="n"/>
      <c r="S668" s="8">
        <f>IF(B668="","",E668*F668)</f>
        <v/>
      </c>
      <c r="T668" s="8">
        <f>IF(OR(B668="",N(G668)=0),"",ABS(F668-G668)*E668)</f>
        <v/>
      </c>
      <c r="U668" s="8">
        <f>IF(OR(B668="",P668=""),"",IF(D668="Venda",-1,1)*((N(J668)*N(K668)+N(L668)*N(M668)+N(N668)*N(O668))-(N(J668)+N(L668)+N(N668))*F668)-N(Q668))</f>
        <v/>
      </c>
      <c r="V668" s="9">
        <f>IF(OR(B668="",P668=""),"",U668/S668)</f>
        <v/>
      </c>
      <c r="W668">
        <f>IF(OR(B668="",P668=""),"",NETWORKDAYS(C668,P668)-1)</f>
        <v/>
      </c>
      <c r="X668">
        <f>IF(B668="","",IF(P668="","Aberto","Fechado"))</f>
        <v/>
      </c>
    </row>
    <row r="669">
      <c r="C669" s="6" t="n"/>
      <c r="E669" s="7" t="n"/>
      <c r="F669" s="8" t="n"/>
      <c r="G669" s="8" t="n"/>
      <c r="H669" s="8" t="n"/>
      <c r="J669" s="7" t="n"/>
      <c r="K669" s="8" t="n"/>
      <c r="L669" s="7" t="n"/>
      <c r="M669" s="8" t="n"/>
      <c r="N669" s="7" t="n"/>
      <c r="O669" s="8" t="n"/>
      <c r="P669" s="6" t="n"/>
      <c r="Q669" s="8" t="n"/>
      <c r="S669" s="8">
        <f>IF(B669="","",E669*F669)</f>
        <v/>
      </c>
      <c r="T669" s="8">
        <f>IF(OR(B669="",N(G669)=0),"",ABS(F669-G669)*E669)</f>
        <v/>
      </c>
      <c r="U669" s="8">
        <f>IF(OR(B669="",P669=""),"",IF(D669="Venda",-1,1)*((N(J669)*N(K669)+N(L669)*N(M669)+N(N669)*N(O669))-(N(J669)+N(L669)+N(N669))*F669)-N(Q669))</f>
        <v/>
      </c>
      <c r="V669" s="9">
        <f>IF(OR(B669="",P669=""),"",U669/S669)</f>
        <v/>
      </c>
      <c r="W669">
        <f>IF(OR(B669="",P669=""),"",NETWORKDAYS(C669,P669)-1)</f>
        <v/>
      </c>
      <c r="X669">
        <f>IF(B669="","",IF(P669="","Aberto","Fechado"))</f>
        <v/>
      </c>
    </row>
    <row r="670">
      <c r="C670" s="6" t="n"/>
      <c r="E670" s="7" t="n"/>
      <c r="F670" s="8" t="n"/>
      <c r="G670" s="8" t="n"/>
      <c r="H670" s="8" t="n"/>
      <c r="J670" s="7" t="n"/>
      <c r="K670" s="8" t="n"/>
      <c r="L670" s="7" t="n"/>
      <c r="M670" s="8" t="n"/>
      <c r="N670" s="7" t="n"/>
      <c r="O670" s="8" t="n"/>
      <c r="P670" s="6" t="n"/>
      <c r="Q670" s="8" t="n"/>
      <c r="S670" s="8">
        <f>IF(B670="","",E670*F670)</f>
        <v/>
      </c>
      <c r="T670" s="8">
        <f>IF(OR(B670="",N(G670)=0),"",ABS(F670-G670)*E670)</f>
        <v/>
      </c>
      <c r="U670" s="8">
        <f>IF(OR(B670="",P670=""),"",IF(D670="Venda",-1,1)*((N(J670)*N(K670)+N(L670)*N(M670)+N(N670)*N(O670))-(N(J670)+N(L670)+N(N670))*F670)-N(Q670))</f>
        <v/>
      </c>
      <c r="V670" s="9">
        <f>IF(OR(B670="",P670=""),"",U670/S670)</f>
        <v/>
      </c>
      <c r="W670">
        <f>IF(OR(B670="",P670=""),"",NETWORKDAYS(C670,P670)-1)</f>
        <v/>
      </c>
      <c r="X670">
        <f>IF(B670="","",IF(P670="","Aberto","Fechado"))</f>
        <v/>
      </c>
    </row>
    <row r="671">
      <c r="C671" s="6" t="n"/>
      <c r="E671" s="7" t="n"/>
      <c r="F671" s="8" t="n"/>
      <c r="G671" s="8" t="n"/>
      <c r="H671" s="8" t="n"/>
      <c r="J671" s="7" t="n"/>
      <c r="K671" s="8" t="n"/>
      <c r="L671" s="7" t="n"/>
      <c r="M671" s="8" t="n"/>
      <c r="N671" s="7" t="n"/>
      <c r="O671" s="8" t="n"/>
      <c r="P671" s="6" t="n"/>
      <c r="Q671" s="8" t="n"/>
      <c r="S671" s="8">
        <f>IF(B671="","",E671*F671)</f>
        <v/>
      </c>
      <c r="T671" s="8">
        <f>IF(OR(B671="",N(G671)=0),"",ABS(F671-G671)*E671)</f>
        <v/>
      </c>
      <c r="U671" s="8">
        <f>IF(OR(B671="",P671=""),"",IF(D671="Venda",-1,1)*((N(J671)*N(K671)+N(L671)*N(M671)+N(N671)*N(O671))-(N(J671)+N(L671)+N(N671))*F671)-N(Q671))</f>
        <v/>
      </c>
      <c r="V671" s="9">
        <f>IF(OR(B671="",P671=""),"",U671/S671)</f>
        <v/>
      </c>
      <c r="W671">
        <f>IF(OR(B671="",P671=""),"",NETWORKDAYS(C671,P671)-1)</f>
        <v/>
      </c>
      <c r="X671">
        <f>IF(B671="","",IF(P671="","Aberto","Fechado"))</f>
        <v/>
      </c>
    </row>
    <row r="672">
      <c r="C672" s="6" t="n"/>
      <c r="E672" s="7" t="n"/>
      <c r="F672" s="8" t="n"/>
      <c r="G672" s="8" t="n"/>
      <c r="H672" s="8" t="n"/>
      <c r="J672" s="7" t="n"/>
      <c r="K672" s="8" t="n"/>
      <c r="L672" s="7" t="n"/>
      <c r="M672" s="8" t="n"/>
      <c r="N672" s="7" t="n"/>
      <c r="O672" s="8" t="n"/>
      <c r="P672" s="6" t="n"/>
      <c r="Q672" s="8" t="n"/>
      <c r="S672" s="8">
        <f>IF(B672="","",E672*F672)</f>
        <v/>
      </c>
      <c r="T672" s="8">
        <f>IF(OR(B672="",N(G672)=0),"",ABS(F672-G672)*E672)</f>
        <v/>
      </c>
      <c r="U672" s="8">
        <f>IF(OR(B672="",P672=""),"",IF(D672="Venda",-1,1)*((N(J672)*N(K672)+N(L672)*N(M672)+N(N672)*N(O672))-(N(J672)+N(L672)+N(N672))*F672)-N(Q672))</f>
        <v/>
      </c>
      <c r="V672" s="9">
        <f>IF(OR(B672="",P672=""),"",U672/S672)</f>
        <v/>
      </c>
      <c r="W672">
        <f>IF(OR(B672="",P672=""),"",NETWORKDAYS(C672,P672)-1)</f>
        <v/>
      </c>
      <c r="X672">
        <f>IF(B672="","",IF(P672="","Aberto","Fechado"))</f>
        <v/>
      </c>
    </row>
    <row r="673">
      <c r="C673" s="6" t="n"/>
      <c r="E673" s="7" t="n"/>
      <c r="F673" s="8" t="n"/>
      <c r="G673" s="8" t="n"/>
      <c r="H673" s="8" t="n"/>
      <c r="J673" s="7" t="n"/>
      <c r="K673" s="8" t="n"/>
      <c r="L673" s="7" t="n"/>
      <c r="M673" s="8" t="n"/>
      <c r="N673" s="7" t="n"/>
      <c r="O673" s="8" t="n"/>
      <c r="P673" s="6" t="n"/>
      <c r="Q673" s="8" t="n"/>
      <c r="S673" s="8">
        <f>IF(B673="","",E673*F673)</f>
        <v/>
      </c>
      <c r="T673" s="8">
        <f>IF(OR(B673="",N(G673)=0),"",ABS(F673-G673)*E673)</f>
        <v/>
      </c>
      <c r="U673" s="8">
        <f>IF(OR(B673="",P673=""),"",IF(D673="Venda",-1,1)*((N(J673)*N(K673)+N(L673)*N(M673)+N(N673)*N(O673))-(N(J673)+N(L673)+N(N673))*F673)-N(Q673))</f>
        <v/>
      </c>
      <c r="V673" s="9">
        <f>IF(OR(B673="",P673=""),"",U673/S673)</f>
        <v/>
      </c>
      <c r="W673">
        <f>IF(OR(B673="",P673=""),"",NETWORKDAYS(C673,P673)-1)</f>
        <v/>
      </c>
      <c r="X673">
        <f>IF(B673="","",IF(P673="","Aberto","Fechado"))</f>
        <v/>
      </c>
    </row>
    <row r="674">
      <c r="C674" s="6" t="n"/>
      <c r="E674" s="7" t="n"/>
      <c r="F674" s="8" t="n"/>
      <c r="G674" s="8" t="n"/>
      <c r="H674" s="8" t="n"/>
      <c r="J674" s="7" t="n"/>
      <c r="K674" s="8" t="n"/>
      <c r="L674" s="7" t="n"/>
      <c r="M674" s="8" t="n"/>
      <c r="N674" s="7" t="n"/>
      <c r="O674" s="8" t="n"/>
      <c r="P674" s="6" t="n"/>
      <c r="Q674" s="8" t="n"/>
      <c r="S674" s="8">
        <f>IF(B674="","",E674*F674)</f>
        <v/>
      </c>
      <c r="T674" s="8">
        <f>IF(OR(B674="",N(G674)=0),"",ABS(F674-G674)*E674)</f>
        <v/>
      </c>
      <c r="U674" s="8">
        <f>IF(OR(B674="",P674=""),"",IF(D674="Venda",-1,1)*((N(J674)*N(K674)+N(L674)*N(M674)+N(N674)*N(O674))-(N(J674)+N(L674)+N(N674))*F674)-N(Q674))</f>
        <v/>
      </c>
      <c r="V674" s="9">
        <f>IF(OR(B674="",P674=""),"",U674/S674)</f>
        <v/>
      </c>
      <c r="W674">
        <f>IF(OR(B674="",P674=""),"",NETWORKDAYS(C674,P674)-1)</f>
        <v/>
      </c>
      <c r="X674">
        <f>IF(B674="","",IF(P674="","Aberto","Fechado"))</f>
        <v/>
      </c>
    </row>
    <row r="675">
      <c r="C675" s="6" t="n"/>
      <c r="E675" s="7" t="n"/>
      <c r="F675" s="8" t="n"/>
      <c r="G675" s="8" t="n"/>
      <c r="H675" s="8" t="n"/>
      <c r="J675" s="7" t="n"/>
      <c r="K675" s="8" t="n"/>
      <c r="L675" s="7" t="n"/>
      <c r="M675" s="8" t="n"/>
      <c r="N675" s="7" t="n"/>
      <c r="O675" s="8" t="n"/>
      <c r="P675" s="6" t="n"/>
      <c r="Q675" s="8" t="n"/>
      <c r="S675" s="8">
        <f>IF(B675="","",E675*F675)</f>
        <v/>
      </c>
      <c r="T675" s="8">
        <f>IF(OR(B675="",N(G675)=0),"",ABS(F675-G675)*E675)</f>
        <v/>
      </c>
      <c r="U675" s="8">
        <f>IF(OR(B675="",P675=""),"",IF(D675="Venda",-1,1)*((N(J675)*N(K675)+N(L675)*N(M675)+N(N675)*N(O675))-(N(J675)+N(L675)+N(N675))*F675)-N(Q675))</f>
        <v/>
      </c>
      <c r="V675" s="9">
        <f>IF(OR(B675="",P675=""),"",U675/S675)</f>
        <v/>
      </c>
      <c r="W675">
        <f>IF(OR(B675="",P675=""),"",NETWORKDAYS(C675,P675)-1)</f>
        <v/>
      </c>
      <c r="X675">
        <f>IF(B675="","",IF(P675="","Aberto","Fechado"))</f>
        <v/>
      </c>
    </row>
    <row r="676">
      <c r="C676" s="6" t="n"/>
      <c r="E676" s="7" t="n"/>
      <c r="F676" s="8" t="n"/>
      <c r="G676" s="8" t="n"/>
      <c r="H676" s="8" t="n"/>
      <c r="J676" s="7" t="n"/>
      <c r="K676" s="8" t="n"/>
      <c r="L676" s="7" t="n"/>
      <c r="M676" s="8" t="n"/>
      <c r="N676" s="7" t="n"/>
      <c r="O676" s="8" t="n"/>
      <c r="P676" s="6" t="n"/>
      <c r="Q676" s="8" t="n"/>
      <c r="S676" s="8">
        <f>IF(B676="","",E676*F676)</f>
        <v/>
      </c>
      <c r="T676" s="8">
        <f>IF(OR(B676="",N(G676)=0),"",ABS(F676-G676)*E676)</f>
        <v/>
      </c>
      <c r="U676" s="8">
        <f>IF(OR(B676="",P676=""),"",IF(D676="Venda",-1,1)*((N(J676)*N(K676)+N(L676)*N(M676)+N(N676)*N(O676))-(N(J676)+N(L676)+N(N676))*F676)-N(Q676))</f>
        <v/>
      </c>
      <c r="V676" s="9">
        <f>IF(OR(B676="",P676=""),"",U676/S676)</f>
        <v/>
      </c>
      <c r="W676">
        <f>IF(OR(B676="",P676=""),"",NETWORKDAYS(C676,P676)-1)</f>
        <v/>
      </c>
      <c r="X676">
        <f>IF(B676="","",IF(P676="","Aberto","Fechado"))</f>
        <v/>
      </c>
    </row>
    <row r="677">
      <c r="C677" s="6" t="n"/>
      <c r="E677" s="7" t="n"/>
      <c r="F677" s="8" t="n"/>
      <c r="G677" s="8" t="n"/>
      <c r="H677" s="8" t="n"/>
      <c r="J677" s="7" t="n"/>
      <c r="K677" s="8" t="n"/>
      <c r="L677" s="7" t="n"/>
      <c r="M677" s="8" t="n"/>
      <c r="N677" s="7" t="n"/>
      <c r="O677" s="8" t="n"/>
      <c r="P677" s="6" t="n"/>
      <c r="Q677" s="8" t="n"/>
      <c r="S677" s="8">
        <f>IF(B677="","",E677*F677)</f>
        <v/>
      </c>
      <c r="T677" s="8">
        <f>IF(OR(B677="",N(G677)=0),"",ABS(F677-G677)*E677)</f>
        <v/>
      </c>
      <c r="U677" s="8">
        <f>IF(OR(B677="",P677=""),"",IF(D677="Venda",-1,1)*((N(J677)*N(K677)+N(L677)*N(M677)+N(N677)*N(O677))-(N(J677)+N(L677)+N(N677))*F677)-N(Q677))</f>
        <v/>
      </c>
      <c r="V677" s="9">
        <f>IF(OR(B677="",P677=""),"",U677/S677)</f>
        <v/>
      </c>
      <c r="W677">
        <f>IF(OR(B677="",P677=""),"",NETWORKDAYS(C677,P677)-1)</f>
        <v/>
      </c>
      <c r="X677">
        <f>IF(B677="","",IF(P677="","Aberto","Fechado"))</f>
        <v/>
      </c>
    </row>
    <row r="678">
      <c r="C678" s="6" t="n"/>
      <c r="E678" s="7" t="n"/>
      <c r="F678" s="8" t="n"/>
      <c r="G678" s="8" t="n"/>
      <c r="H678" s="8" t="n"/>
      <c r="J678" s="7" t="n"/>
      <c r="K678" s="8" t="n"/>
      <c r="L678" s="7" t="n"/>
      <c r="M678" s="8" t="n"/>
      <c r="N678" s="7" t="n"/>
      <c r="O678" s="8" t="n"/>
      <c r="P678" s="6" t="n"/>
      <c r="Q678" s="8" t="n"/>
      <c r="S678" s="8">
        <f>IF(B678="","",E678*F678)</f>
        <v/>
      </c>
      <c r="T678" s="8">
        <f>IF(OR(B678="",N(G678)=0),"",ABS(F678-G678)*E678)</f>
        <v/>
      </c>
      <c r="U678" s="8">
        <f>IF(OR(B678="",P678=""),"",IF(D678="Venda",-1,1)*((N(J678)*N(K678)+N(L678)*N(M678)+N(N678)*N(O678))-(N(J678)+N(L678)+N(N678))*F678)-N(Q678))</f>
        <v/>
      </c>
      <c r="V678" s="9">
        <f>IF(OR(B678="",P678=""),"",U678/S678)</f>
        <v/>
      </c>
      <c r="W678">
        <f>IF(OR(B678="",P678=""),"",NETWORKDAYS(C678,P678)-1)</f>
        <v/>
      </c>
      <c r="X678">
        <f>IF(B678="","",IF(P678="","Aberto","Fechado"))</f>
        <v/>
      </c>
    </row>
    <row r="679">
      <c r="C679" s="6" t="n"/>
      <c r="E679" s="7" t="n"/>
      <c r="F679" s="8" t="n"/>
      <c r="G679" s="8" t="n"/>
      <c r="H679" s="8" t="n"/>
      <c r="J679" s="7" t="n"/>
      <c r="K679" s="8" t="n"/>
      <c r="L679" s="7" t="n"/>
      <c r="M679" s="8" t="n"/>
      <c r="N679" s="7" t="n"/>
      <c r="O679" s="8" t="n"/>
      <c r="P679" s="6" t="n"/>
      <c r="Q679" s="8" t="n"/>
      <c r="S679" s="8">
        <f>IF(B679="","",E679*F679)</f>
        <v/>
      </c>
      <c r="T679" s="8">
        <f>IF(OR(B679="",N(G679)=0),"",ABS(F679-G679)*E679)</f>
        <v/>
      </c>
      <c r="U679" s="8">
        <f>IF(OR(B679="",P679=""),"",IF(D679="Venda",-1,1)*((N(J679)*N(K679)+N(L679)*N(M679)+N(N679)*N(O679))-(N(J679)+N(L679)+N(N679))*F679)-N(Q679))</f>
        <v/>
      </c>
      <c r="V679" s="9">
        <f>IF(OR(B679="",P679=""),"",U679/S679)</f>
        <v/>
      </c>
      <c r="W679">
        <f>IF(OR(B679="",P679=""),"",NETWORKDAYS(C679,P679)-1)</f>
        <v/>
      </c>
      <c r="X679">
        <f>IF(B679="","",IF(P679="","Aberto","Fechado"))</f>
        <v/>
      </c>
    </row>
    <row r="680">
      <c r="C680" s="6" t="n"/>
      <c r="E680" s="7" t="n"/>
      <c r="F680" s="8" t="n"/>
      <c r="G680" s="8" t="n"/>
      <c r="H680" s="8" t="n"/>
      <c r="J680" s="7" t="n"/>
      <c r="K680" s="8" t="n"/>
      <c r="L680" s="7" t="n"/>
      <c r="M680" s="8" t="n"/>
      <c r="N680" s="7" t="n"/>
      <c r="O680" s="8" t="n"/>
      <c r="P680" s="6" t="n"/>
      <c r="Q680" s="8" t="n"/>
      <c r="S680" s="8">
        <f>IF(B680="","",E680*F680)</f>
        <v/>
      </c>
      <c r="T680" s="8">
        <f>IF(OR(B680="",N(G680)=0),"",ABS(F680-G680)*E680)</f>
        <v/>
      </c>
      <c r="U680" s="8">
        <f>IF(OR(B680="",P680=""),"",IF(D680="Venda",-1,1)*((N(J680)*N(K680)+N(L680)*N(M680)+N(N680)*N(O680))-(N(J680)+N(L680)+N(N680))*F680)-N(Q680))</f>
        <v/>
      </c>
      <c r="V680" s="9">
        <f>IF(OR(B680="",P680=""),"",U680/S680)</f>
        <v/>
      </c>
      <c r="W680">
        <f>IF(OR(B680="",P680=""),"",NETWORKDAYS(C680,P680)-1)</f>
        <v/>
      </c>
      <c r="X680">
        <f>IF(B680="","",IF(P680="","Aberto","Fechado"))</f>
        <v/>
      </c>
    </row>
    <row r="681">
      <c r="C681" s="6" t="n"/>
      <c r="E681" s="7" t="n"/>
      <c r="F681" s="8" t="n"/>
      <c r="G681" s="8" t="n"/>
      <c r="H681" s="8" t="n"/>
      <c r="J681" s="7" t="n"/>
      <c r="K681" s="8" t="n"/>
      <c r="L681" s="7" t="n"/>
      <c r="M681" s="8" t="n"/>
      <c r="N681" s="7" t="n"/>
      <c r="O681" s="8" t="n"/>
      <c r="P681" s="6" t="n"/>
      <c r="Q681" s="8" t="n"/>
      <c r="S681" s="8">
        <f>IF(B681="","",E681*F681)</f>
        <v/>
      </c>
      <c r="T681" s="8">
        <f>IF(OR(B681="",N(G681)=0),"",ABS(F681-G681)*E681)</f>
        <v/>
      </c>
      <c r="U681" s="8">
        <f>IF(OR(B681="",P681=""),"",IF(D681="Venda",-1,1)*((N(J681)*N(K681)+N(L681)*N(M681)+N(N681)*N(O681))-(N(J681)+N(L681)+N(N681))*F681)-N(Q681))</f>
        <v/>
      </c>
      <c r="V681" s="9">
        <f>IF(OR(B681="",P681=""),"",U681/S681)</f>
        <v/>
      </c>
      <c r="W681">
        <f>IF(OR(B681="",P681=""),"",NETWORKDAYS(C681,P681)-1)</f>
        <v/>
      </c>
      <c r="X681">
        <f>IF(B681="","",IF(P681="","Aberto","Fechado"))</f>
        <v/>
      </c>
    </row>
    <row r="682">
      <c r="C682" s="6" t="n"/>
      <c r="E682" s="7" t="n"/>
      <c r="F682" s="8" t="n"/>
      <c r="G682" s="8" t="n"/>
      <c r="H682" s="8" t="n"/>
      <c r="J682" s="7" t="n"/>
      <c r="K682" s="8" t="n"/>
      <c r="L682" s="7" t="n"/>
      <c r="M682" s="8" t="n"/>
      <c r="N682" s="7" t="n"/>
      <c r="O682" s="8" t="n"/>
      <c r="P682" s="6" t="n"/>
      <c r="Q682" s="8" t="n"/>
      <c r="S682" s="8">
        <f>IF(B682="","",E682*F682)</f>
        <v/>
      </c>
      <c r="T682" s="8">
        <f>IF(OR(B682="",N(G682)=0),"",ABS(F682-G682)*E682)</f>
        <v/>
      </c>
      <c r="U682" s="8">
        <f>IF(OR(B682="",P682=""),"",IF(D682="Venda",-1,1)*((N(J682)*N(K682)+N(L682)*N(M682)+N(N682)*N(O682))-(N(J682)+N(L682)+N(N682))*F682)-N(Q682))</f>
        <v/>
      </c>
      <c r="V682" s="9">
        <f>IF(OR(B682="",P682=""),"",U682/S682)</f>
        <v/>
      </c>
      <c r="W682">
        <f>IF(OR(B682="",P682=""),"",NETWORKDAYS(C682,P682)-1)</f>
        <v/>
      </c>
      <c r="X682">
        <f>IF(B682="","",IF(P682="","Aberto","Fechado"))</f>
        <v/>
      </c>
    </row>
    <row r="683">
      <c r="C683" s="6" t="n"/>
      <c r="E683" s="7" t="n"/>
      <c r="F683" s="8" t="n"/>
      <c r="G683" s="8" t="n"/>
      <c r="H683" s="8" t="n"/>
      <c r="J683" s="7" t="n"/>
      <c r="K683" s="8" t="n"/>
      <c r="L683" s="7" t="n"/>
      <c r="M683" s="8" t="n"/>
      <c r="N683" s="7" t="n"/>
      <c r="O683" s="8" t="n"/>
      <c r="P683" s="6" t="n"/>
      <c r="Q683" s="8" t="n"/>
      <c r="S683" s="8">
        <f>IF(B683="","",E683*F683)</f>
        <v/>
      </c>
      <c r="T683" s="8">
        <f>IF(OR(B683="",N(G683)=0),"",ABS(F683-G683)*E683)</f>
        <v/>
      </c>
      <c r="U683" s="8">
        <f>IF(OR(B683="",P683=""),"",IF(D683="Venda",-1,1)*((N(J683)*N(K683)+N(L683)*N(M683)+N(N683)*N(O683))-(N(J683)+N(L683)+N(N683))*F683)-N(Q683))</f>
        <v/>
      </c>
      <c r="V683" s="9">
        <f>IF(OR(B683="",P683=""),"",U683/S683)</f>
        <v/>
      </c>
      <c r="W683">
        <f>IF(OR(B683="",P683=""),"",NETWORKDAYS(C683,P683)-1)</f>
        <v/>
      </c>
      <c r="X683">
        <f>IF(B683="","",IF(P683="","Aberto","Fechado"))</f>
        <v/>
      </c>
    </row>
    <row r="684">
      <c r="C684" s="6" t="n"/>
      <c r="E684" s="7" t="n"/>
      <c r="F684" s="8" t="n"/>
      <c r="G684" s="8" t="n"/>
      <c r="H684" s="8" t="n"/>
      <c r="J684" s="7" t="n"/>
      <c r="K684" s="8" t="n"/>
      <c r="L684" s="7" t="n"/>
      <c r="M684" s="8" t="n"/>
      <c r="N684" s="7" t="n"/>
      <c r="O684" s="8" t="n"/>
      <c r="P684" s="6" t="n"/>
      <c r="Q684" s="8" t="n"/>
      <c r="S684" s="8">
        <f>IF(B684="","",E684*F684)</f>
        <v/>
      </c>
      <c r="T684" s="8">
        <f>IF(OR(B684="",N(G684)=0),"",ABS(F684-G684)*E684)</f>
        <v/>
      </c>
      <c r="U684" s="8">
        <f>IF(OR(B684="",P684=""),"",IF(D684="Venda",-1,1)*((N(J684)*N(K684)+N(L684)*N(M684)+N(N684)*N(O684))-(N(J684)+N(L684)+N(N684))*F684)-N(Q684))</f>
        <v/>
      </c>
      <c r="V684" s="9">
        <f>IF(OR(B684="",P684=""),"",U684/S684)</f>
        <v/>
      </c>
      <c r="W684">
        <f>IF(OR(B684="",P684=""),"",NETWORKDAYS(C684,P684)-1)</f>
        <v/>
      </c>
      <c r="X684">
        <f>IF(B684="","",IF(P684="","Aberto","Fechado"))</f>
        <v/>
      </c>
    </row>
    <row r="685">
      <c r="C685" s="6" t="n"/>
      <c r="E685" s="7" t="n"/>
      <c r="F685" s="8" t="n"/>
      <c r="G685" s="8" t="n"/>
      <c r="H685" s="8" t="n"/>
      <c r="J685" s="7" t="n"/>
      <c r="K685" s="8" t="n"/>
      <c r="L685" s="7" t="n"/>
      <c r="M685" s="8" t="n"/>
      <c r="N685" s="7" t="n"/>
      <c r="O685" s="8" t="n"/>
      <c r="P685" s="6" t="n"/>
      <c r="Q685" s="8" t="n"/>
      <c r="S685" s="8">
        <f>IF(B685="","",E685*F685)</f>
        <v/>
      </c>
      <c r="T685" s="8">
        <f>IF(OR(B685="",N(G685)=0),"",ABS(F685-G685)*E685)</f>
        <v/>
      </c>
      <c r="U685" s="8">
        <f>IF(OR(B685="",P685=""),"",IF(D685="Venda",-1,1)*((N(J685)*N(K685)+N(L685)*N(M685)+N(N685)*N(O685))-(N(J685)+N(L685)+N(N685))*F685)-N(Q685))</f>
        <v/>
      </c>
      <c r="V685" s="9">
        <f>IF(OR(B685="",P685=""),"",U685/S685)</f>
        <v/>
      </c>
      <c r="W685">
        <f>IF(OR(B685="",P685=""),"",NETWORKDAYS(C685,P685)-1)</f>
        <v/>
      </c>
      <c r="X685">
        <f>IF(B685="","",IF(P685="","Aberto","Fechado"))</f>
        <v/>
      </c>
    </row>
    <row r="686">
      <c r="C686" s="6" t="n"/>
      <c r="E686" s="7" t="n"/>
      <c r="F686" s="8" t="n"/>
      <c r="G686" s="8" t="n"/>
      <c r="H686" s="8" t="n"/>
      <c r="J686" s="7" t="n"/>
      <c r="K686" s="8" t="n"/>
      <c r="L686" s="7" t="n"/>
      <c r="M686" s="8" t="n"/>
      <c r="N686" s="7" t="n"/>
      <c r="O686" s="8" t="n"/>
      <c r="P686" s="6" t="n"/>
      <c r="Q686" s="8" t="n"/>
      <c r="S686" s="8">
        <f>IF(B686="","",E686*F686)</f>
        <v/>
      </c>
      <c r="T686" s="8">
        <f>IF(OR(B686="",N(G686)=0),"",ABS(F686-G686)*E686)</f>
        <v/>
      </c>
      <c r="U686" s="8">
        <f>IF(OR(B686="",P686=""),"",IF(D686="Venda",-1,1)*((N(J686)*N(K686)+N(L686)*N(M686)+N(N686)*N(O686))-(N(J686)+N(L686)+N(N686))*F686)-N(Q686))</f>
        <v/>
      </c>
      <c r="V686" s="9">
        <f>IF(OR(B686="",P686=""),"",U686/S686)</f>
        <v/>
      </c>
      <c r="W686">
        <f>IF(OR(B686="",P686=""),"",NETWORKDAYS(C686,P686)-1)</f>
        <v/>
      </c>
      <c r="X686">
        <f>IF(B686="","",IF(P686="","Aberto","Fechado"))</f>
        <v/>
      </c>
    </row>
    <row r="687">
      <c r="C687" s="6" t="n"/>
      <c r="E687" s="7" t="n"/>
      <c r="F687" s="8" t="n"/>
      <c r="G687" s="8" t="n"/>
      <c r="H687" s="8" t="n"/>
      <c r="J687" s="7" t="n"/>
      <c r="K687" s="8" t="n"/>
      <c r="L687" s="7" t="n"/>
      <c r="M687" s="8" t="n"/>
      <c r="N687" s="7" t="n"/>
      <c r="O687" s="8" t="n"/>
      <c r="P687" s="6" t="n"/>
      <c r="Q687" s="8" t="n"/>
      <c r="S687" s="8">
        <f>IF(B687="","",E687*F687)</f>
        <v/>
      </c>
      <c r="T687" s="8">
        <f>IF(OR(B687="",N(G687)=0),"",ABS(F687-G687)*E687)</f>
        <v/>
      </c>
      <c r="U687" s="8">
        <f>IF(OR(B687="",P687=""),"",IF(D687="Venda",-1,1)*((N(J687)*N(K687)+N(L687)*N(M687)+N(N687)*N(O687))-(N(J687)+N(L687)+N(N687))*F687)-N(Q687))</f>
        <v/>
      </c>
      <c r="V687" s="9">
        <f>IF(OR(B687="",P687=""),"",U687/S687)</f>
        <v/>
      </c>
      <c r="W687">
        <f>IF(OR(B687="",P687=""),"",NETWORKDAYS(C687,P687)-1)</f>
        <v/>
      </c>
      <c r="X687">
        <f>IF(B687="","",IF(P687="","Aberto","Fechado"))</f>
        <v/>
      </c>
    </row>
    <row r="688">
      <c r="C688" s="6" t="n"/>
      <c r="E688" s="7" t="n"/>
      <c r="F688" s="8" t="n"/>
      <c r="G688" s="8" t="n"/>
      <c r="H688" s="8" t="n"/>
      <c r="J688" s="7" t="n"/>
      <c r="K688" s="8" t="n"/>
      <c r="L688" s="7" t="n"/>
      <c r="M688" s="8" t="n"/>
      <c r="N688" s="7" t="n"/>
      <c r="O688" s="8" t="n"/>
      <c r="P688" s="6" t="n"/>
      <c r="Q688" s="8" t="n"/>
      <c r="S688" s="8">
        <f>IF(B688="","",E688*F688)</f>
        <v/>
      </c>
      <c r="T688" s="8">
        <f>IF(OR(B688="",N(G688)=0),"",ABS(F688-G688)*E688)</f>
        <v/>
      </c>
      <c r="U688" s="8">
        <f>IF(OR(B688="",P688=""),"",IF(D688="Venda",-1,1)*((N(J688)*N(K688)+N(L688)*N(M688)+N(N688)*N(O688))-(N(J688)+N(L688)+N(N688))*F688)-N(Q688))</f>
        <v/>
      </c>
      <c r="V688" s="9">
        <f>IF(OR(B688="",P688=""),"",U688/S688)</f>
        <v/>
      </c>
      <c r="W688">
        <f>IF(OR(B688="",P688=""),"",NETWORKDAYS(C688,P688)-1)</f>
        <v/>
      </c>
      <c r="X688">
        <f>IF(B688="","",IF(P688="","Aberto","Fechado"))</f>
        <v/>
      </c>
    </row>
    <row r="689">
      <c r="C689" s="6" t="n"/>
      <c r="E689" s="7" t="n"/>
      <c r="F689" s="8" t="n"/>
      <c r="G689" s="8" t="n"/>
      <c r="H689" s="8" t="n"/>
      <c r="J689" s="7" t="n"/>
      <c r="K689" s="8" t="n"/>
      <c r="L689" s="7" t="n"/>
      <c r="M689" s="8" t="n"/>
      <c r="N689" s="7" t="n"/>
      <c r="O689" s="8" t="n"/>
      <c r="P689" s="6" t="n"/>
      <c r="Q689" s="8" t="n"/>
      <c r="S689" s="8">
        <f>IF(B689="","",E689*F689)</f>
        <v/>
      </c>
      <c r="T689" s="8">
        <f>IF(OR(B689="",N(G689)=0),"",ABS(F689-G689)*E689)</f>
        <v/>
      </c>
      <c r="U689" s="8">
        <f>IF(OR(B689="",P689=""),"",IF(D689="Venda",-1,1)*((N(J689)*N(K689)+N(L689)*N(M689)+N(N689)*N(O689))-(N(J689)+N(L689)+N(N689))*F689)-N(Q689))</f>
        <v/>
      </c>
      <c r="V689" s="9">
        <f>IF(OR(B689="",P689=""),"",U689/S689)</f>
        <v/>
      </c>
      <c r="W689">
        <f>IF(OR(B689="",P689=""),"",NETWORKDAYS(C689,P689)-1)</f>
        <v/>
      </c>
      <c r="X689">
        <f>IF(B689="","",IF(P689="","Aberto","Fechado"))</f>
        <v/>
      </c>
    </row>
    <row r="690">
      <c r="C690" s="6" t="n"/>
      <c r="E690" s="7" t="n"/>
      <c r="F690" s="8" t="n"/>
      <c r="G690" s="8" t="n"/>
      <c r="H690" s="8" t="n"/>
      <c r="J690" s="7" t="n"/>
      <c r="K690" s="8" t="n"/>
      <c r="L690" s="7" t="n"/>
      <c r="M690" s="8" t="n"/>
      <c r="N690" s="7" t="n"/>
      <c r="O690" s="8" t="n"/>
      <c r="P690" s="6" t="n"/>
      <c r="Q690" s="8" t="n"/>
      <c r="S690" s="8">
        <f>IF(B690="","",E690*F690)</f>
        <v/>
      </c>
      <c r="T690" s="8">
        <f>IF(OR(B690="",N(G690)=0),"",ABS(F690-G690)*E690)</f>
        <v/>
      </c>
      <c r="U690" s="8">
        <f>IF(OR(B690="",P690=""),"",IF(D690="Venda",-1,1)*((N(J690)*N(K690)+N(L690)*N(M690)+N(N690)*N(O690))-(N(J690)+N(L690)+N(N690))*F690)-N(Q690))</f>
        <v/>
      </c>
      <c r="V690" s="9">
        <f>IF(OR(B690="",P690=""),"",U690/S690)</f>
        <v/>
      </c>
      <c r="W690">
        <f>IF(OR(B690="",P690=""),"",NETWORKDAYS(C690,P690)-1)</f>
        <v/>
      </c>
      <c r="X690">
        <f>IF(B690="","",IF(P690="","Aberto","Fechado"))</f>
        <v/>
      </c>
    </row>
    <row r="691">
      <c r="C691" s="6" t="n"/>
      <c r="E691" s="7" t="n"/>
      <c r="F691" s="8" t="n"/>
      <c r="G691" s="8" t="n"/>
      <c r="H691" s="8" t="n"/>
      <c r="J691" s="7" t="n"/>
      <c r="K691" s="8" t="n"/>
      <c r="L691" s="7" t="n"/>
      <c r="M691" s="8" t="n"/>
      <c r="N691" s="7" t="n"/>
      <c r="O691" s="8" t="n"/>
      <c r="P691" s="6" t="n"/>
      <c r="Q691" s="8" t="n"/>
      <c r="S691" s="8">
        <f>IF(B691="","",E691*F691)</f>
        <v/>
      </c>
      <c r="T691" s="8">
        <f>IF(OR(B691="",N(G691)=0),"",ABS(F691-G691)*E691)</f>
        <v/>
      </c>
      <c r="U691" s="8">
        <f>IF(OR(B691="",P691=""),"",IF(D691="Venda",-1,1)*((N(J691)*N(K691)+N(L691)*N(M691)+N(N691)*N(O691))-(N(J691)+N(L691)+N(N691))*F691)-N(Q691))</f>
        <v/>
      </c>
      <c r="V691" s="9">
        <f>IF(OR(B691="",P691=""),"",U691/S691)</f>
        <v/>
      </c>
      <c r="W691">
        <f>IF(OR(B691="",P691=""),"",NETWORKDAYS(C691,P691)-1)</f>
        <v/>
      </c>
      <c r="X691">
        <f>IF(B691="","",IF(P691="","Aberto","Fechado"))</f>
        <v/>
      </c>
    </row>
    <row r="692">
      <c r="C692" s="6" t="n"/>
      <c r="E692" s="7" t="n"/>
      <c r="F692" s="8" t="n"/>
      <c r="G692" s="8" t="n"/>
      <c r="H692" s="8" t="n"/>
      <c r="J692" s="7" t="n"/>
      <c r="K692" s="8" t="n"/>
      <c r="L692" s="7" t="n"/>
      <c r="M692" s="8" t="n"/>
      <c r="N692" s="7" t="n"/>
      <c r="O692" s="8" t="n"/>
      <c r="P692" s="6" t="n"/>
      <c r="Q692" s="8" t="n"/>
      <c r="S692" s="8">
        <f>IF(B692="","",E692*F692)</f>
        <v/>
      </c>
      <c r="T692" s="8">
        <f>IF(OR(B692="",N(G692)=0),"",ABS(F692-G692)*E692)</f>
        <v/>
      </c>
      <c r="U692" s="8">
        <f>IF(OR(B692="",P692=""),"",IF(D692="Venda",-1,1)*((N(J692)*N(K692)+N(L692)*N(M692)+N(N692)*N(O692))-(N(J692)+N(L692)+N(N692))*F692)-N(Q692))</f>
        <v/>
      </c>
      <c r="V692" s="9">
        <f>IF(OR(B692="",P692=""),"",U692/S692)</f>
        <v/>
      </c>
      <c r="W692">
        <f>IF(OR(B692="",P692=""),"",NETWORKDAYS(C692,P692)-1)</f>
        <v/>
      </c>
      <c r="X692">
        <f>IF(B692="","",IF(P692="","Aberto","Fechado"))</f>
        <v/>
      </c>
    </row>
    <row r="693">
      <c r="C693" s="6" t="n"/>
      <c r="E693" s="7" t="n"/>
      <c r="F693" s="8" t="n"/>
      <c r="G693" s="8" t="n"/>
      <c r="H693" s="8" t="n"/>
      <c r="J693" s="7" t="n"/>
      <c r="K693" s="8" t="n"/>
      <c r="L693" s="7" t="n"/>
      <c r="M693" s="8" t="n"/>
      <c r="N693" s="7" t="n"/>
      <c r="O693" s="8" t="n"/>
      <c r="P693" s="6" t="n"/>
      <c r="Q693" s="8" t="n"/>
      <c r="S693" s="8">
        <f>IF(B693="","",E693*F693)</f>
        <v/>
      </c>
      <c r="T693" s="8">
        <f>IF(OR(B693="",N(G693)=0),"",ABS(F693-G693)*E693)</f>
        <v/>
      </c>
      <c r="U693" s="8">
        <f>IF(OR(B693="",P693=""),"",IF(D693="Venda",-1,1)*((N(J693)*N(K693)+N(L693)*N(M693)+N(N693)*N(O693))-(N(J693)+N(L693)+N(N693))*F693)-N(Q693))</f>
        <v/>
      </c>
      <c r="V693" s="9">
        <f>IF(OR(B693="",P693=""),"",U693/S693)</f>
        <v/>
      </c>
      <c r="W693">
        <f>IF(OR(B693="",P693=""),"",NETWORKDAYS(C693,P693)-1)</f>
        <v/>
      </c>
      <c r="X693">
        <f>IF(B693="","",IF(P693="","Aberto","Fechado"))</f>
        <v/>
      </c>
    </row>
    <row r="694">
      <c r="C694" s="6" t="n"/>
      <c r="E694" s="7" t="n"/>
      <c r="F694" s="8" t="n"/>
      <c r="G694" s="8" t="n"/>
      <c r="H694" s="8" t="n"/>
      <c r="J694" s="7" t="n"/>
      <c r="K694" s="8" t="n"/>
      <c r="L694" s="7" t="n"/>
      <c r="M694" s="8" t="n"/>
      <c r="N694" s="7" t="n"/>
      <c r="O694" s="8" t="n"/>
      <c r="P694" s="6" t="n"/>
      <c r="Q694" s="8" t="n"/>
      <c r="S694" s="8">
        <f>IF(B694="","",E694*F694)</f>
        <v/>
      </c>
      <c r="T694" s="8">
        <f>IF(OR(B694="",N(G694)=0),"",ABS(F694-G694)*E694)</f>
        <v/>
      </c>
      <c r="U694" s="8">
        <f>IF(OR(B694="",P694=""),"",IF(D694="Venda",-1,1)*((N(J694)*N(K694)+N(L694)*N(M694)+N(N694)*N(O694))-(N(J694)+N(L694)+N(N694))*F694)-N(Q694))</f>
        <v/>
      </c>
      <c r="V694" s="9">
        <f>IF(OR(B694="",P694=""),"",U694/S694)</f>
        <v/>
      </c>
      <c r="W694">
        <f>IF(OR(B694="",P694=""),"",NETWORKDAYS(C694,P694)-1)</f>
        <v/>
      </c>
      <c r="X694">
        <f>IF(B694="","",IF(P694="","Aberto","Fechado"))</f>
        <v/>
      </c>
    </row>
    <row r="695">
      <c r="C695" s="6" t="n"/>
      <c r="E695" s="7" t="n"/>
      <c r="F695" s="8" t="n"/>
      <c r="G695" s="8" t="n"/>
      <c r="H695" s="8" t="n"/>
      <c r="J695" s="7" t="n"/>
      <c r="K695" s="8" t="n"/>
      <c r="L695" s="7" t="n"/>
      <c r="M695" s="8" t="n"/>
      <c r="N695" s="7" t="n"/>
      <c r="O695" s="8" t="n"/>
      <c r="P695" s="6" t="n"/>
      <c r="Q695" s="8" t="n"/>
      <c r="S695" s="8">
        <f>IF(B695="","",E695*F695)</f>
        <v/>
      </c>
      <c r="T695" s="8">
        <f>IF(OR(B695="",N(G695)=0),"",ABS(F695-G695)*E695)</f>
        <v/>
      </c>
      <c r="U695" s="8">
        <f>IF(OR(B695="",P695=""),"",IF(D695="Venda",-1,1)*((N(J695)*N(K695)+N(L695)*N(M695)+N(N695)*N(O695))-(N(J695)+N(L695)+N(N695))*F695)-N(Q695))</f>
        <v/>
      </c>
      <c r="V695" s="9">
        <f>IF(OR(B695="",P695=""),"",U695/S695)</f>
        <v/>
      </c>
      <c r="W695">
        <f>IF(OR(B695="",P695=""),"",NETWORKDAYS(C695,P695)-1)</f>
        <v/>
      </c>
      <c r="X695">
        <f>IF(B695="","",IF(P695="","Aberto","Fechado"))</f>
        <v/>
      </c>
    </row>
    <row r="696">
      <c r="C696" s="6" t="n"/>
      <c r="E696" s="7" t="n"/>
      <c r="F696" s="8" t="n"/>
      <c r="G696" s="8" t="n"/>
      <c r="H696" s="8" t="n"/>
      <c r="J696" s="7" t="n"/>
      <c r="K696" s="8" t="n"/>
      <c r="L696" s="7" t="n"/>
      <c r="M696" s="8" t="n"/>
      <c r="N696" s="7" t="n"/>
      <c r="O696" s="8" t="n"/>
      <c r="P696" s="6" t="n"/>
      <c r="Q696" s="8" t="n"/>
      <c r="S696" s="8">
        <f>IF(B696="","",E696*F696)</f>
        <v/>
      </c>
      <c r="T696" s="8">
        <f>IF(OR(B696="",N(G696)=0),"",ABS(F696-G696)*E696)</f>
        <v/>
      </c>
      <c r="U696" s="8">
        <f>IF(OR(B696="",P696=""),"",IF(D696="Venda",-1,1)*((N(J696)*N(K696)+N(L696)*N(M696)+N(N696)*N(O696))-(N(J696)+N(L696)+N(N696))*F696)-N(Q696))</f>
        <v/>
      </c>
      <c r="V696" s="9">
        <f>IF(OR(B696="",P696=""),"",U696/S696)</f>
        <v/>
      </c>
      <c r="W696">
        <f>IF(OR(B696="",P696=""),"",NETWORKDAYS(C696,P696)-1)</f>
        <v/>
      </c>
      <c r="X696">
        <f>IF(B696="","",IF(P696="","Aberto","Fechado"))</f>
        <v/>
      </c>
    </row>
    <row r="697">
      <c r="C697" s="6" t="n"/>
      <c r="E697" s="7" t="n"/>
      <c r="F697" s="8" t="n"/>
      <c r="G697" s="8" t="n"/>
      <c r="H697" s="8" t="n"/>
      <c r="J697" s="7" t="n"/>
      <c r="K697" s="8" t="n"/>
      <c r="L697" s="7" t="n"/>
      <c r="M697" s="8" t="n"/>
      <c r="N697" s="7" t="n"/>
      <c r="O697" s="8" t="n"/>
      <c r="P697" s="6" t="n"/>
      <c r="Q697" s="8" t="n"/>
      <c r="S697" s="8">
        <f>IF(B697="","",E697*F697)</f>
        <v/>
      </c>
      <c r="T697" s="8">
        <f>IF(OR(B697="",N(G697)=0),"",ABS(F697-G697)*E697)</f>
        <v/>
      </c>
      <c r="U697" s="8">
        <f>IF(OR(B697="",P697=""),"",IF(D697="Venda",-1,1)*((N(J697)*N(K697)+N(L697)*N(M697)+N(N697)*N(O697))-(N(J697)+N(L697)+N(N697))*F697)-N(Q697))</f>
        <v/>
      </c>
      <c r="V697" s="9">
        <f>IF(OR(B697="",P697=""),"",U697/S697)</f>
        <v/>
      </c>
      <c r="W697">
        <f>IF(OR(B697="",P697=""),"",NETWORKDAYS(C697,P697)-1)</f>
        <v/>
      </c>
      <c r="X697">
        <f>IF(B697="","",IF(P697="","Aberto","Fechado"))</f>
        <v/>
      </c>
    </row>
    <row r="698">
      <c r="C698" s="6" t="n"/>
      <c r="E698" s="7" t="n"/>
      <c r="F698" s="8" t="n"/>
      <c r="G698" s="8" t="n"/>
      <c r="H698" s="8" t="n"/>
      <c r="J698" s="7" t="n"/>
      <c r="K698" s="8" t="n"/>
      <c r="L698" s="7" t="n"/>
      <c r="M698" s="8" t="n"/>
      <c r="N698" s="7" t="n"/>
      <c r="O698" s="8" t="n"/>
      <c r="P698" s="6" t="n"/>
      <c r="Q698" s="8" t="n"/>
      <c r="S698" s="8">
        <f>IF(B698="","",E698*F698)</f>
        <v/>
      </c>
      <c r="T698" s="8">
        <f>IF(OR(B698="",N(G698)=0),"",ABS(F698-G698)*E698)</f>
        <v/>
      </c>
      <c r="U698" s="8">
        <f>IF(OR(B698="",P698=""),"",IF(D698="Venda",-1,1)*((N(J698)*N(K698)+N(L698)*N(M698)+N(N698)*N(O698))-(N(J698)+N(L698)+N(N698))*F698)-N(Q698))</f>
        <v/>
      </c>
      <c r="V698" s="9">
        <f>IF(OR(B698="",P698=""),"",U698/S698)</f>
        <v/>
      </c>
      <c r="W698">
        <f>IF(OR(B698="",P698=""),"",NETWORKDAYS(C698,P698)-1)</f>
        <v/>
      </c>
      <c r="X698">
        <f>IF(B698="","",IF(P698="","Aberto","Fechado"))</f>
        <v/>
      </c>
    </row>
    <row r="699">
      <c r="C699" s="6" t="n"/>
      <c r="E699" s="7" t="n"/>
      <c r="F699" s="8" t="n"/>
      <c r="G699" s="8" t="n"/>
      <c r="H699" s="8" t="n"/>
      <c r="J699" s="7" t="n"/>
      <c r="K699" s="8" t="n"/>
      <c r="L699" s="7" t="n"/>
      <c r="M699" s="8" t="n"/>
      <c r="N699" s="7" t="n"/>
      <c r="O699" s="8" t="n"/>
      <c r="P699" s="6" t="n"/>
      <c r="Q699" s="8" t="n"/>
      <c r="S699" s="8">
        <f>IF(B699="","",E699*F699)</f>
        <v/>
      </c>
      <c r="T699" s="8">
        <f>IF(OR(B699="",N(G699)=0),"",ABS(F699-G699)*E699)</f>
        <v/>
      </c>
      <c r="U699" s="8">
        <f>IF(OR(B699="",P699=""),"",IF(D699="Venda",-1,1)*((N(J699)*N(K699)+N(L699)*N(M699)+N(N699)*N(O699))-(N(J699)+N(L699)+N(N699))*F699)-N(Q699))</f>
        <v/>
      </c>
      <c r="V699" s="9">
        <f>IF(OR(B699="",P699=""),"",U699/S699)</f>
        <v/>
      </c>
      <c r="W699">
        <f>IF(OR(B699="",P699=""),"",NETWORKDAYS(C699,P699)-1)</f>
        <v/>
      </c>
      <c r="X699">
        <f>IF(B699="","",IF(P699="","Aberto","Fechado"))</f>
        <v/>
      </c>
    </row>
    <row r="700">
      <c r="C700" s="6" t="n"/>
      <c r="E700" s="7" t="n"/>
      <c r="F700" s="8" t="n"/>
      <c r="G700" s="8" t="n"/>
      <c r="H700" s="8" t="n"/>
      <c r="J700" s="7" t="n"/>
      <c r="K700" s="8" t="n"/>
      <c r="L700" s="7" t="n"/>
      <c r="M700" s="8" t="n"/>
      <c r="N700" s="7" t="n"/>
      <c r="O700" s="8" t="n"/>
      <c r="P700" s="6" t="n"/>
      <c r="Q700" s="8" t="n"/>
      <c r="S700" s="8">
        <f>IF(B700="","",E700*F700)</f>
        <v/>
      </c>
      <c r="T700" s="8">
        <f>IF(OR(B700="",N(G700)=0),"",ABS(F700-G700)*E700)</f>
        <v/>
      </c>
      <c r="U700" s="8">
        <f>IF(OR(B700="",P700=""),"",IF(D700="Venda",-1,1)*((N(J700)*N(K700)+N(L700)*N(M700)+N(N700)*N(O700))-(N(J700)+N(L700)+N(N700))*F700)-N(Q700))</f>
        <v/>
      </c>
      <c r="V700" s="9">
        <f>IF(OR(B700="",P700=""),"",U700/S700)</f>
        <v/>
      </c>
      <c r="W700">
        <f>IF(OR(B700="",P700=""),"",NETWORKDAYS(C700,P700)-1)</f>
        <v/>
      </c>
      <c r="X700">
        <f>IF(B700="","",IF(P700="","Aberto","Fechado"))</f>
        <v/>
      </c>
    </row>
    <row r="701">
      <c r="C701" s="6" t="n"/>
      <c r="E701" s="7" t="n"/>
      <c r="F701" s="8" t="n"/>
      <c r="G701" s="8" t="n"/>
      <c r="H701" s="8" t="n"/>
      <c r="J701" s="7" t="n"/>
      <c r="K701" s="8" t="n"/>
      <c r="L701" s="7" t="n"/>
      <c r="M701" s="8" t="n"/>
      <c r="N701" s="7" t="n"/>
      <c r="O701" s="8" t="n"/>
      <c r="P701" s="6" t="n"/>
      <c r="Q701" s="8" t="n"/>
      <c r="S701" s="8">
        <f>IF(B701="","",E701*F701)</f>
        <v/>
      </c>
      <c r="T701" s="8">
        <f>IF(OR(B701="",N(G701)=0),"",ABS(F701-G701)*E701)</f>
        <v/>
      </c>
      <c r="U701" s="8">
        <f>IF(OR(B701="",P701=""),"",IF(D701="Venda",-1,1)*((N(J701)*N(K701)+N(L701)*N(M701)+N(N701)*N(O701))-(N(J701)+N(L701)+N(N701))*F701)-N(Q701))</f>
        <v/>
      </c>
      <c r="V701" s="9">
        <f>IF(OR(B701="",P701=""),"",U701/S701)</f>
        <v/>
      </c>
      <c r="W701">
        <f>IF(OR(B701="",P701=""),"",NETWORKDAYS(C701,P701)-1)</f>
        <v/>
      </c>
      <c r="X701">
        <f>IF(B701="","",IF(P701="","Aberto","Fechado"))</f>
        <v/>
      </c>
    </row>
    <row r="702">
      <c r="C702" s="6" t="n"/>
      <c r="E702" s="7" t="n"/>
      <c r="F702" s="8" t="n"/>
      <c r="G702" s="8" t="n"/>
      <c r="H702" s="8" t="n"/>
      <c r="J702" s="7" t="n"/>
      <c r="K702" s="8" t="n"/>
      <c r="L702" s="7" t="n"/>
      <c r="M702" s="8" t="n"/>
      <c r="N702" s="7" t="n"/>
      <c r="O702" s="8" t="n"/>
      <c r="P702" s="6" t="n"/>
      <c r="Q702" s="8" t="n"/>
      <c r="S702" s="8">
        <f>IF(B702="","",E702*F702)</f>
        <v/>
      </c>
      <c r="T702" s="8">
        <f>IF(OR(B702="",N(G702)=0),"",ABS(F702-G702)*E702)</f>
        <v/>
      </c>
      <c r="U702" s="8">
        <f>IF(OR(B702="",P702=""),"",IF(D702="Venda",-1,1)*((N(J702)*N(K702)+N(L702)*N(M702)+N(N702)*N(O702))-(N(J702)+N(L702)+N(N702))*F702)-N(Q702))</f>
        <v/>
      </c>
      <c r="V702" s="9">
        <f>IF(OR(B702="",P702=""),"",U702/S702)</f>
        <v/>
      </c>
      <c r="W702">
        <f>IF(OR(B702="",P702=""),"",NETWORKDAYS(C702,P702)-1)</f>
        <v/>
      </c>
      <c r="X702">
        <f>IF(B702="","",IF(P702="","Aberto","Fechado"))</f>
        <v/>
      </c>
    </row>
    <row r="703">
      <c r="C703" s="6" t="n"/>
      <c r="E703" s="7" t="n"/>
      <c r="F703" s="8" t="n"/>
      <c r="G703" s="8" t="n"/>
      <c r="H703" s="8" t="n"/>
      <c r="J703" s="7" t="n"/>
      <c r="K703" s="8" t="n"/>
      <c r="L703" s="7" t="n"/>
      <c r="M703" s="8" t="n"/>
      <c r="N703" s="7" t="n"/>
      <c r="O703" s="8" t="n"/>
      <c r="P703" s="6" t="n"/>
      <c r="Q703" s="8" t="n"/>
      <c r="S703" s="8">
        <f>IF(B703="","",E703*F703)</f>
        <v/>
      </c>
      <c r="T703" s="8">
        <f>IF(OR(B703="",N(G703)=0),"",ABS(F703-G703)*E703)</f>
        <v/>
      </c>
      <c r="U703" s="8">
        <f>IF(OR(B703="",P703=""),"",IF(D703="Venda",-1,1)*((N(J703)*N(K703)+N(L703)*N(M703)+N(N703)*N(O703))-(N(J703)+N(L703)+N(N703))*F703)-N(Q703))</f>
        <v/>
      </c>
      <c r="V703" s="9">
        <f>IF(OR(B703="",P703=""),"",U703/S703)</f>
        <v/>
      </c>
      <c r="W703">
        <f>IF(OR(B703="",P703=""),"",NETWORKDAYS(C703,P703)-1)</f>
        <v/>
      </c>
      <c r="X703">
        <f>IF(B703="","",IF(P703="","Aberto","Fechado"))</f>
        <v/>
      </c>
    </row>
    <row r="704">
      <c r="C704" s="6" t="n"/>
      <c r="E704" s="7" t="n"/>
      <c r="F704" s="8" t="n"/>
      <c r="G704" s="8" t="n"/>
      <c r="H704" s="8" t="n"/>
      <c r="J704" s="7" t="n"/>
      <c r="K704" s="8" t="n"/>
      <c r="L704" s="7" t="n"/>
      <c r="M704" s="8" t="n"/>
      <c r="N704" s="7" t="n"/>
      <c r="O704" s="8" t="n"/>
      <c r="P704" s="6" t="n"/>
      <c r="Q704" s="8" t="n"/>
      <c r="S704" s="8">
        <f>IF(B704="","",E704*F704)</f>
        <v/>
      </c>
      <c r="T704" s="8">
        <f>IF(OR(B704="",N(G704)=0),"",ABS(F704-G704)*E704)</f>
        <v/>
      </c>
      <c r="U704" s="8">
        <f>IF(OR(B704="",P704=""),"",IF(D704="Venda",-1,1)*((N(J704)*N(K704)+N(L704)*N(M704)+N(N704)*N(O704))-(N(J704)+N(L704)+N(N704))*F704)-N(Q704))</f>
        <v/>
      </c>
      <c r="V704" s="9">
        <f>IF(OR(B704="",P704=""),"",U704/S704)</f>
        <v/>
      </c>
      <c r="W704">
        <f>IF(OR(B704="",P704=""),"",NETWORKDAYS(C704,P704)-1)</f>
        <v/>
      </c>
      <c r="X704">
        <f>IF(B704="","",IF(P704="","Aberto","Fechado"))</f>
        <v/>
      </c>
    </row>
    <row r="705">
      <c r="C705" s="6" t="n"/>
      <c r="E705" s="7" t="n"/>
      <c r="F705" s="8" t="n"/>
      <c r="G705" s="8" t="n"/>
      <c r="H705" s="8" t="n"/>
      <c r="J705" s="7" t="n"/>
      <c r="K705" s="8" t="n"/>
      <c r="L705" s="7" t="n"/>
      <c r="M705" s="8" t="n"/>
      <c r="N705" s="7" t="n"/>
      <c r="O705" s="8" t="n"/>
      <c r="P705" s="6" t="n"/>
      <c r="Q705" s="8" t="n"/>
      <c r="S705" s="8">
        <f>IF(B705="","",E705*F705)</f>
        <v/>
      </c>
      <c r="T705" s="8">
        <f>IF(OR(B705="",N(G705)=0),"",ABS(F705-G705)*E705)</f>
        <v/>
      </c>
      <c r="U705" s="8">
        <f>IF(OR(B705="",P705=""),"",IF(D705="Venda",-1,1)*((N(J705)*N(K705)+N(L705)*N(M705)+N(N705)*N(O705))-(N(J705)+N(L705)+N(N705))*F705)-N(Q705))</f>
        <v/>
      </c>
      <c r="V705" s="9">
        <f>IF(OR(B705="",P705=""),"",U705/S705)</f>
        <v/>
      </c>
      <c r="W705">
        <f>IF(OR(B705="",P705=""),"",NETWORKDAYS(C705,P705)-1)</f>
        <v/>
      </c>
      <c r="X705">
        <f>IF(B705="","",IF(P705="","Aberto","Fechado"))</f>
        <v/>
      </c>
    </row>
    <row r="706">
      <c r="C706" s="6" t="n"/>
      <c r="E706" s="7" t="n"/>
      <c r="F706" s="8" t="n"/>
      <c r="G706" s="8" t="n"/>
      <c r="H706" s="8" t="n"/>
      <c r="J706" s="7" t="n"/>
      <c r="K706" s="8" t="n"/>
      <c r="L706" s="7" t="n"/>
      <c r="M706" s="8" t="n"/>
      <c r="N706" s="7" t="n"/>
      <c r="O706" s="8" t="n"/>
      <c r="P706" s="6" t="n"/>
      <c r="Q706" s="8" t="n"/>
      <c r="S706" s="8">
        <f>IF(B706="","",E706*F706)</f>
        <v/>
      </c>
      <c r="T706" s="8">
        <f>IF(OR(B706="",N(G706)=0),"",ABS(F706-G706)*E706)</f>
        <v/>
      </c>
      <c r="U706" s="8">
        <f>IF(OR(B706="",P706=""),"",IF(D706="Venda",-1,1)*((N(J706)*N(K706)+N(L706)*N(M706)+N(N706)*N(O706))-(N(J706)+N(L706)+N(N706))*F706)-N(Q706))</f>
        <v/>
      </c>
      <c r="V706" s="9">
        <f>IF(OR(B706="",P706=""),"",U706/S706)</f>
        <v/>
      </c>
      <c r="W706">
        <f>IF(OR(B706="",P706=""),"",NETWORKDAYS(C706,P706)-1)</f>
        <v/>
      </c>
      <c r="X706">
        <f>IF(B706="","",IF(P706="","Aberto","Fechado"))</f>
        <v/>
      </c>
    </row>
    <row r="707">
      <c r="C707" s="6" t="n"/>
      <c r="E707" s="7" t="n"/>
      <c r="F707" s="8" t="n"/>
      <c r="G707" s="8" t="n"/>
      <c r="H707" s="8" t="n"/>
      <c r="J707" s="7" t="n"/>
      <c r="K707" s="8" t="n"/>
      <c r="L707" s="7" t="n"/>
      <c r="M707" s="8" t="n"/>
      <c r="N707" s="7" t="n"/>
      <c r="O707" s="8" t="n"/>
      <c r="P707" s="6" t="n"/>
      <c r="Q707" s="8" t="n"/>
      <c r="S707" s="8">
        <f>IF(B707="","",E707*F707)</f>
        <v/>
      </c>
      <c r="T707" s="8">
        <f>IF(OR(B707="",N(G707)=0),"",ABS(F707-G707)*E707)</f>
        <v/>
      </c>
      <c r="U707" s="8">
        <f>IF(OR(B707="",P707=""),"",IF(D707="Venda",-1,1)*((N(J707)*N(K707)+N(L707)*N(M707)+N(N707)*N(O707))-(N(J707)+N(L707)+N(N707))*F707)-N(Q707))</f>
        <v/>
      </c>
      <c r="V707" s="9">
        <f>IF(OR(B707="",P707=""),"",U707/S707)</f>
        <v/>
      </c>
      <c r="W707">
        <f>IF(OR(B707="",P707=""),"",NETWORKDAYS(C707,P707)-1)</f>
        <v/>
      </c>
      <c r="X707">
        <f>IF(B707="","",IF(P707="","Aberto","Fechado"))</f>
        <v/>
      </c>
    </row>
    <row r="708">
      <c r="C708" s="6" t="n"/>
      <c r="E708" s="7" t="n"/>
      <c r="F708" s="8" t="n"/>
      <c r="G708" s="8" t="n"/>
      <c r="H708" s="8" t="n"/>
      <c r="J708" s="7" t="n"/>
      <c r="K708" s="8" t="n"/>
      <c r="L708" s="7" t="n"/>
      <c r="M708" s="8" t="n"/>
      <c r="N708" s="7" t="n"/>
      <c r="O708" s="8" t="n"/>
      <c r="P708" s="6" t="n"/>
      <c r="Q708" s="8" t="n"/>
      <c r="S708" s="8">
        <f>IF(B708="","",E708*F708)</f>
        <v/>
      </c>
      <c r="T708" s="8">
        <f>IF(OR(B708="",N(G708)=0),"",ABS(F708-G708)*E708)</f>
        <v/>
      </c>
      <c r="U708" s="8">
        <f>IF(OR(B708="",P708=""),"",IF(D708="Venda",-1,1)*((N(J708)*N(K708)+N(L708)*N(M708)+N(N708)*N(O708))-(N(J708)+N(L708)+N(N708))*F708)-N(Q708))</f>
        <v/>
      </c>
      <c r="V708" s="9">
        <f>IF(OR(B708="",P708=""),"",U708/S708)</f>
        <v/>
      </c>
      <c r="W708">
        <f>IF(OR(B708="",P708=""),"",NETWORKDAYS(C708,P708)-1)</f>
        <v/>
      </c>
      <c r="X708">
        <f>IF(B708="","",IF(P708="","Aberto","Fechado"))</f>
        <v/>
      </c>
    </row>
    <row r="709">
      <c r="C709" s="6" t="n"/>
      <c r="E709" s="7" t="n"/>
      <c r="F709" s="8" t="n"/>
      <c r="G709" s="8" t="n"/>
      <c r="H709" s="8" t="n"/>
      <c r="J709" s="7" t="n"/>
      <c r="K709" s="8" t="n"/>
      <c r="L709" s="7" t="n"/>
      <c r="M709" s="8" t="n"/>
      <c r="N709" s="7" t="n"/>
      <c r="O709" s="8" t="n"/>
      <c r="P709" s="6" t="n"/>
      <c r="Q709" s="8" t="n"/>
      <c r="S709" s="8">
        <f>IF(B709="","",E709*F709)</f>
        <v/>
      </c>
      <c r="T709" s="8">
        <f>IF(OR(B709="",N(G709)=0),"",ABS(F709-G709)*E709)</f>
        <v/>
      </c>
      <c r="U709" s="8">
        <f>IF(OR(B709="",P709=""),"",IF(D709="Venda",-1,1)*((N(J709)*N(K709)+N(L709)*N(M709)+N(N709)*N(O709))-(N(J709)+N(L709)+N(N709))*F709)-N(Q709))</f>
        <v/>
      </c>
      <c r="V709" s="9">
        <f>IF(OR(B709="",P709=""),"",U709/S709)</f>
        <v/>
      </c>
      <c r="W709">
        <f>IF(OR(B709="",P709=""),"",NETWORKDAYS(C709,P709)-1)</f>
        <v/>
      </c>
      <c r="X709">
        <f>IF(B709="","",IF(P709="","Aberto","Fechado"))</f>
        <v/>
      </c>
    </row>
    <row r="710">
      <c r="C710" s="6" t="n"/>
      <c r="E710" s="7" t="n"/>
      <c r="F710" s="8" t="n"/>
      <c r="G710" s="8" t="n"/>
      <c r="H710" s="8" t="n"/>
      <c r="J710" s="7" t="n"/>
      <c r="K710" s="8" t="n"/>
      <c r="L710" s="7" t="n"/>
      <c r="M710" s="8" t="n"/>
      <c r="N710" s="7" t="n"/>
      <c r="O710" s="8" t="n"/>
      <c r="P710" s="6" t="n"/>
      <c r="Q710" s="8" t="n"/>
      <c r="S710" s="8">
        <f>IF(B710="","",E710*F710)</f>
        <v/>
      </c>
      <c r="T710" s="8">
        <f>IF(OR(B710="",N(G710)=0),"",ABS(F710-G710)*E710)</f>
        <v/>
      </c>
      <c r="U710" s="8">
        <f>IF(OR(B710="",P710=""),"",IF(D710="Venda",-1,1)*((N(J710)*N(K710)+N(L710)*N(M710)+N(N710)*N(O710))-(N(J710)+N(L710)+N(N710))*F710)-N(Q710))</f>
        <v/>
      </c>
      <c r="V710" s="9">
        <f>IF(OR(B710="",P710=""),"",U710/S710)</f>
        <v/>
      </c>
      <c r="W710">
        <f>IF(OR(B710="",P710=""),"",NETWORKDAYS(C710,P710)-1)</f>
        <v/>
      </c>
      <c r="X710">
        <f>IF(B710="","",IF(P710="","Aberto","Fechado"))</f>
        <v/>
      </c>
    </row>
    <row r="711">
      <c r="C711" s="6" t="n"/>
      <c r="E711" s="7" t="n"/>
      <c r="F711" s="8" t="n"/>
      <c r="G711" s="8" t="n"/>
      <c r="H711" s="8" t="n"/>
      <c r="J711" s="7" t="n"/>
      <c r="K711" s="8" t="n"/>
      <c r="L711" s="7" t="n"/>
      <c r="M711" s="8" t="n"/>
      <c r="N711" s="7" t="n"/>
      <c r="O711" s="8" t="n"/>
      <c r="P711" s="6" t="n"/>
      <c r="Q711" s="8" t="n"/>
      <c r="S711" s="8">
        <f>IF(B711="","",E711*F711)</f>
        <v/>
      </c>
      <c r="T711" s="8">
        <f>IF(OR(B711="",N(G711)=0),"",ABS(F711-G711)*E711)</f>
        <v/>
      </c>
      <c r="U711" s="8">
        <f>IF(OR(B711="",P711=""),"",IF(D711="Venda",-1,1)*((N(J711)*N(K711)+N(L711)*N(M711)+N(N711)*N(O711))-(N(J711)+N(L711)+N(N711))*F711)-N(Q711))</f>
        <v/>
      </c>
      <c r="V711" s="9">
        <f>IF(OR(B711="",P711=""),"",U711/S711)</f>
        <v/>
      </c>
      <c r="W711">
        <f>IF(OR(B711="",P711=""),"",NETWORKDAYS(C711,P711)-1)</f>
        <v/>
      </c>
      <c r="X711">
        <f>IF(B711="","",IF(P711="","Aberto","Fechado"))</f>
        <v/>
      </c>
    </row>
    <row r="712">
      <c r="C712" s="6" t="n"/>
      <c r="E712" s="7" t="n"/>
      <c r="F712" s="8" t="n"/>
      <c r="G712" s="8" t="n"/>
      <c r="H712" s="8" t="n"/>
      <c r="J712" s="7" t="n"/>
      <c r="K712" s="8" t="n"/>
      <c r="L712" s="7" t="n"/>
      <c r="M712" s="8" t="n"/>
      <c r="N712" s="7" t="n"/>
      <c r="O712" s="8" t="n"/>
      <c r="P712" s="6" t="n"/>
      <c r="Q712" s="8" t="n"/>
      <c r="S712" s="8">
        <f>IF(B712="","",E712*F712)</f>
        <v/>
      </c>
      <c r="T712" s="8">
        <f>IF(OR(B712="",N(G712)=0),"",ABS(F712-G712)*E712)</f>
        <v/>
      </c>
      <c r="U712" s="8">
        <f>IF(OR(B712="",P712=""),"",IF(D712="Venda",-1,1)*((N(J712)*N(K712)+N(L712)*N(M712)+N(N712)*N(O712))-(N(J712)+N(L712)+N(N712))*F712)-N(Q712))</f>
        <v/>
      </c>
      <c r="V712" s="9">
        <f>IF(OR(B712="",P712=""),"",U712/S712)</f>
        <v/>
      </c>
      <c r="W712">
        <f>IF(OR(B712="",P712=""),"",NETWORKDAYS(C712,P712)-1)</f>
        <v/>
      </c>
      <c r="X712">
        <f>IF(B712="","",IF(P712="","Aberto","Fechado"))</f>
        <v/>
      </c>
    </row>
    <row r="713">
      <c r="C713" s="6" t="n"/>
      <c r="E713" s="7" t="n"/>
      <c r="F713" s="8" t="n"/>
      <c r="G713" s="8" t="n"/>
      <c r="H713" s="8" t="n"/>
      <c r="J713" s="7" t="n"/>
      <c r="K713" s="8" t="n"/>
      <c r="L713" s="7" t="n"/>
      <c r="M713" s="8" t="n"/>
      <c r="N713" s="7" t="n"/>
      <c r="O713" s="8" t="n"/>
      <c r="P713" s="6" t="n"/>
      <c r="Q713" s="8" t="n"/>
      <c r="S713" s="8">
        <f>IF(B713="","",E713*F713)</f>
        <v/>
      </c>
      <c r="T713" s="8">
        <f>IF(OR(B713="",N(G713)=0),"",ABS(F713-G713)*E713)</f>
        <v/>
      </c>
      <c r="U713" s="8">
        <f>IF(OR(B713="",P713=""),"",IF(D713="Venda",-1,1)*((N(J713)*N(K713)+N(L713)*N(M713)+N(N713)*N(O713))-(N(J713)+N(L713)+N(N713))*F713)-N(Q713))</f>
        <v/>
      </c>
      <c r="V713" s="9">
        <f>IF(OR(B713="",P713=""),"",U713/S713)</f>
        <v/>
      </c>
      <c r="W713">
        <f>IF(OR(B713="",P713=""),"",NETWORKDAYS(C713,P713)-1)</f>
        <v/>
      </c>
      <c r="X713">
        <f>IF(B713="","",IF(P713="","Aberto","Fechado"))</f>
        <v/>
      </c>
    </row>
    <row r="714">
      <c r="C714" s="6" t="n"/>
      <c r="E714" s="7" t="n"/>
      <c r="F714" s="8" t="n"/>
      <c r="G714" s="8" t="n"/>
      <c r="H714" s="8" t="n"/>
      <c r="J714" s="7" t="n"/>
      <c r="K714" s="8" t="n"/>
      <c r="L714" s="7" t="n"/>
      <c r="M714" s="8" t="n"/>
      <c r="N714" s="7" t="n"/>
      <c r="O714" s="8" t="n"/>
      <c r="P714" s="6" t="n"/>
      <c r="Q714" s="8" t="n"/>
      <c r="S714" s="8">
        <f>IF(B714="","",E714*F714)</f>
        <v/>
      </c>
      <c r="T714" s="8">
        <f>IF(OR(B714="",N(G714)=0),"",ABS(F714-G714)*E714)</f>
        <v/>
      </c>
      <c r="U714" s="8">
        <f>IF(OR(B714="",P714=""),"",IF(D714="Venda",-1,1)*((N(J714)*N(K714)+N(L714)*N(M714)+N(N714)*N(O714))-(N(J714)+N(L714)+N(N714))*F714)-N(Q714))</f>
        <v/>
      </c>
      <c r="V714" s="9">
        <f>IF(OR(B714="",P714=""),"",U714/S714)</f>
        <v/>
      </c>
      <c r="W714">
        <f>IF(OR(B714="",P714=""),"",NETWORKDAYS(C714,P714)-1)</f>
        <v/>
      </c>
      <c r="X714">
        <f>IF(B714="","",IF(P714="","Aberto","Fechado"))</f>
        <v/>
      </c>
    </row>
    <row r="715">
      <c r="C715" s="6" t="n"/>
      <c r="E715" s="7" t="n"/>
      <c r="F715" s="8" t="n"/>
      <c r="G715" s="8" t="n"/>
      <c r="H715" s="8" t="n"/>
      <c r="J715" s="7" t="n"/>
      <c r="K715" s="8" t="n"/>
      <c r="L715" s="7" t="n"/>
      <c r="M715" s="8" t="n"/>
      <c r="N715" s="7" t="n"/>
      <c r="O715" s="8" t="n"/>
      <c r="P715" s="6" t="n"/>
      <c r="Q715" s="8" t="n"/>
      <c r="S715" s="8">
        <f>IF(B715="","",E715*F715)</f>
        <v/>
      </c>
      <c r="T715" s="8">
        <f>IF(OR(B715="",N(G715)=0),"",ABS(F715-G715)*E715)</f>
        <v/>
      </c>
      <c r="U715" s="8">
        <f>IF(OR(B715="",P715=""),"",IF(D715="Venda",-1,1)*((N(J715)*N(K715)+N(L715)*N(M715)+N(N715)*N(O715))-(N(J715)+N(L715)+N(N715))*F715)-N(Q715))</f>
        <v/>
      </c>
      <c r="V715" s="9">
        <f>IF(OR(B715="",P715=""),"",U715/S715)</f>
        <v/>
      </c>
      <c r="W715">
        <f>IF(OR(B715="",P715=""),"",NETWORKDAYS(C715,P715)-1)</f>
        <v/>
      </c>
      <c r="X715">
        <f>IF(B715="","",IF(P715="","Aberto","Fechado"))</f>
        <v/>
      </c>
    </row>
    <row r="716">
      <c r="C716" s="6" t="n"/>
      <c r="E716" s="7" t="n"/>
      <c r="F716" s="8" t="n"/>
      <c r="G716" s="8" t="n"/>
      <c r="H716" s="8" t="n"/>
      <c r="J716" s="7" t="n"/>
      <c r="K716" s="8" t="n"/>
      <c r="L716" s="7" t="n"/>
      <c r="M716" s="8" t="n"/>
      <c r="N716" s="7" t="n"/>
      <c r="O716" s="8" t="n"/>
      <c r="P716" s="6" t="n"/>
      <c r="Q716" s="8" t="n"/>
      <c r="S716" s="8">
        <f>IF(B716="","",E716*F716)</f>
        <v/>
      </c>
      <c r="T716" s="8">
        <f>IF(OR(B716="",N(G716)=0),"",ABS(F716-G716)*E716)</f>
        <v/>
      </c>
      <c r="U716" s="8">
        <f>IF(OR(B716="",P716=""),"",IF(D716="Venda",-1,1)*((N(J716)*N(K716)+N(L716)*N(M716)+N(N716)*N(O716))-(N(J716)+N(L716)+N(N716))*F716)-N(Q716))</f>
        <v/>
      </c>
      <c r="V716" s="9">
        <f>IF(OR(B716="",P716=""),"",U716/S716)</f>
        <v/>
      </c>
      <c r="W716">
        <f>IF(OR(B716="",P716=""),"",NETWORKDAYS(C716,P716)-1)</f>
        <v/>
      </c>
      <c r="X716">
        <f>IF(B716="","",IF(P716="","Aberto","Fechado"))</f>
        <v/>
      </c>
    </row>
    <row r="717">
      <c r="C717" s="6" t="n"/>
      <c r="E717" s="7" t="n"/>
      <c r="F717" s="8" t="n"/>
      <c r="G717" s="8" t="n"/>
      <c r="H717" s="8" t="n"/>
      <c r="J717" s="7" t="n"/>
      <c r="K717" s="8" t="n"/>
      <c r="L717" s="7" t="n"/>
      <c r="M717" s="8" t="n"/>
      <c r="N717" s="7" t="n"/>
      <c r="O717" s="8" t="n"/>
      <c r="P717" s="6" t="n"/>
      <c r="Q717" s="8" t="n"/>
      <c r="S717" s="8">
        <f>IF(B717="","",E717*F717)</f>
        <v/>
      </c>
      <c r="T717" s="8">
        <f>IF(OR(B717="",N(G717)=0),"",ABS(F717-G717)*E717)</f>
        <v/>
      </c>
      <c r="U717" s="8">
        <f>IF(OR(B717="",P717=""),"",IF(D717="Venda",-1,1)*((N(J717)*N(K717)+N(L717)*N(M717)+N(N717)*N(O717))-(N(J717)+N(L717)+N(N717))*F717)-N(Q717))</f>
        <v/>
      </c>
      <c r="V717" s="9">
        <f>IF(OR(B717="",P717=""),"",U717/S717)</f>
        <v/>
      </c>
      <c r="W717">
        <f>IF(OR(B717="",P717=""),"",NETWORKDAYS(C717,P717)-1)</f>
        <v/>
      </c>
      <c r="X717">
        <f>IF(B717="","",IF(P717="","Aberto","Fechado"))</f>
        <v/>
      </c>
    </row>
    <row r="718">
      <c r="C718" s="6" t="n"/>
      <c r="E718" s="7" t="n"/>
      <c r="F718" s="8" t="n"/>
      <c r="G718" s="8" t="n"/>
      <c r="H718" s="8" t="n"/>
      <c r="J718" s="7" t="n"/>
      <c r="K718" s="8" t="n"/>
      <c r="L718" s="7" t="n"/>
      <c r="M718" s="8" t="n"/>
      <c r="N718" s="7" t="n"/>
      <c r="O718" s="8" t="n"/>
      <c r="P718" s="6" t="n"/>
      <c r="Q718" s="8" t="n"/>
      <c r="S718" s="8">
        <f>IF(B718="","",E718*F718)</f>
        <v/>
      </c>
      <c r="T718" s="8">
        <f>IF(OR(B718="",N(G718)=0),"",ABS(F718-G718)*E718)</f>
        <v/>
      </c>
      <c r="U718" s="8">
        <f>IF(OR(B718="",P718=""),"",IF(D718="Venda",-1,1)*((N(J718)*N(K718)+N(L718)*N(M718)+N(N718)*N(O718))-(N(J718)+N(L718)+N(N718))*F718)-N(Q718))</f>
        <v/>
      </c>
      <c r="V718" s="9">
        <f>IF(OR(B718="",P718=""),"",U718/S718)</f>
        <v/>
      </c>
      <c r="W718">
        <f>IF(OR(B718="",P718=""),"",NETWORKDAYS(C718,P718)-1)</f>
        <v/>
      </c>
      <c r="X718">
        <f>IF(B718="","",IF(P718="","Aberto","Fechado"))</f>
        <v/>
      </c>
    </row>
    <row r="719">
      <c r="C719" s="6" t="n"/>
      <c r="E719" s="7" t="n"/>
      <c r="F719" s="8" t="n"/>
      <c r="G719" s="8" t="n"/>
      <c r="H719" s="8" t="n"/>
      <c r="J719" s="7" t="n"/>
      <c r="K719" s="8" t="n"/>
      <c r="L719" s="7" t="n"/>
      <c r="M719" s="8" t="n"/>
      <c r="N719" s="7" t="n"/>
      <c r="O719" s="8" t="n"/>
      <c r="P719" s="6" t="n"/>
      <c r="Q719" s="8" t="n"/>
      <c r="S719" s="8">
        <f>IF(B719="","",E719*F719)</f>
        <v/>
      </c>
      <c r="T719" s="8">
        <f>IF(OR(B719="",N(G719)=0),"",ABS(F719-G719)*E719)</f>
        <v/>
      </c>
      <c r="U719" s="8">
        <f>IF(OR(B719="",P719=""),"",IF(D719="Venda",-1,1)*((N(J719)*N(K719)+N(L719)*N(M719)+N(N719)*N(O719))-(N(J719)+N(L719)+N(N719))*F719)-N(Q719))</f>
        <v/>
      </c>
      <c r="V719" s="9">
        <f>IF(OR(B719="",P719=""),"",U719/S719)</f>
        <v/>
      </c>
      <c r="W719">
        <f>IF(OR(B719="",P719=""),"",NETWORKDAYS(C719,P719)-1)</f>
        <v/>
      </c>
      <c r="X719">
        <f>IF(B719="","",IF(P719="","Aberto","Fechado"))</f>
        <v/>
      </c>
    </row>
    <row r="720">
      <c r="C720" s="6" t="n"/>
      <c r="E720" s="7" t="n"/>
      <c r="F720" s="8" t="n"/>
      <c r="G720" s="8" t="n"/>
      <c r="H720" s="8" t="n"/>
      <c r="J720" s="7" t="n"/>
      <c r="K720" s="8" t="n"/>
      <c r="L720" s="7" t="n"/>
      <c r="M720" s="8" t="n"/>
      <c r="N720" s="7" t="n"/>
      <c r="O720" s="8" t="n"/>
      <c r="P720" s="6" t="n"/>
      <c r="Q720" s="8" t="n"/>
      <c r="S720" s="8">
        <f>IF(B720="","",E720*F720)</f>
        <v/>
      </c>
      <c r="T720" s="8">
        <f>IF(OR(B720="",N(G720)=0),"",ABS(F720-G720)*E720)</f>
        <v/>
      </c>
      <c r="U720" s="8">
        <f>IF(OR(B720="",P720=""),"",IF(D720="Venda",-1,1)*((N(J720)*N(K720)+N(L720)*N(M720)+N(N720)*N(O720))-(N(J720)+N(L720)+N(N720))*F720)-N(Q720))</f>
        <v/>
      </c>
      <c r="V720" s="9">
        <f>IF(OR(B720="",P720=""),"",U720/S720)</f>
        <v/>
      </c>
      <c r="W720">
        <f>IF(OR(B720="",P720=""),"",NETWORKDAYS(C720,P720)-1)</f>
        <v/>
      </c>
      <c r="X720">
        <f>IF(B720="","",IF(P720="","Aberto","Fechado"))</f>
        <v/>
      </c>
    </row>
    <row r="721">
      <c r="C721" s="6" t="n"/>
      <c r="E721" s="7" t="n"/>
      <c r="F721" s="8" t="n"/>
      <c r="G721" s="8" t="n"/>
      <c r="H721" s="8" t="n"/>
      <c r="J721" s="7" t="n"/>
      <c r="K721" s="8" t="n"/>
      <c r="L721" s="7" t="n"/>
      <c r="M721" s="8" t="n"/>
      <c r="N721" s="7" t="n"/>
      <c r="O721" s="8" t="n"/>
      <c r="P721" s="6" t="n"/>
      <c r="Q721" s="8" t="n"/>
      <c r="S721" s="8">
        <f>IF(B721="","",E721*F721)</f>
        <v/>
      </c>
      <c r="T721" s="8">
        <f>IF(OR(B721="",N(G721)=0),"",ABS(F721-G721)*E721)</f>
        <v/>
      </c>
      <c r="U721" s="8">
        <f>IF(OR(B721="",P721=""),"",IF(D721="Venda",-1,1)*((N(J721)*N(K721)+N(L721)*N(M721)+N(N721)*N(O721))-(N(J721)+N(L721)+N(N721))*F721)-N(Q721))</f>
        <v/>
      </c>
      <c r="V721" s="9">
        <f>IF(OR(B721="",P721=""),"",U721/S721)</f>
        <v/>
      </c>
      <c r="W721">
        <f>IF(OR(B721="",P721=""),"",NETWORKDAYS(C721,P721)-1)</f>
        <v/>
      </c>
      <c r="X721">
        <f>IF(B721="","",IF(P721="","Aberto","Fechado"))</f>
        <v/>
      </c>
    </row>
    <row r="722">
      <c r="C722" s="6" t="n"/>
      <c r="E722" s="7" t="n"/>
      <c r="F722" s="8" t="n"/>
      <c r="G722" s="8" t="n"/>
      <c r="H722" s="8" t="n"/>
      <c r="J722" s="7" t="n"/>
      <c r="K722" s="8" t="n"/>
      <c r="L722" s="7" t="n"/>
      <c r="M722" s="8" t="n"/>
      <c r="N722" s="7" t="n"/>
      <c r="O722" s="8" t="n"/>
      <c r="P722" s="6" t="n"/>
      <c r="Q722" s="8" t="n"/>
      <c r="S722" s="8">
        <f>IF(B722="","",E722*F722)</f>
        <v/>
      </c>
      <c r="T722" s="8">
        <f>IF(OR(B722="",N(G722)=0),"",ABS(F722-G722)*E722)</f>
        <v/>
      </c>
      <c r="U722" s="8">
        <f>IF(OR(B722="",P722=""),"",IF(D722="Venda",-1,1)*((N(J722)*N(K722)+N(L722)*N(M722)+N(N722)*N(O722))-(N(J722)+N(L722)+N(N722))*F722)-N(Q722))</f>
        <v/>
      </c>
      <c r="V722" s="9">
        <f>IF(OR(B722="",P722=""),"",U722/S722)</f>
        <v/>
      </c>
      <c r="W722">
        <f>IF(OR(B722="",P722=""),"",NETWORKDAYS(C722,P722)-1)</f>
        <v/>
      </c>
      <c r="X722">
        <f>IF(B722="","",IF(P722="","Aberto","Fechado"))</f>
        <v/>
      </c>
    </row>
    <row r="723">
      <c r="C723" s="6" t="n"/>
      <c r="E723" s="7" t="n"/>
      <c r="F723" s="8" t="n"/>
      <c r="G723" s="8" t="n"/>
      <c r="H723" s="8" t="n"/>
      <c r="J723" s="7" t="n"/>
      <c r="K723" s="8" t="n"/>
      <c r="L723" s="7" t="n"/>
      <c r="M723" s="8" t="n"/>
      <c r="N723" s="7" t="n"/>
      <c r="O723" s="8" t="n"/>
      <c r="P723" s="6" t="n"/>
      <c r="Q723" s="8" t="n"/>
      <c r="S723" s="8">
        <f>IF(B723="","",E723*F723)</f>
        <v/>
      </c>
      <c r="T723" s="8">
        <f>IF(OR(B723="",N(G723)=0),"",ABS(F723-G723)*E723)</f>
        <v/>
      </c>
      <c r="U723" s="8">
        <f>IF(OR(B723="",P723=""),"",IF(D723="Venda",-1,1)*((N(J723)*N(K723)+N(L723)*N(M723)+N(N723)*N(O723))-(N(J723)+N(L723)+N(N723))*F723)-N(Q723))</f>
        <v/>
      </c>
      <c r="V723" s="9">
        <f>IF(OR(B723="",P723=""),"",U723/S723)</f>
        <v/>
      </c>
      <c r="W723">
        <f>IF(OR(B723="",P723=""),"",NETWORKDAYS(C723,P723)-1)</f>
        <v/>
      </c>
      <c r="X723">
        <f>IF(B723="","",IF(P723="","Aberto","Fechado"))</f>
        <v/>
      </c>
    </row>
    <row r="724">
      <c r="C724" s="6" t="n"/>
      <c r="E724" s="7" t="n"/>
      <c r="F724" s="8" t="n"/>
      <c r="G724" s="8" t="n"/>
      <c r="H724" s="8" t="n"/>
      <c r="J724" s="7" t="n"/>
      <c r="K724" s="8" t="n"/>
      <c r="L724" s="7" t="n"/>
      <c r="M724" s="8" t="n"/>
      <c r="N724" s="7" t="n"/>
      <c r="O724" s="8" t="n"/>
      <c r="P724" s="6" t="n"/>
      <c r="Q724" s="8" t="n"/>
      <c r="S724" s="8">
        <f>IF(B724="","",E724*F724)</f>
        <v/>
      </c>
      <c r="T724" s="8">
        <f>IF(OR(B724="",N(G724)=0),"",ABS(F724-G724)*E724)</f>
        <v/>
      </c>
      <c r="U724" s="8">
        <f>IF(OR(B724="",P724=""),"",IF(D724="Venda",-1,1)*((N(J724)*N(K724)+N(L724)*N(M724)+N(N724)*N(O724))-(N(J724)+N(L724)+N(N724))*F724)-N(Q724))</f>
        <v/>
      </c>
      <c r="V724" s="9">
        <f>IF(OR(B724="",P724=""),"",U724/S724)</f>
        <v/>
      </c>
      <c r="W724">
        <f>IF(OR(B724="",P724=""),"",NETWORKDAYS(C724,P724)-1)</f>
        <v/>
      </c>
      <c r="X724">
        <f>IF(B724="","",IF(P724="","Aberto","Fechado"))</f>
        <v/>
      </c>
    </row>
    <row r="725">
      <c r="C725" s="6" t="n"/>
      <c r="E725" s="7" t="n"/>
      <c r="F725" s="8" t="n"/>
      <c r="G725" s="8" t="n"/>
      <c r="H725" s="8" t="n"/>
      <c r="J725" s="7" t="n"/>
      <c r="K725" s="8" t="n"/>
      <c r="L725" s="7" t="n"/>
      <c r="M725" s="8" t="n"/>
      <c r="N725" s="7" t="n"/>
      <c r="O725" s="8" t="n"/>
      <c r="P725" s="6" t="n"/>
      <c r="Q725" s="8" t="n"/>
      <c r="S725" s="8">
        <f>IF(B725="","",E725*F725)</f>
        <v/>
      </c>
      <c r="T725" s="8">
        <f>IF(OR(B725="",N(G725)=0),"",ABS(F725-G725)*E725)</f>
        <v/>
      </c>
      <c r="U725" s="8">
        <f>IF(OR(B725="",P725=""),"",IF(D725="Venda",-1,1)*((N(J725)*N(K725)+N(L725)*N(M725)+N(N725)*N(O725))-(N(J725)+N(L725)+N(N725))*F725)-N(Q725))</f>
        <v/>
      </c>
      <c r="V725" s="9">
        <f>IF(OR(B725="",P725=""),"",U725/S725)</f>
        <v/>
      </c>
      <c r="W725">
        <f>IF(OR(B725="",P725=""),"",NETWORKDAYS(C725,P725)-1)</f>
        <v/>
      </c>
      <c r="X725">
        <f>IF(B725="","",IF(P725="","Aberto","Fechado"))</f>
        <v/>
      </c>
    </row>
    <row r="726">
      <c r="C726" s="6" t="n"/>
      <c r="E726" s="7" t="n"/>
      <c r="F726" s="8" t="n"/>
      <c r="G726" s="8" t="n"/>
      <c r="H726" s="8" t="n"/>
      <c r="J726" s="7" t="n"/>
      <c r="K726" s="8" t="n"/>
      <c r="L726" s="7" t="n"/>
      <c r="M726" s="8" t="n"/>
      <c r="N726" s="7" t="n"/>
      <c r="O726" s="8" t="n"/>
      <c r="P726" s="6" t="n"/>
      <c r="Q726" s="8" t="n"/>
      <c r="S726" s="8">
        <f>IF(B726="","",E726*F726)</f>
        <v/>
      </c>
      <c r="T726" s="8">
        <f>IF(OR(B726="",N(G726)=0),"",ABS(F726-G726)*E726)</f>
        <v/>
      </c>
      <c r="U726" s="8">
        <f>IF(OR(B726="",P726=""),"",IF(D726="Venda",-1,1)*((N(J726)*N(K726)+N(L726)*N(M726)+N(N726)*N(O726))-(N(J726)+N(L726)+N(N726))*F726)-N(Q726))</f>
        <v/>
      </c>
      <c r="V726" s="9">
        <f>IF(OR(B726="",P726=""),"",U726/S726)</f>
        <v/>
      </c>
      <c r="W726">
        <f>IF(OR(B726="",P726=""),"",NETWORKDAYS(C726,P726)-1)</f>
        <v/>
      </c>
      <c r="X726">
        <f>IF(B726="","",IF(P726="","Aberto","Fechado"))</f>
        <v/>
      </c>
    </row>
    <row r="727">
      <c r="C727" s="6" t="n"/>
      <c r="E727" s="7" t="n"/>
      <c r="F727" s="8" t="n"/>
      <c r="G727" s="8" t="n"/>
      <c r="H727" s="8" t="n"/>
      <c r="J727" s="7" t="n"/>
      <c r="K727" s="8" t="n"/>
      <c r="L727" s="7" t="n"/>
      <c r="M727" s="8" t="n"/>
      <c r="N727" s="7" t="n"/>
      <c r="O727" s="8" t="n"/>
      <c r="P727" s="6" t="n"/>
      <c r="Q727" s="8" t="n"/>
      <c r="S727" s="8">
        <f>IF(B727="","",E727*F727)</f>
        <v/>
      </c>
      <c r="T727" s="8">
        <f>IF(OR(B727="",N(G727)=0),"",ABS(F727-G727)*E727)</f>
        <v/>
      </c>
      <c r="U727" s="8">
        <f>IF(OR(B727="",P727=""),"",IF(D727="Venda",-1,1)*((N(J727)*N(K727)+N(L727)*N(M727)+N(N727)*N(O727))-(N(J727)+N(L727)+N(N727))*F727)-N(Q727))</f>
        <v/>
      </c>
      <c r="V727" s="9">
        <f>IF(OR(B727="",P727=""),"",U727/S727)</f>
        <v/>
      </c>
      <c r="W727">
        <f>IF(OR(B727="",P727=""),"",NETWORKDAYS(C727,P727)-1)</f>
        <v/>
      </c>
      <c r="X727">
        <f>IF(B727="","",IF(P727="","Aberto","Fechado"))</f>
        <v/>
      </c>
    </row>
    <row r="728">
      <c r="C728" s="6" t="n"/>
      <c r="E728" s="7" t="n"/>
      <c r="F728" s="8" t="n"/>
      <c r="G728" s="8" t="n"/>
      <c r="H728" s="8" t="n"/>
      <c r="J728" s="7" t="n"/>
      <c r="K728" s="8" t="n"/>
      <c r="L728" s="7" t="n"/>
      <c r="M728" s="8" t="n"/>
      <c r="N728" s="7" t="n"/>
      <c r="O728" s="8" t="n"/>
      <c r="P728" s="6" t="n"/>
      <c r="Q728" s="8" t="n"/>
      <c r="S728" s="8">
        <f>IF(B728="","",E728*F728)</f>
        <v/>
      </c>
      <c r="T728" s="8">
        <f>IF(OR(B728="",N(G728)=0),"",ABS(F728-G728)*E728)</f>
        <v/>
      </c>
      <c r="U728" s="8">
        <f>IF(OR(B728="",P728=""),"",IF(D728="Venda",-1,1)*((N(J728)*N(K728)+N(L728)*N(M728)+N(N728)*N(O728))-(N(J728)+N(L728)+N(N728))*F728)-N(Q728))</f>
        <v/>
      </c>
      <c r="V728" s="9">
        <f>IF(OR(B728="",P728=""),"",U728/S728)</f>
        <v/>
      </c>
      <c r="W728">
        <f>IF(OR(B728="",P728=""),"",NETWORKDAYS(C728,P728)-1)</f>
        <v/>
      </c>
      <c r="X728">
        <f>IF(B728="","",IF(P728="","Aberto","Fechado"))</f>
        <v/>
      </c>
    </row>
    <row r="729">
      <c r="C729" s="6" t="n"/>
      <c r="E729" s="7" t="n"/>
      <c r="F729" s="8" t="n"/>
      <c r="G729" s="8" t="n"/>
      <c r="H729" s="8" t="n"/>
      <c r="J729" s="7" t="n"/>
      <c r="K729" s="8" t="n"/>
      <c r="L729" s="7" t="n"/>
      <c r="M729" s="8" t="n"/>
      <c r="N729" s="7" t="n"/>
      <c r="O729" s="8" t="n"/>
      <c r="P729" s="6" t="n"/>
      <c r="Q729" s="8" t="n"/>
      <c r="S729" s="8">
        <f>IF(B729="","",E729*F729)</f>
        <v/>
      </c>
      <c r="T729" s="8">
        <f>IF(OR(B729="",N(G729)=0),"",ABS(F729-G729)*E729)</f>
        <v/>
      </c>
      <c r="U729" s="8">
        <f>IF(OR(B729="",P729=""),"",IF(D729="Venda",-1,1)*((N(J729)*N(K729)+N(L729)*N(M729)+N(N729)*N(O729))-(N(J729)+N(L729)+N(N729))*F729)-N(Q729))</f>
        <v/>
      </c>
      <c r="V729" s="9">
        <f>IF(OR(B729="",P729=""),"",U729/S729)</f>
        <v/>
      </c>
      <c r="W729">
        <f>IF(OR(B729="",P729=""),"",NETWORKDAYS(C729,P729)-1)</f>
        <v/>
      </c>
      <c r="X729">
        <f>IF(B729="","",IF(P729="","Aberto","Fechado"))</f>
        <v/>
      </c>
    </row>
    <row r="730">
      <c r="C730" s="6" t="n"/>
      <c r="E730" s="7" t="n"/>
      <c r="F730" s="8" t="n"/>
      <c r="G730" s="8" t="n"/>
      <c r="H730" s="8" t="n"/>
      <c r="J730" s="7" t="n"/>
      <c r="K730" s="8" t="n"/>
      <c r="L730" s="7" t="n"/>
      <c r="M730" s="8" t="n"/>
      <c r="N730" s="7" t="n"/>
      <c r="O730" s="8" t="n"/>
      <c r="P730" s="6" t="n"/>
      <c r="Q730" s="8" t="n"/>
      <c r="S730" s="8">
        <f>IF(B730="","",E730*F730)</f>
        <v/>
      </c>
      <c r="T730" s="8">
        <f>IF(OR(B730="",N(G730)=0),"",ABS(F730-G730)*E730)</f>
        <v/>
      </c>
      <c r="U730" s="8">
        <f>IF(OR(B730="",P730=""),"",IF(D730="Venda",-1,1)*((N(J730)*N(K730)+N(L730)*N(M730)+N(N730)*N(O730))-(N(J730)+N(L730)+N(N730))*F730)-N(Q730))</f>
        <v/>
      </c>
      <c r="V730" s="9">
        <f>IF(OR(B730="",P730=""),"",U730/S730)</f>
        <v/>
      </c>
      <c r="W730">
        <f>IF(OR(B730="",P730=""),"",NETWORKDAYS(C730,P730)-1)</f>
        <v/>
      </c>
      <c r="X730">
        <f>IF(B730="","",IF(P730="","Aberto","Fechado"))</f>
        <v/>
      </c>
    </row>
    <row r="731">
      <c r="C731" s="6" t="n"/>
      <c r="E731" s="7" t="n"/>
      <c r="F731" s="8" t="n"/>
      <c r="G731" s="8" t="n"/>
      <c r="H731" s="8" t="n"/>
      <c r="J731" s="7" t="n"/>
      <c r="K731" s="8" t="n"/>
      <c r="L731" s="7" t="n"/>
      <c r="M731" s="8" t="n"/>
      <c r="N731" s="7" t="n"/>
      <c r="O731" s="8" t="n"/>
      <c r="P731" s="6" t="n"/>
      <c r="Q731" s="8" t="n"/>
      <c r="S731" s="8">
        <f>IF(B731="","",E731*F731)</f>
        <v/>
      </c>
      <c r="T731" s="8">
        <f>IF(OR(B731="",N(G731)=0),"",ABS(F731-G731)*E731)</f>
        <v/>
      </c>
      <c r="U731" s="8">
        <f>IF(OR(B731="",P731=""),"",IF(D731="Venda",-1,1)*((N(J731)*N(K731)+N(L731)*N(M731)+N(N731)*N(O731))-(N(J731)+N(L731)+N(N731))*F731)-N(Q731))</f>
        <v/>
      </c>
      <c r="V731" s="9">
        <f>IF(OR(B731="",P731=""),"",U731/S731)</f>
        <v/>
      </c>
      <c r="W731">
        <f>IF(OR(B731="",P731=""),"",NETWORKDAYS(C731,P731)-1)</f>
        <v/>
      </c>
      <c r="X731">
        <f>IF(B731="","",IF(P731="","Aberto","Fechado"))</f>
        <v/>
      </c>
    </row>
    <row r="732">
      <c r="C732" s="6" t="n"/>
      <c r="E732" s="7" t="n"/>
      <c r="F732" s="8" t="n"/>
      <c r="G732" s="8" t="n"/>
      <c r="H732" s="8" t="n"/>
      <c r="J732" s="7" t="n"/>
      <c r="K732" s="8" t="n"/>
      <c r="L732" s="7" t="n"/>
      <c r="M732" s="8" t="n"/>
      <c r="N732" s="7" t="n"/>
      <c r="O732" s="8" t="n"/>
      <c r="P732" s="6" t="n"/>
      <c r="Q732" s="8" t="n"/>
      <c r="S732" s="8">
        <f>IF(B732="","",E732*F732)</f>
        <v/>
      </c>
      <c r="T732" s="8">
        <f>IF(OR(B732="",N(G732)=0),"",ABS(F732-G732)*E732)</f>
        <v/>
      </c>
      <c r="U732" s="8">
        <f>IF(OR(B732="",P732=""),"",IF(D732="Venda",-1,1)*((N(J732)*N(K732)+N(L732)*N(M732)+N(N732)*N(O732))-(N(J732)+N(L732)+N(N732))*F732)-N(Q732))</f>
        <v/>
      </c>
      <c r="V732" s="9">
        <f>IF(OR(B732="",P732=""),"",U732/S732)</f>
        <v/>
      </c>
      <c r="W732">
        <f>IF(OR(B732="",P732=""),"",NETWORKDAYS(C732,P732)-1)</f>
        <v/>
      </c>
      <c r="X732">
        <f>IF(B732="","",IF(P732="","Aberto","Fechado"))</f>
        <v/>
      </c>
    </row>
    <row r="733">
      <c r="C733" s="6" t="n"/>
      <c r="E733" s="7" t="n"/>
      <c r="F733" s="8" t="n"/>
      <c r="G733" s="8" t="n"/>
      <c r="H733" s="8" t="n"/>
      <c r="J733" s="7" t="n"/>
      <c r="K733" s="8" t="n"/>
      <c r="L733" s="7" t="n"/>
      <c r="M733" s="8" t="n"/>
      <c r="N733" s="7" t="n"/>
      <c r="O733" s="8" t="n"/>
      <c r="P733" s="6" t="n"/>
      <c r="Q733" s="8" t="n"/>
      <c r="S733" s="8">
        <f>IF(B733="","",E733*F733)</f>
        <v/>
      </c>
      <c r="T733" s="8">
        <f>IF(OR(B733="",N(G733)=0),"",ABS(F733-G733)*E733)</f>
        <v/>
      </c>
      <c r="U733" s="8">
        <f>IF(OR(B733="",P733=""),"",IF(D733="Venda",-1,1)*((N(J733)*N(K733)+N(L733)*N(M733)+N(N733)*N(O733))-(N(J733)+N(L733)+N(N733))*F733)-N(Q733))</f>
        <v/>
      </c>
      <c r="V733" s="9">
        <f>IF(OR(B733="",P733=""),"",U733/S733)</f>
        <v/>
      </c>
      <c r="W733">
        <f>IF(OR(B733="",P733=""),"",NETWORKDAYS(C733,P733)-1)</f>
        <v/>
      </c>
      <c r="X733">
        <f>IF(B733="","",IF(P733="","Aberto","Fechado"))</f>
        <v/>
      </c>
    </row>
    <row r="734">
      <c r="C734" s="6" t="n"/>
      <c r="E734" s="7" t="n"/>
      <c r="F734" s="8" t="n"/>
      <c r="G734" s="8" t="n"/>
      <c r="H734" s="8" t="n"/>
      <c r="J734" s="7" t="n"/>
      <c r="K734" s="8" t="n"/>
      <c r="L734" s="7" t="n"/>
      <c r="M734" s="8" t="n"/>
      <c r="N734" s="7" t="n"/>
      <c r="O734" s="8" t="n"/>
      <c r="P734" s="6" t="n"/>
      <c r="Q734" s="8" t="n"/>
      <c r="S734" s="8">
        <f>IF(B734="","",E734*F734)</f>
        <v/>
      </c>
      <c r="T734" s="8">
        <f>IF(OR(B734="",N(G734)=0),"",ABS(F734-G734)*E734)</f>
        <v/>
      </c>
      <c r="U734" s="8">
        <f>IF(OR(B734="",P734=""),"",IF(D734="Venda",-1,1)*((N(J734)*N(K734)+N(L734)*N(M734)+N(N734)*N(O734))-(N(J734)+N(L734)+N(N734))*F734)-N(Q734))</f>
        <v/>
      </c>
      <c r="V734" s="9">
        <f>IF(OR(B734="",P734=""),"",U734/S734)</f>
        <v/>
      </c>
      <c r="W734">
        <f>IF(OR(B734="",P734=""),"",NETWORKDAYS(C734,P734)-1)</f>
        <v/>
      </c>
      <c r="X734">
        <f>IF(B734="","",IF(P734="","Aberto","Fechado"))</f>
        <v/>
      </c>
    </row>
    <row r="735">
      <c r="C735" s="6" t="n"/>
      <c r="E735" s="7" t="n"/>
      <c r="F735" s="8" t="n"/>
      <c r="G735" s="8" t="n"/>
      <c r="H735" s="8" t="n"/>
      <c r="J735" s="7" t="n"/>
      <c r="K735" s="8" t="n"/>
      <c r="L735" s="7" t="n"/>
      <c r="M735" s="8" t="n"/>
      <c r="N735" s="7" t="n"/>
      <c r="O735" s="8" t="n"/>
      <c r="P735" s="6" t="n"/>
      <c r="Q735" s="8" t="n"/>
      <c r="S735" s="8">
        <f>IF(B735="","",E735*F735)</f>
        <v/>
      </c>
      <c r="T735" s="8">
        <f>IF(OR(B735="",N(G735)=0),"",ABS(F735-G735)*E735)</f>
        <v/>
      </c>
      <c r="U735" s="8">
        <f>IF(OR(B735="",P735=""),"",IF(D735="Venda",-1,1)*((N(J735)*N(K735)+N(L735)*N(M735)+N(N735)*N(O735))-(N(J735)+N(L735)+N(N735))*F735)-N(Q735))</f>
        <v/>
      </c>
      <c r="V735" s="9">
        <f>IF(OR(B735="",P735=""),"",U735/S735)</f>
        <v/>
      </c>
      <c r="W735">
        <f>IF(OR(B735="",P735=""),"",NETWORKDAYS(C735,P735)-1)</f>
        <v/>
      </c>
      <c r="X735">
        <f>IF(B735="","",IF(P735="","Aberto","Fechado"))</f>
        <v/>
      </c>
    </row>
    <row r="736">
      <c r="C736" s="6" t="n"/>
      <c r="E736" s="7" t="n"/>
      <c r="F736" s="8" t="n"/>
      <c r="G736" s="8" t="n"/>
      <c r="H736" s="8" t="n"/>
      <c r="J736" s="7" t="n"/>
      <c r="K736" s="8" t="n"/>
      <c r="L736" s="7" t="n"/>
      <c r="M736" s="8" t="n"/>
      <c r="N736" s="7" t="n"/>
      <c r="O736" s="8" t="n"/>
      <c r="P736" s="6" t="n"/>
      <c r="Q736" s="8" t="n"/>
      <c r="S736" s="8">
        <f>IF(B736="","",E736*F736)</f>
        <v/>
      </c>
      <c r="T736" s="8">
        <f>IF(OR(B736="",N(G736)=0),"",ABS(F736-G736)*E736)</f>
        <v/>
      </c>
      <c r="U736" s="8">
        <f>IF(OR(B736="",P736=""),"",IF(D736="Venda",-1,1)*((N(J736)*N(K736)+N(L736)*N(M736)+N(N736)*N(O736))-(N(J736)+N(L736)+N(N736))*F736)-N(Q736))</f>
        <v/>
      </c>
      <c r="V736" s="9">
        <f>IF(OR(B736="",P736=""),"",U736/S736)</f>
        <v/>
      </c>
      <c r="W736">
        <f>IF(OR(B736="",P736=""),"",NETWORKDAYS(C736,P736)-1)</f>
        <v/>
      </c>
      <c r="X736">
        <f>IF(B736="","",IF(P736="","Aberto","Fechado"))</f>
        <v/>
      </c>
    </row>
    <row r="737">
      <c r="C737" s="6" t="n"/>
      <c r="E737" s="7" t="n"/>
      <c r="F737" s="8" t="n"/>
      <c r="G737" s="8" t="n"/>
      <c r="H737" s="8" t="n"/>
      <c r="J737" s="7" t="n"/>
      <c r="K737" s="8" t="n"/>
      <c r="L737" s="7" t="n"/>
      <c r="M737" s="8" t="n"/>
      <c r="N737" s="7" t="n"/>
      <c r="O737" s="8" t="n"/>
      <c r="P737" s="6" t="n"/>
      <c r="Q737" s="8" t="n"/>
      <c r="S737" s="8">
        <f>IF(B737="","",E737*F737)</f>
        <v/>
      </c>
      <c r="T737" s="8">
        <f>IF(OR(B737="",N(G737)=0),"",ABS(F737-G737)*E737)</f>
        <v/>
      </c>
      <c r="U737" s="8">
        <f>IF(OR(B737="",P737=""),"",IF(D737="Venda",-1,1)*((N(J737)*N(K737)+N(L737)*N(M737)+N(N737)*N(O737))-(N(J737)+N(L737)+N(N737))*F737)-N(Q737))</f>
        <v/>
      </c>
      <c r="V737" s="9">
        <f>IF(OR(B737="",P737=""),"",U737/S737)</f>
        <v/>
      </c>
      <c r="W737">
        <f>IF(OR(B737="",P737=""),"",NETWORKDAYS(C737,P737)-1)</f>
        <v/>
      </c>
      <c r="X737">
        <f>IF(B737="","",IF(P737="","Aberto","Fechado"))</f>
        <v/>
      </c>
    </row>
    <row r="738">
      <c r="C738" s="6" t="n"/>
      <c r="E738" s="7" t="n"/>
      <c r="F738" s="8" t="n"/>
      <c r="G738" s="8" t="n"/>
      <c r="H738" s="8" t="n"/>
      <c r="J738" s="7" t="n"/>
      <c r="K738" s="8" t="n"/>
      <c r="L738" s="7" t="n"/>
      <c r="M738" s="8" t="n"/>
      <c r="N738" s="7" t="n"/>
      <c r="O738" s="8" t="n"/>
      <c r="P738" s="6" t="n"/>
      <c r="Q738" s="8" t="n"/>
      <c r="S738" s="8">
        <f>IF(B738="","",E738*F738)</f>
        <v/>
      </c>
      <c r="T738" s="8">
        <f>IF(OR(B738="",N(G738)=0),"",ABS(F738-G738)*E738)</f>
        <v/>
      </c>
      <c r="U738" s="8">
        <f>IF(OR(B738="",P738=""),"",IF(D738="Venda",-1,1)*((N(J738)*N(K738)+N(L738)*N(M738)+N(N738)*N(O738))-(N(J738)+N(L738)+N(N738))*F738)-N(Q738))</f>
        <v/>
      </c>
      <c r="V738" s="9">
        <f>IF(OR(B738="",P738=""),"",U738/S738)</f>
        <v/>
      </c>
      <c r="W738">
        <f>IF(OR(B738="",P738=""),"",NETWORKDAYS(C738,P738)-1)</f>
        <v/>
      </c>
      <c r="X738">
        <f>IF(B738="","",IF(P738="","Aberto","Fechado"))</f>
        <v/>
      </c>
    </row>
    <row r="739">
      <c r="C739" s="6" t="n"/>
      <c r="E739" s="7" t="n"/>
      <c r="F739" s="8" t="n"/>
      <c r="G739" s="8" t="n"/>
      <c r="H739" s="8" t="n"/>
      <c r="J739" s="7" t="n"/>
      <c r="K739" s="8" t="n"/>
      <c r="L739" s="7" t="n"/>
      <c r="M739" s="8" t="n"/>
      <c r="N739" s="7" t="n"/>
      <c r="O739" s="8" t="n"/>
      <c r="P739" s="6" t="n"/>
      <c r="Q739" s="8" t="n"/>
      <c r="S739" s="8">
        <f>IF(B739="","",E739*F739)</f>
        <v/>
      </c>
      <c r="T739" s="8">
        <f>IF(OR(B739="",N(G739)=0),"",ABS(F739-G739)*E739)</f>
        <v/>
      </c>
      <c r="U739" s="8">
        <f>IF(OR(B739="",P739=""),"",IF(D739="Venda",-1,1)*((N(J739)*N(K739)+N(L739)*N(M739)+N(N739)*N(O739))-(N(J739)+N(L739)+N(N739))*F739)-N(Q739))</f>
        <v/>
      </c>
      <c r="V739" s="9">
        <f>IF(OR(B739="",P739=""),"",U739/S739)</f>
        <v/>
      </c>
      <c r="W739">
        <f>IF(OR(B739="",P739=""),"",NETWORKDAYS(C739,P739)-1)</f>
        <v/>
      </c>
      <c r="X739">
        <f>IF(B739="","",IF(P739="","Aberto","Fechado"))</f>
        <v/>
      </c>
    </row>
    <row r="740">
      <c r="C740" s="6" t="n"/>
      <c r="E740" s="7" t="n"/>
      <c r="F740" s="8" t="n"/>
      <c r="G740" s="8" t="n"/>
      <c r="H740" s="8" t="n"/>
      <c r="J740" s="7" t="n"/>
      <c r="K740" s="8" t="n"/>
      <c r="L740" s="7" t="n"/>
      <c r="M740" s="8" t="n"/>
      <c r="N740" s="7" t="n"/>
      <c r="O740" s="8" t="n"/>
      <c r="P740" s="6" t="n"/>
      <c r="Q740" s="8" t="n"/>
      <c r="S740" s="8">
        <f>IF(B740="","",E740*F740)</f>
        <v/>
      </c>
      <c r="T740" s="8">
        <f>IF(OR(B740="",N(G740)=0),"",ABS(F740-G740)*E740)</f>
        <v/>
      </c>
      <c r="U740" s="8">
        <f>IF(OR(B740="",P740=""),"",IF(D740="Venda",-1,1)*((N(J740)*N(K740)+N(L740)*N(M740)+N(N740)*N(O740))-(N(J740)+N(L740)+N(N740))*F740)-N(Q740))</f>
        <v/>
      </c>
      <c r="V740" s="9">
        <f>IF(OR(B740="",P740=""),"",U740/S740)</f>
        <v/>
      </c>
      <c r="W740">
        <f>IF(OR(B740="",P740=""),"",NETWORKDAYS(C740,P740)-1)</f>
        <v/>
      </c>
      <c r="X740">
        <f>IF(B740="","",IF(P740="","Aberto","Fechado"))</f>
        <v/>
      </c>
    </row>
    <row r="741">
      <c r="C741" s="6" t="n"/>
      <c r="E741" s="7" t="n"/>
      <c r="F741" s="8" t="n"/>
      <c r="G741" s="8" t="n"/>
      <c r="H741" s="8" t="n"/>
      <c r="J741" s="7" t="n"/>
      <c r="K741" s="8" t="n"/>
      <c r="L741" s="7" t="n"/>
      <c r="M741" s="8" t="n"/>
      <c r="N741" s="7" t="n"/>
      <c r="O741" s="8" t="n"/>
      <c r="P741" s="6" t="n"/>
      <c r="Q741" s="8" t="n"/>
      <c r="S741" s="8">
        <f>IF(B741="","",E741*F741)</f>
        <v/>
      </c>
      <c r="T741" s="8">
        <f>IF(OR(B741="",N(G741)=0),"",ABS(F741-G741)*E741)</f>
        <v/>
      </c>
      <c r="U741" s="8">
        <f>IF(OR(B741="",P741=""),"",IF(D741="Venda",-1,1)*((N(J741)*N(K741)+N(L741)*N(M741)+N(N741)*N(O741))-(N(J741)+N(L741)+N(N741))*F741)-N(Q741))</f>
        <v/>
      </c>
      <c r="V741" s="9">
        <f>IF(OR(B741="",P741=""),"",U741/S741)</f>
        <v/>
      </c>
      <c r="W741">
        <f>IF(OR(B741="",P741=""),"",NETWORKDAYS(C741,P741)-1)</f>
        <v/>
      </c>
      <c r="X741">
        <f>IF(B741="","",IF(P741="","Aberto","Fechado"))</f>
        <v/>
      </c>
    </row>
    <row r="742">
      <c r="C742" s="6" t="n"/>
      <c r="E742" s="7" t="n"/>
      <c r="F742" s="8" t="n"/>
      <c r="G742" s="8" t="n"/>
      <c r="H742" s="8" t="n"/>
      <c r="J742" s="7" t="n"/>
      <c r="K742" s="8" t="n"/>
      <c r="L742" s="7" t="n"/>
      <c r="M742" s="8" t="n"/>
      <c r="N742" s="7" t="n"/>
      <c r="O742" s="8" t="n"/>
      <c r="P742" s="6" t="n"/>
      <c r="Q742" s="8" t="n"/>
      <c r="S742" s="8">
        <f>IF(B742="","",E742*F742)</f>
        <v/>
      </c>
      <c r="T742" s="8">
        <f>IF(OR(B742="",N(G742)=0),"",ABS(F742-G742)*E742)</f>
        <v/>
      </c>
      <c r="U742" s="8">
        <f>IF(OR(B742="",P742=""),"",IF(D742="Venda",-1,1)*((N(J742)*N(K742)+N(L742)*N(M742)+N(N742)*N(O742))-(N(J742)+N(L742)+N(N742))*F742)-N(Q742))</f>
        <v/>
      </c>
      <c r="V742" s="9">
        <f>IF(OR(B742="",P742=""),"",U742/S742)</f>
        <v/>
      </c>
      <c r="W742">
        <f>IF(OR(B742="",P742=""),"",NETWORKDAYS(C742,P742)-1)</f>
        <v/>
      </c>
      <c r="X742">
        <f>IF(B742="","",IF(P742="","Aberto","Fechado"))</f>
        <v/>
      </c>
    </row>
    <row r="743">
      <c r="C743" s="6" t="n"/>
      <c r="E743" s="7" t="n"/>
      <c r="F743" s="8" t="n"/>
      <c r="G743" s="8" t="n"/>
      <c r="H743" s="8" t="n"/>
      <c r="J743" s="7" t="n"/>
      <c r="K743" s="8" t="n"/>
      <c r="L743" s="7" t="n"/>
      <c r="M743" s="8" t="n"/>
      <c r="N743" s="7" t="n"/>
      <c r="O743" s="8" t="n"/>
      <c r="P743" s="6" t="n"/>
      <c r="Q743" s="8" t="n"/>
      <c r="S743" s="8">
        <f>IF(B743="","",E743*F743)</f>
        <v/>
      </c>
      <c r="T743" s="8">
        <f>IF(OR(B743="",N(G743)=0),"",ABS(F743-G743)*E743)</f>
        <v/>
      </c>
      <c r="U743" s="8">
        <f>IF(OR(B743="",P743=""),"",IF(D743="Venda",-1,1)*((N(J743)*N(K743)+N(L743)*N(M743)+N(N743)*N(O743))-(N(J743)+N(L743)+N(N743))*F743)-N(Q743))</f>
        <v/>
      </c>
      <c r="V743" s="9">
        <f>IF(OR(B743="",P743=""),"",U743/S743)</f>
        <v/>
      </c>
      <c r="W743">
        <f>IF(OR(B743="",P743=""),"",NETWORKDAYS(C743,P743)-1)</f>
        <v/>
      </c>
      <c r="X743">
        <f>IF(B743="","",IF(P743="","Aberto","Fechado"))</f>
        <v/>
      </c>
    </row>
    <row r="744">
      <c r="C744" s="6" t="n"/>
      <c r="E744" s="7" t="n"/>
      <c r="F744" s="8" t="n"/>
      <c r="G744" s="8" t="n"/>
      <c r="H744" s="8" t="n"/>
      <c r="J744" s="7" t="n"/>
      <c r="K744" s="8" t="n"/>
      <c r="L744" s="7" t="n"/>
      <c r="M744" s="8" t="n"/>
      <c r="N744" s="7" t="n"/>
      <c r="O744" s="8" t="n"/>
      <c r="P744" s="6" t="n"/>
      <c r="Q744" s="8" t="n"/>
      <c r="S744" s="8">
        <f>IF(B744="","",E744*F744)</f>
        <v/>
      </c>
      <c r="T744" s="8">
        <f>IF(OR(B744="",N(G744)=0),"",ABS(F744-G744)*E744)</f>
        <v/>
      </c>
      <c r="U744" s="8">
        <f>IF(OR(B744="",P744=""),"",IF(D744="Venda",-1,1)*((N(J744)*N(K744)+N(L744)*N(M744)+N(N744)*N(O744))-(N(J744)+N(L744)+N(N744))*F744)-N(Q744))</f>
        <v/>
      </c>
      <c r="V744" s="9">
        <f>IF(OR(B744="",P744=""),"",U744/S744)</f>
        <v/>
      </c>
      <c r="W744">
        <f>IF(OR(B744="",P744=""),"",NETWORKDAYS(C744,P744)-1)</f>
        <v/>
      </c>
      <c r="X744">
        <f>IF(B744="","",IF(P744="","Aberto","Fechado"))</f>
        <v/>
      </c>
    </row>
    <row r="745">
      <c r="C745" s="6" t="n"/>
      <c r="E745" s="7" t="n"/>
      <c r="F745" s="8" t="n"/>
      <c r="G745" s="8" t="n"/>
      <c r="H745" s="8" t="n"/>
      <c r="J745" s="7" t="n"/>
      <c r="K745" s="8" t="n"/>
      <c r="L745" s="7" t="n"/>
      <c r="M745" s="8" t="n"/>
      <c r="N745" s="7" t="n"/>
      <c r="O745" s="8" t="n"/>
      <c r="P745" s="6" t="n"/>
      <c r="Q745" s="8" t="n"/>
      <c r="S745" s="8">
        <f>IF(B745="","",E745*F745)</f>
        <v/>
      </c>
      <c r="T745" s="8">
        <f>IF(OR(B745="",N(G745)=0),"",ABS(F745-G745)*E745)</f>
        <v/>
      </c>
      <c r="U745" s="8">
        <f>IF(OR(B745="",P745=""),"",IF(D745="Venda",-1,1)*((N(J745)*N(K745)+N(L745)*N(M745)+N(N745)*N(O745))-(N(J745)+N(L745)+N(N745))*F745)-N(Q745))</f>
        <v/>
      </c>
      <c r="V745" s="9">
        <f>IF(OR(B745="",P745=""),"",U745/S745)</f>
        <v/>
      </c>
      <c r="W745">
        <f>IF(OR(B745="",P745=""),"",NETWORKDAYS(C745,P745)-1)</f>
        <v/>
      </c>
      <c r="X745">
        <f>IF(B745="","",IF(P745="","Aberto","Fechado"))</f>
        <v/>
      </c>
    </row>
    <row r="746">
      <c r="C746" s="6" t="n"/>
      <c r="E746" s="7" t="n"/>
      <c r="F746" s="8" t="n"/>
      <c r="G746" s="8" t="n"/>
      <c r="H746" s="8" t="n"/>
      <c r="J746" s="7" t="n"/>
      <c r="K746" s="8" t="n"/>
      <c r="L746" s="7" t="n"/>
      <c r="M746" s="8" t="n"/>
      <c r="N746" s="7" t="n"/>
      <c r="O746" s="8" t="n"/>
      <c r="P746" s="6" t="n"/>
      <c r="Q746" s="8" t="n"/>
      <c r="S746" s="8">
        <f>IF(B746="","",E746*F746)</f>
        <v/>
      </c>
      <c r="T746" s="8">
        <f>IF(OR(B746="",N(G746)=0),"",ABS(F746-G746)*E746)</f>
        <v/>
      </c>
      <c r="U746" s="8">
        <f>IF(OR(B746="",P746=""),"",IF(D746="Venda",-1,1)*((N(J746)*N(K746)+N(L746)*N(M746)+N(N746)*N(O746))-(N(J746)+N(L746)+N(N746))*F746)-N(Q746))</f>
        <v/>
      </c>
      <c r="V746" s="9">
        <f>IF(OR(B746="",P746=""),"",U746/S746)</f>
        <v/>
      </c>
      <c r="W746">
        <f>IF(OR(B746="",P746=""),"",NETWORKDAYS(C746,P746)-1)</f>
        <v/>
      </c>
      <c r="X746">
        <f>IF(B746="","",IF(P746="","Aberto","Fechado"))</f>
        <v/>
      </c>
    </row>
    <row r="747">
      <c r="C747" s="6" t="n"/>
      <c r="E747" s="7" t="n"/>
      <c r="F747" s="8" t="n"/>
      <c r="G747" s="8" t="n"/>
      <c r="H747" s="8" t="n"/>
      <c r="J747" s="7" t="n"/>
      <c r="K747" s="8" t="n"/>
      <c r="L747" s="7" t="n"/>
      <c r="M747" s="8" t="n"/>
      <c r="N747" s="7" t="n"/>
      <c r="O747" s="8" t="n"/>
      <c r="P747" s="6" t="n"/>
      <c r="Q747" s="8" t="n"/>
      <c r="S747" s="8">
        <f>IF(B747="","",E747*F747)</f>
        <v/>
      </c>
      <c r="T747" s="8">
        <f>IF(OR(B747="",N(G747)=0),"",ABS(F747-G747)*E747)</f>
        <v/>
      </c>
      <c r="U747" s="8">
        <f>IF(OR(B747="",P747=""),"",IF(D747="Venda",-1,1)*((N(J747)*N(K747)+N(L747)*N(M747)+N(N747)*N(O747))-(N(J747)+N(L747)+N(N747))*F747)-N(Q747))</f>
        <v/>
      </c>
      <c r="V747" s="9">
        <f>IF(OR(B747="",P747=""),"",U747/S747)</f>
        <v/>
      </c>
      <c r="W747">
        <f>IF(OR(B747="",P747=""),"",NETWORKDAYS(C747,P747)-1)</f>
        <v/>
      </c>
      <c r="X747">
        <f>IF(B747="","",IF(P747="","Aberto","Fechado"))</f>
        <v/>
      </c>
    </row>
    <row r="748">
      <c r="C748" s="6" t="n"/>
      <c r="E748" s="7" t="n"/>
      <c r="F748" s="8" t="n"/>
      <c r="G748" s="8" t="n"/>
      <c r="H748" s="8" t="n"/>
      <c r="J748" s="7" t="n"/>
      <c r="K748" s="8" t="n"/>
      <c r="L748" s="7" t="n"/>
      <c r="M748" s="8" t="n"/>
      <c r="N748" s="7" t="n"/>
      <c r="O748" s="8" t="n"/>
      <c r="P748" s="6" t="n"/>
      <c r="Q748" s="8" t="n"/>
      <c r="S748" s="8">
        <f>IF(B748="","",E748*F748)</f>
        <v/>
      </c>
      <c r="T748" s="8">
        <f>IF(OR(B748="",N(G748)=0),"",ABS(F748-G748)*E748)</f>
        <v/>
      </c>
      <c r="U748" s="8">
        <f>IF(OR(B748="",P748=""),"",IF(D748="Venda",-1,1)*((N(J748)*N(K748)+N(L748)*N(M748)+N(N748)*N(O748))-(N(J748)+N(L748)+N(N748))*F748)-N(Q748))</f>
        <v/>
      </c>
      <c r="V748" s="9">
        <f>IF(OR(B748="",P748=""),"",U748/S748)</f>
        <v/>
      </c>
      <c r="W748">
        <f>IF(OR(B748="",P748=""),"",NETWORKDAYS(C748,P748)-1)</f>
        <v/>
      </c>
      <c r="X748">
        <f>IF(B748="","",IF(P748="","Aberto","Fechado"))</f>
        <v/>
      </c>
    </row>
    <row r="749">
      <c r="C749" s="6" t="n"/>
      <c r="E749" s="7" t="n"/>
      <c r="F749" s="8" t="n"/>
      <c r="G749" s="8" t="n"/>
      <c r="H749" s="8" t="n"/>
      <c r="J749" s="7" t="n"/>
      <c r="K749" s="8" t="n"/>
      <c r="L749" s="7" t="n"/>
      <c r="M749" s="8" t="n"/>
      <c r="N749" s="7" t="n"/>
      <c r="O749" s="8" t="n"/>
      <c r="P749" s="6" t="n"/>
      <c r="Q749" s="8" t="n"/>
      <c r="S749" s="8">
        <f>IF(B749="","",E749*F749)</f>
        <v/>
      </c>
      <c r="T749" s="8">
        <f>IF(OR(B749="",N(G749)=0),"",ABS(F749-G749)*E749)</f>
        <v/>
      </c>
      <c r="U749" s="8">
        <f>IF(OR(B749="",P749=""),"",IF(D749="Venda",-1,1)*((N(J749)*N(K749)+N(L749)*N(M749)+N(N749)*N(O749))-(N(J749)+N(L749)+N(N749))*F749)-N(Q749))</f>
        <v/>
      </c>
      <c r="V749" s="9">
        <f>IF(OR(B749="",P749=""),"",U749/S749)</f>
        <v/>
      </c>
      <c r="W749">
        <f>IF(OR(B749="",P749=""),"",NETWORKDAYS(C749,P749)-1)</f>
        <v/>
      </c>
      <c r="X749">
        <f>IF(B749="","",IF(P749="","Aberto","Fechado"))</f>
        <v/>
      </c>
    </row>
    <row r="750">
      <c r="C750" s="6" t="n"/>
      <c r="E750" s="7" t="n"/>
      <c r="F750" s="8" t="n"/>
      <c r="G750" s="8" t="n"/>
      <c r="H750" s="8" t="n"/>
      <c r="J750" s="7" t="n"/>
      <c r="K750" s="8" t="n"/>
      <c r="L750" s="7" t="n"/>
      <c r="M750" s="8" t="n"/>
      <c r="N750" s="7" t="n"/>
      <c r="O750" s="8" t="n"/>
      <c r="P750" s="6" t="n"/>
      <c r="Q750" s="8" t="n"/>
      <c r="S750" s="8">
        <f>IF(B750="","",E750*F750)</f>
        <v/>
      </c>
      <c r="T750" s="8">
        <f>IF(OR(B750="",N(G750)=0),"",ABS(F750-G750)*E750)</f>
        <v/>
      </c>
      <c r="U750" s="8">
        <f>IF(OR(B750="",P750=""),"",IF(D750="Venda",-1,1)*((N(J750)*N(K750)+N(L750)*N(M750)+N(N750)*N(O750))-(N(J750)+N(L750)+N(N750))*F750)-N(Q750))</f>
        <v/>
      </c>
      <c r="V750" s="9">
        <f>IF(OR(B750="",P750=""),"",U750/S750)</f>
        <v/>
      </c>
      <c r="W750">
        <f>IF(OR(B750="",P750=""),"",NETWORKDAYS(C750,P750)-1)</f>
        <v/>
      </c>
      <c r="X750">
        <f>IF(B750="","",IF(P750="","Aberto","Fechado"))</f>
        <v/>
      </c>
    </row>
    <row r="751">
      <c r="C751" s="6" t="n"/>
      <c r="E751" s="7" t="n"/>
      <c r="F751" s="8" t="n"/>
      <c r="G751" s="8" t="n"/>
      <c r="H751" s="8" t="n"/>
      <c r="J751" s="7" t="n"/>
      <c r="K751" s="8" t="n"/>
      <c r="L751" s="7" t="n"/>
      <c r="M751" s="8" t="n"/>
      <c r="N751" s="7" t="n"/>
      <c r="O751" s="8" t="n"/>
      <c r="P751" s="6" t="n"/>
      <c r="Q751" s="8" t="n"/>
      <c r="S751" s="8">
        <f>IF(B751="","",E751*F751)</f>
        <v/>
      </c>
      <c r="T751" s="8">
        <f>IF(OR(B751="",N(G751)=0),"",ABS(F751-G751)*E751)</f>
        <v/>
      </c>
      <c r="U751" s="8">
        <f>IF(OR(B751="",P751=""),"",IF(D751="Venda",-1,1)*((N(J751)*N(K751)+N(L751)*N(M751)+N(N751)*N(O751))-(N(J751)+N(L751)+N(N751))*F751)-N(Q751))</f>
        <v/>
      </c>
      <c r="V751" s="9">
        <f>IF(OR(B751="",P751=""),"",U751/S751)</f>
        <v/>
      </c>
      <c r="W751">
        <f>IF(OR(B751="",P751=""),"",NETWORKDAYS(C751,P751)-1)</f>
        <v/>
      </c>
      <c r="X751">
        <f>IF(B751="","",IF(P751="","Aberto","Fechado"))</f>
        <v/>
      </c>
    </row>
    <row r="752">
      <c r="C752" s="6" t="n"/>
      <c r="E752" s="7" t="n"/>
      <c r="F752" s="8" t="n"/>
      <c r="G752" s="8" t="n"/>
      <c r="H752" s="8" t="n"/>
      <c r="J752" s="7" t="n"/>
      <c r="K752" s="8" t="n"/>
      <c r="L752" s="7" t="n"/>
      <c r="M752" s="8" t="n"/>
      <c r="N752" s="7" t="n"/>
      <c r="O752" s="8" t="n"/>
      <c r="P752" s="6" t="n"/>
      <c r="Q752" s="8" t="n"/>
      <c r="S752" s="8">
        <f>IF(B752="","",E752*F752)</f>
        <v/>
      </c>
      <c r="T752" s="8">
        <f>IF(OR(B752="",N(G752)=0),"",ABS(F752-G752)*E752)</f>
        <v/>
      </c>
      <c r="U752" s="8">
        <f>IF(OR(B752="",P752=""),"",IF(D752="Venda",-1,1)*((N(J752)*N(K752)+N(L752)*N(M752)+N(N752)*N(O752))-(N(J752)+N(L752)+N(N752))*F752)-N(Q752))</f>
        <v/>
      </c>
      <c r="V752" s="9">
        <f>IF(OR(B752="",P752=""),"",U752/S752)</f>
        <v/>
      </c>
      <c r="W752">
        <f>IF(OR(B752="",P752=""),"",NETWORKDAYS(C752,P752)-1)</f>
        <v/>
      </c>
      <c r="X752">
        <f>IF(B752="","",IF(P752="","Aberto","Fechado"))</f>
        <v/>
      </c>
    </row>
    <row r="753">
      <c r="C753" s="6" t="n"/>
      <c r="E753" s="7" t="n"/>
      <c r="F753" s="8" t="n"/>
      <c r="G753" s="8" t="n"/>
      <c r="H753" s="8" t="n"/>
      <c r="J753" s="7" t="n"/>
      <c r="K753" s="8" t="n"/>
      <c r="L753" s="7" t="n"/>
      <c r="M753" s="8" t="n"/>
      <c r="N753" s="7" t="n"/>
      <c r="O753" s="8" t="n"/>
      <c r="P753" s="6" t="n"/>
      <c r="Q753" s="8" t="n"/>
      <c r="S753" s="8">
        <f>IF(B753="","",E753*F753)</f>
        <v/>
      </c>
      <c r="T753" s="8">
        <f>IF(OR(B753="",N(G753)=0),"",ABS(F753-G753)*E753)</f>
        <v/>
      </c>
      <c r="U753" s="8">
        <f>IF(OR(B753="",P753=""),"",IF(D753="Venda",-1,1)*((N(J753)*N(K753)+N(L753)*N(M753)+N(N753)*N(O753))-(N(J753)+N(L753)+N(N753))*F753)-N(Q753))</f>
        <v/>
      </c>
      <c r="V753" s="9">
        <f>IF(OR(B753="",P753=""),"",U753/S753)</f>
        <v/>
      </c>
      <c r="W753">
        <f>IF(OR(B753="",P753=""),"",NETWORKDAYS(C753,P753)-1)</f>
        <v/>
      </c>
      <c r="X753">
        <f>IF(B753="","",IF(P753="","Aberto","Fechado"))</f>
        <v/>
      </c>
    </row>
    <row r="754">
      <c r="C754" s="6" t="n"/>
      <c r="E754" s="7" t="n"/>
      <c r="F754" s="8" t="n"/>
      <c r="G754" s="8" t="n"/>
      <c r="H754" s="8" t="n"/>
      <c r="J754" s="7" t="n"/>
      <c r="K754" s="8" t="n"/>
      <c r="L754" s="7" t="n"/>
      <c r="M754" s="8" t="n"/>
      <c r="N754" s="7" t="n"/>
      <c r="O754" s="8" t="n"/>
      <c r="P754" s="6" t="n"/>
      <c r="Q754" s="8" t="n"/>
      <c r="S754" s="8">
        <f>IF(B754="","",E754*F754)</f>
        <v/>
      </c>
      <c r="T754" s="8">
        <f>IF(OR(B754="",N(G754)=0),"",ABS(F754-G754)*E754)</f>
        <v/>
      </c>
      <c r="U754" s="8">
        <f>IF(OR(B754="",P754=""),"",IF(D754="Venda",-1,1)*((N(J754)*N(K754)+N(L754)*N(M754)+N(N754)*N(O754))-(N(J754)+N(L754)+N(N754))*F754)-N(Q754))</f>
        <v/>
      </c>
      <c r="V754" s="9">
        <f>IF(OR(B754="",P754=""),"",U754/S754)</f>
        <v/>
      </c>
      <c r="W754">
        <f>IF(OR(B754="",P754=""),"",NETWORKDAYS(C754,P754)-1)</f>
        <v/>
      </c>
      <c r="X754">
        <f>IF(B754="","",IF(P754="","Aberto","Fechado"))</f>
        <v/>
      </c>
    </row>
    <row r="755">
      <c r="C755" s="6" t="n"/>
      <c r="E755" s="7" t="n"/>
      <c r="F755" s="8" t="n"/>
      <c r="G755" s="8" t="n"/>
      <c r="H755" s="8" t="n"/>
      <c r="J755" s="7" t="n"/>
      <c r="K755" s="8" t="n"/>
      <c r="L755" s="7" t="n"/>
      <c r="M755" s="8" t="n"/>
      <c r="N755" s="7" t="n"/>
      <c r="O755" s="8" t="n"/>
      <c r="P755" s="6" t="n"/>
      <c r="Q755" s="8" t="n"/>
      <c r="S755" s="8">
        <f>IF(B755="","",E755*F755)</f>
        <v/>
      </c>
      <c r="T755" s="8">
        <f>IF(OR(B755="",N(G755)=0),"",ABS(F755-G755)*E755)</f>
        <v/>
      </c>
      <c r="U755" s="8">
        <f>IF(OR(B755="",P755=""),"",IF(D755="Venda",-1,1)*((N(J755)*N(K755)+N(L755)*N(M755)+N(N755)*N(O755))-(N(J755)+N(L755)+N(N755))*F755)-N(Q755))</f>
        <v/>
      </c>
      <c r="V755" s="9">
        <f>IF(OR(B755="",P755=""),"",U755/S755)</f>
        <v/>
      </c>
      <c r="W755">
        <f>IF(OR(B755="",P755=""),"",NETWORKDAYS(C755,P755)-1)</f>
        <v/>
      </c>
      <c r="X755">
        <f>IF(B755="","",IF(P755="","Aberto","Fechado"))</f>
        <v/>
      </c>
    </row>
    <row r="756">
      <c r="C756" s="6" t="n"/>
      <c r="E756" s="7" t="n"/>
      <c r="F756" s="8" t="n"/>
      <c r="G756" s="8" t="n"/>
      <c r="H756" s="8" t="n"/>
      <c r="J756" s="7" t="n"/>
      <c r="K756" s="8" t="n"/>
      <c r="L756" s="7" t="n"/>
      <c r="M756" s="8" t="n"/>
      <c r="N756" s="7" t="n"/>
      <c r="O756" s="8" t="n"/>
      <c r="P756" s="6" t="n"/>
      <c r="Q756" s="8" t="n"/>
      <c r="S756" s="8">
        <f>IF(B756="","",E756*F756)</f>
        <v/>
      </c>
      <c r="T756" s="8">
        <f>IF(OR(B756="",N(G756)=0),"",ABS(F756-G756)*E756)</f>
        <v/>
      </c>
      <c r="U756" s="8">
        <f>IF(OR(B756="",P756=""),"",IF(D756="Venda",-1,1)*((N(J756)*N(K756)+N(L756)*N(M756)+N(N756)*N(O756))-(N(J756)+N(L756)+N(N756))*F756)-N(Q756))</f>
        <v/>
      </c>
      <c r="V756" s="9">
        <f>IF(OR(B756="",P756=""),"",U756/S756)</f>
        <v/>
      </c>
      <c r="W756">
        <f>IF(OR(B756="",P756=""),"",NETWORKDAYS(C756,P756)-1)</f>
        <v/>
      </c>
      <c r="X756">
        <f>IF(B756="","",IF(P756="","Aberto","Fechado"))</f>
        <v/>
      </c>
    </row>
    <row r="757">
      <c r="C757" s="6" t="n"/>
      <c r="E757" s="7" t="n"/>
      <c r="F757" s="8" t="n"/>
      <c r="G757" s="8" t="n"/>
      <c r="H757" s="8" t="n"/>
      <c r="J757" s="7" t="n"/>
      <c r="K757" s="8" t="n"/>
      <c r="L757" s="7" t="n"/>
      <c r="M757" s="8" t="n"/>
      <c r="N757" s="7" t="n"/>
      <c r="O757" s="8" t="n"/>
      <c r="P757" s="6" t="n"/>
      <c r="Q757" s="8" t="n"/>
      <c r="S757" s="8">
        <f>IF(B757="","",E757*F757)</f>
        <v/>
      </c>
      <c r="T757" s="8">
        <f>IF(OR(B757="",N(G757)=0),"",ABS(F757-G757)*E757)</f>
        <v/>
      </c>
      <c r="U757" s="8">
        <f>IF(OR(B757="",P757=""),"",IF(D757="Venda",-1,1)*((N(J757)*N(K757)+N(L757)*N(M757)+N(N757)*N(O757))-(N(J757)+N(L757)+N(N757))*F757)-N(Q757))</f>
        <v/>
      </c>
      <c r="V757" s="9">
        <f>IF(OR(B757="",P757=""),"",U757/S757)</f>
        <v/>
      </c>
      <c r="W757">
        <f>IF(OR(B757="",P757=""),"",NETWORKDAYS(C757,P757)-1)</f>
        <v/>
      </c>
      <c r="X757">
        <f>IF(B757="","",IF(P757="","Aberto","Fechado"))</f>
        <v/>
      </c>
    </row>
    <row r="758">
      <c r="C758" s="6" t="n"/>
      <c r="E758" s="7" t="n"/>
      <c r="F758" s="8" t="n"/>
      <c r="G758" s="8" t="n"/>
      <c r="H758" s="8" t="n"/>
      <c r="J758" s="7" t="n"/>
      <c r="K758" s="8" t="n"/>
      <c r="L758" s="7" t="n"/>
      <c r="M758" s="8" t="n"/>
      <c r="N758" s="7" t="n"/>
      <c r="O758" s="8" t="n"/>
      <c r="P758" s="6" t="n"/>
      <c r="Q758" s="8" t="n"/>
      <c r="S758" s="8">
        <f>IF(B758="","",E758*F758)</f>
        <v/>
      </c>
      <c r="T758" s="8">
        <f>IF(OR(B758="",N(G758)=0),"",ABS(F758-G758)*E758)</f>
        <v/>
      </c>
      <c r="U758" s="8">
        <f>IF(OR(B758="",P758=""),"",IF(D758="Venda",-1,1)*((N(J758)*N(K758)+N(L758)*N(M758)+N(N758)*N(O758))-(N(J758)+N(L758)+N(N758))*F758)-N(Q758))</f>
        <v/>
      </c>
      <c r="V758" s="9">
        <f>IF(OR(B758="",P758=""),"",U758/S758)</f>
        <v/>
      </c>
      <c r="W758">
        <f>IF(OR(B758="",P758=""),"",NETWORKDAYS(C758,P758)-1)</f>
        <v/>
      </c>
      <c r="X758">
        <f>IF(B758="","",IF(P758="","Aberto","Fechado"))</f>
        <v/>
      </c>
    </row>
    <row r="759">
      <c r="C759" s="6" t="n"/>
      <c r="E759" s="7" t="n"/>
      <c r="F759" s="8" t="n"/>
      <c r="G759" s="8" t="n"/>
      <c r="H759" s="8" t="n"/>
      <c r="J759" s="7" t="n"/>
      <c r="K759" s="8" t="n"/>
      <c r="L759" s="7" t="n"/>
      <c r="M759" s="8" t="n"/>
      <c r="N759" s="7" t="n"/>
      <c r="O759" s="8" t="n"/>
      <c r="P759" s="6" t="n"/>
      <c r="Q759" s="8" t="n"/>
      <c r="S759" s="8">
        <f>IF(B759="","",E759*F759)</f>
        <v/>
      </c>
      <c r="T759" s="8">
        <f>IF(OR(B759="",N(G759)=0),"",ABS(F759-G759)*E759)</f>
        <v/>
      </c>
      <c r="U759" s="8">
        <f>IF(OR(B759="",P759=""),"",IF(D759="Venda",-1,1)*((N(J759)*N(K759)+N(L759)*N(M759)+N(N759)*N(O759))-(N(J759)+N(L759)+N(N759))*F759)-N(Q759))</f>
        <v/>
      </c>
      <c r="V759" s="9">
        <f>IF(OR(B759="",P759=""),"",U759/S759)</f>
        <v/>
      </c>
      <c r="W759">
        <f>IF(OR(B759="",P759=""),"",NETWORKDAYS(C759,P759)-1)</f>
        <v/>
      </c>
      <c r="X759">
        <f>IF(B759="","",IF(P759="","Aberto","Fechado"))</f>
        <v/>
      </c>
    </row>
    <row r="760">
      <c r="C760" s="6" t="n"/>
      <c r="E760" s="7" t="n"/>
      <c r="F760" s="8" t="n"/>
      <c r="G760" s="8" t="n"/>
      <c r="H760" s="8" t="n"/>
      <c r="J760" s="7" t="n"/>
      <c r="K760" s="8" t="n"/>
      <c r="L760" s="7" t="n"/>
      <c r="M760" s="8" t="n"/>
      <c r="N760" s="7" t="n"/>
      <c r="O760" s="8" t="n"/>
      <c r="P760" s="6" t="n"/>
      <c r="Q760" s="8" t="n"/>
      <c r="S760" s="8">
        <f>IF(B760="","",E760*F760)</f>
        <v/>
      </c>
      <c r="T760" s="8">
        <f>IF(OR(B760="",N(G760)=0),"",ABS(F760-G760)*E760)</f>
        <v/>
      </c>
      <c r="U760" s="8">
        <f>IF(OR(B760="",P760=""),"",IF(D760="Venda",-1,1)*((N(J760)*N(K760)+N(L760)*N(M760)+N(N760)*N(O760))-(N(J760)+N(L760)+N(N760))*F760)-N(Q760))</f>
        <v/>
      </c>
      <c r="V760" s="9">
        <f>IF(OR(B760="",P760=""),"",U760/S760)</f>
        <v/>
      </c>
      <c r="W760">
        <f>IF(OR(B760="",P760=""),"",NETWORKDAYS(C760,P760)-1)</f>
        <v/>
      </c>
      <c r="X760">
        <f>IF(B760="","",IF(P760="","Aberto","Fechado"))</f>
        <v/>
      </c>
    </row>
    <row r="761">
      <c r="C761" s="6" t="n"/>
      <c r="E761" s="7" t="n"/>
      <c r="F761" s="8" t="n"/>
      <c r="G761" s="8" t="n"/>
      <c r="H761" s="8" t="n"/>
      <c r="J761" s="7" t="n"/>
      <c r="K761" s="8" t="n"/>
      <c r="L761" s="7" t="n"/>
      <c r="M761" s="8" t="n"/>
      <c r="N761" s="7" t="n"/>
      <c r="O761" s="8" t="n"/>
      <c r="P761" s="6" t="n"/>
      <c r="Q761" s="8" t="n"/>
      <c r="S761" s="8">
        <f>IF(B761="","",E761*F761)</f>
        <v/>
      </c>
      <c r="T761" s="8">
        <f>IF(OR(B761="",N(G761)=0),"",ABS(F761-G761)*E761)</f>
        <v/>
      </c>
      <c r="U761" s="8">
        <f>IF(OR(B761="",P761=""),"",IF(D761="Venda",-1,1)*((N(J761)*N(K761)+N(L761)*N(M761)+N(N761)*N(O761))-(N(J761)+N(L761)+N(N761))*F761)-N(Q761))</f>
        <v/>
      </c>
      <c r="V761" s="9">
        <f>IF(OR(B761="",P761=""),"",U761/S761)</f>
        <v/>
      </c>
      <c r="W761">
        <f>IF(OR(B761="",P761=""),"",NETWORKDAYS(C761,P761)-1)</f>
        <v/>
      </c>
      <c r="X761">
        <f>IF(B761="","",IF(P761="","Aberto","Fechado"))</f>
        <v/>
      </c>
    </row>
    <row r="762">
      <c r="C762" s="6" t="n"/>
      <c r="E762" s="7" t="n"/>
      <c r="F762" s="8" t="n"/>
      <c r="G762" s="8" t="n"/>
      <c r="H762" s="8" t="n"/>
      <c r="J762" s="7" t="n"/>
      <c r="K762" s="8" t="n"/>
      <c r="L762" s="7" t="n"/>
      <c r="M762" s="8" t="n"/>
      <c r="N762" s="7" t="n"/>
      <c r="O762" s="8" t="n"/>
      <c r="P762" s="6" t="n"/>
      <c r="Q762" s="8" t="n"/>
      <c r="S762" s="8">
        <f>IF(B762="","",E762*F762)</f>
        <v/>
      </c>
      <c r="T762" s="8">
        <f>IF(OR(B762="",N(G762)=0),"",ABS(F762-G762)*E762)</f>
        <v/>
      </c>
      <c r="U762" s="8">
        <f>IF(OR(B762="",P762=""),"",IF(D762="Venda",-1,1)*((N(J762)*N(K762)+N(L762)*N(M762)+N(N762)*N(O762))-(N(J762)+N(L762)+N(N762))*F762)-N(Q762))</f>
        <v/>
      </c>
      <c r="V762" s="9">
        <f>IF(OR(B762="",P762=""),"",U762/S762)</f>
        <v/>
      </c>
      <c r="W762">
        <f>IF(OR(B762="",P762=""),"",NETWORKDAYS(C762,P762)-1)</f>
        <v/>
      </c>
      <c r="X762">
        <f>IF(B762="","",IF(P762="","Aberto","Fechado"))</f>
        <v/>
      </c>
    </row>
    <row r="763">
      <c r="C763" s="6" t="n"/>
      <c r="E763" s="7" t="n"/>
      <c r="F763" s="8" t="n"/>
      <c r="G763" s="8" t="n"/>
      <c r="H763" s="8" t="n"/>
      <c r="J763" s="7" t="n"/>
      <c r="K763" s="8" t="n"/>
      <c r="L763" s="7" t="n"/>
      <c r="M763" s="8" t="n"/>
      <c r="N763" s="7" t="n"/>
      <c r="O763" s="8" t="n"/>
      <c r="P763" s="6" t="n"/>
      <c r="Q763" s="8" t="n"/>
      <c r="S763" s="8">
        <f>IF(B763="","",E763*F763)</f>
        <v/>
      </c>
      <c r="T763" s="8">
        <f>IF(OR(B763="",N(G763)=0),"",ABS(F763-G763)*E763)</f>
        <v/>
      </c>
      <c r="U763" s="8">
        <f>IF(OR(B763="",P763=""),"",IF(D763="Venda",-1,1)*((N(J763)*N(K763)+N(L763)*N(M763)+N(N763)*N(O763))-(N(J763)+N(L763)+N(N763))*F763)-N(Q763))</f>
        <v/>
      </c>
      <c r="V763" s="9">
        <f>IF(OR(B763="",P763=""),"",U763/S763)</f>
        <v/>
      </c>
      <c r="W763">
        <f>IF(OR(B763="",P763=""),"",NETWORKDAYS(C763,P763)-1)</f>
        <v/>
      </c>
      <c r="X763">
        <f>IF(B763="","",IF(P763="","Aberto","Fechado"))</f>
        <v/>
      </c>
    </row>
    <row r="764">
      <c r="C764" s="6" t="n"/>
      <c r="E764" s="7" t="n"/>
      <c r="F764" s="8" t="n"/>
      <c r="G764" s="8" t="n"/>
      <c r="H764" s="8" t="n"/>
      <c r="J764" s="7" t="n"/>
      <c r="K764" s="8" t="n"/>
      <c r="L764" s="7" t="n"/>
      <c r="M764" s="8" t="n"/>
      <c r="N764" s="7" t="n"/>
      <c r="O764" s="8" t="n"/>
      <c r="P764" s="6" t="n"/>
      <c r="Q764" s="8" t="n"/>
      <c r="S764" s="8">
        <f>IF(B764="","",E764*F764)</f>
        <v/>
      </c>
      <c r="T764" s="8">
        <f>IF(OR(B764="",N(G764)=0),"",ABS(F764-G764)*E764)</f>
        <v/>
      </c>
      <c r="U764" s="8">
        <f>IF(OR(B764="",P764=""),"",IF(D764="Venda",-1,1)*((N(J764)*N(K764)+N(L764)*N(M764)+N(N764)*N(O764))-(N(J764)+N(L764)+N(N764))*F764)-N(Q764))</f>
        <v/>
      </c>
      <c r="V764" s="9">
        <f>IF(OR(B764="",P764=""),"",U764/S764)</f>
        <v/>
      </c>
      <c r="W764">
        <f>IF(OR(B764="",P764=""),"",NETWORKDAYS(C764,P764)-1)</f>
        <v/>
      </c>
      <c r="X764">
        <f>IF(B764="","",IF(P764="","Aberto","Fechado"))</f>
        <v/>
      </c>
    </row>
    <row r="765">
      <c r="C765" s="6" t="n"/>
      <c r="E765" s="7" t="n"/>
      <c r="F765" s="8" t="n"/>
      <c r="G765" s="8" t="n"/>
      <c r="H765" s="8" t="n"/>
      <c r="J765" s="7" t="n"/>
      <c r="K765" s="8" t="n"/>
      <c r="L765" s="7" t="n"/>
      <c r="M765" s="8" t="n"/>
      <c r="N765" s="7" t="n"/>
      <c r="O765" s="8" t="n"/>
      <c r="P765" s="6" t="n"/>
      <c r="Q765" s="8" t="n"/>
      <c r="S765" s="8">
        <f>IF(B765="","",E765*F765)</f>
        <v/>
      </c>
      <c r="T765" s="8">
        <f>IF(OR(B765="",N(G765)=0),"",ABS(F765-G765)*E765)</f>
        <v/>
      </c>
      <c r="U765" s="8">
        <f>IF(OR(B765="",P765=""),"",IF(D765="Venda",-1,1)*((N(J765)*N(K765)+N(L765)*N(M765)+N(N765)*N(O765))-(N(J765)+N(L765)+N(N765))*F765)-N(Q765))</f>
        <v/>
      </c>
      <c r="V765" s="9">
        <f>IF(OR(B765="",P765=""),"",U765/S765)</f>
        <v/>
      </c>
      <c r="W765">
        <f>IF(OR(B765="",P765=""),"",NETWORKDAYS(C765,P765)-1)</f>
        <v/>
      </c>
      <c r="X765">
        <f>IF(B765="","",IF(P765="","Aberto","Fechado"))</f>
        <v/>
      </c>
    </row>
    <row r="766">
      <c r="C766" s="6" t="n"/>
      <c r="E766" s="7" t="n"/>
      <c r="F766" s="8" t="n"/>
      <c r="G766" s="8" t="n"/>
      <c r="H766" s="8" t="n"/>
      <c r="J766" s="7" t="n"/>
      <c r="K766" s="8" t="n"/>
      <c r="L766" s="7" t="n"/>
      <c r="M766" s="8" t="n"/>
      <c r="N766" s="7" t="n"/>
      <c r="O766" s="8" t="n"/>
      <c r="P766" s="6" t="n"/>
      <c r="Q766" s="8" t="n"/>
      <c r="S766" s="8">
        <f>IF(B766="","",E766*F766)</f>
        <v/>
      </c>
      <c r="T766" s="8">
        <f>IF(OR(B766="",N(G766)=0),"",ABS(F766-G766)*E766)</f>
        <v/>
      </c>
      <c r="U766" s="8">
        <f>IF(OR(B766="",P766=""),"",IF(D766="Venda",-1,1)*((N(J766)*N(K766)+N(L766)*N(M766)+N(N766)*N(O766))-(N(J766)+N(L766)+N(N766))*F766)-N(Q766))</f>
        <v/>
      </c>
      <c r="V766" s="9">
        <f>IF(OR(B766="",P766=""),"",U766/S766)</f>
        <v/>
      </c>
      <c r="W766">
        <f>IF(OR(B766="",P766=""),"",NETWORKDAYS(C766,P766)-1)</f>
        <v/>
      </c>
      <c r="X766">
        <f>IF(B766="","",IF(P766="","Aberto","Fechado"))</f>
        <v/>
      </c>
    </row>
    <row r="767">
      <c r="C767" s="6" t="n"/>
      <c r="E767" s="7" t="n"/>
      <c r="F767" s="8" t="n"/>
      <c r="G767" s="8" t="n"/>
      <c r="H767" s="8" t="n"/>
      <c r="J767" s="7" t="n"/>
      <c r="K767" s="8" t="n"/>
      <c r="L767" s="7" t="n"/>
      <c r="M767" s="8" t="n"/>
      <c r="N767" s="7" t="n"/>
      <c r="O767" s="8" t="n"/>
      <c r="P767" s="6" t="n"/>
      <c r="Q767" s="8" t="n"/>
      <c r="S767" s="8">
        <f>IF(B767="","",E767*F767)</f>
        <v/>
      </c>
      <c r="T767" s="8">
        <f>IF(OR(B767="",N(G767)=0),"",ABS(F767-G767)*E767)</f>
        <v/>
      </c>
      <c r="U767" s="8">
        <f>IF(OR(B767="",P767=""),"",IF(D767="Venda",-1,1)*((N(J767)*N(K767)+N(L767)*N(M767)+N(N767)*N(O767))-(N(J767)+N(L767)+N(N767))*F767)-N(Q767))</f>
        <v/>
      </c>
      <c r="V767" s="9">
        <f>IF(OR(B767="",P767=""),"",U767/S767)</f>
        <v/>
      </c>
      <c r="W767">
        <f>IF(OR(B767="",P767=""),"",NETWORKDAYS(C767,P767)-1)</f>
        <v/>
      </c>
      <c r="X767">
        <f>IF(B767="","",IF(P767="","Aberto","Fechado"))</f>
        <v/>
      </c>
    </row>
    <row r="768">
      <c r="C768" s="6" t="n"/>
      <c r="E768" s="7" t="n"/>
      <c r="F768" s="8" t="n"/>
      <c r="G768" s="8" t="n"/>
      <c r="H768" s="8" t="n"/>
      <c r="J768" s="7" t="n"/>
      <c r="K768" s="8" t="n"/>
      <c r="L768" s="7" t="n"/>
      <c r="M768" s="8" t="n"/>
      <c r="N768" s="7" t="n"/>
      <c r="O768" s="8" t="n"/>
      <c r="P768" s="6" t="n"/>
      <c r="Q768" s="8" t="n"/>
      <c r="S768" s="8">
        <f>IF(B768="","",E768*F768)</f>
        <v/>
      </c>
      <c r="T768" s="8">
        <f>IF(OR(B768="",N(G768)=0),"",ABS(F768-G768)*E768)</f>
        <v/>
      </c>
      <c r="U768" s="8">
        <f>IF(OR(B768="",P768=""),"",IF(D768="Venda",-1,1)*((N(J768)*N(K768)+N(L768)*N(M768)+N(N768)*N(O768))-(N(J768)+N(L768)+N(N768))*F768)-N(Q768))</f>
        <v/>
      </c>
      <c r="V768" s="9">
        <f>IF(OR(B768="",P768=""),"",U768/S768)</f>
        <v/>
      </c>
      <c r="W768">
        <f>IF(OR(B768="",P768=""),"",NETWORKDAYS(C768,P768)-1)</f>
        <v/>
      </c>
      <c r="X768">
        <f>IF(B768="","",IF(P768="","Aberto","Fechado"))</f>
        <v/>
      </c>
    </row>
    <row r="769">
      <c r="C769" s="6" t="n"/>
      <c r="E769" s="7" t="n"/>
      <c r="F769" s="8" t="n"/>
      <c r="G769" s="8" t="n"/>
      <c r="H769" s="8" t="n"/>
      <c r="J769" s="7" t="n"/>
      <c r="K769" s="8" t="n"/>
      <c r="L769" s="7" t="n"/>
      <c r="M769" s="8" t="n"/>
      <c r="N769" s="7" t="n"/>
      <c r="O769" s="8" t="n"/>
      <c r="P769" s="6" t="n"/>
      <c r="Q769" s="8" t="n"/>
      <c r="S769" s="8">
        <f>IF(B769="","",E769*F769)</f>
        <v/>
      </c>
      <c r="T769" s="8">
        <f>IF(OR(B769="",N(G769)=0),"",ABS(F769-G769)*E769)</f>
        <v/>
      </c>
      <c r="U769" s="8">
        <f>IF(OR(B769="",P769=""),"",IF(D769="Venda",-1,1)*((N(J769)*N(K769)+N(L769)*N(M769)+N(N769)*N(O769))-(N(J769)+N(L769)+N(N769))*F769)-N(Q769))</f>
        <v/>
      </c>
      <c r="V769" s="9">
        <f>IF(OR(B769="",P769=""),"",U769/S769)</f>
        <v/>
      </c>
      <c r="W769">
        <f>IF(OR(B769="",P769=""),"",NETWORKDAYS(C769,P769)-1)</f>
        <v/>
      </c>
      <c r="X769">
        <f>IF(B769="","",IF(P769="","Aberto","Fechado"))</f>
        <v/>
      </c>
    </row>
    <row r="770">
      <c r="C770" s="6" t="n"/>
      <c r="E770" s="7" t="n"/>
      <c r="F770" s="8" t="n"/>
      <c r="G770" s="8" t="n"/>
      <c r="H770" s="8" t="n"/>
      <c r="J770" s="7" t="n"/>
      <c r="K770" s="8" t="n"/>
      <c r="L770" s="7" t="n"/>
      <c r="M770" s="8" t="n"/>
      <c r="N770" s="7" t="n"/>
      <c r="O770" s="8" t="n"/>
      <c r="P770" s="6" t="n"/>
      <c r="Q770" s="8" t="n"/>
      <c r="S770" s="8">
        <f>IF(B770="","",E770*F770)</f>
        <v/>
      </c>
      <c r="T770" s="8">
        <f>IF(OR(B770="",N(G770)=0),"",ABS(F770-G770)*E770)</f>
        <v/>
      </c>
      <c r="U770" s="8">
        <f>IF(OR(B770="",P770=""),"",IF(D770="Venda",-1,1)*((N(J770)*N(K770)+N(L770)*N(M770)+N(N770)*N(O770))-(N(J770)+N(L770)+N(N770))*F770)-N(Q770))</f>
        <v/>
      </c>
      <c r="V770" s="9">
        <f>IF(OR(B770="",P770=""),"",U770/S770)</f>
        <v/>
      </c>
      <c r="W770">
        <f>IF(OR(B770="",P770=""),"",NETWORKDAYS(C770,P770)-1)</f>
        <v/>
      </c>
      <c r="X770">
        <f>IF(B770="","",IF(P770="","Aberto","Fechado"))</f>
        <v/>
      </c>
    </row>
    <row r="771">
      <c r="C771" s="6" t="n"/>
      <c r="E771" s="7" t="n"/>
      <c r="F771" s="8" t="n"/>
      <c r="G771" s="8" t="n"/>
      <c r="H771" s="8" t="n"/>
      <c r="J771" s="7" t="n"/>
      <c r="K771" s="8" t="n"/>
      <c r="L771" s="7" t="n"/>
      <c r="M771" s="8" t="n"/>
      <c r="N771" s="7" t="n"/>
      <c r="O771" s="8" t="n"/>
      <c r="P771" s="6" t="n"/>
      <c r="Q771" s="8" t="n"/>
      <c r="S771" s="8">
        <f>IF(B771="","",E771*F771)</f>
        <v/>
      </c>
      <c r="T771" s="8">
        <f>IF(OR(B771="",N(G771)=0),"",ABS(F771-G771)*E771)</f>
        <v/>
      </c>
      <c r="U771" s="8">
        <f>IF(OR(B771="",P771=""),"",IF(D771="Venda",-1,1)*((N(J771)*N(K771)+N(L771)*N(M771)+N(N771)*N(O771))-(N(J771)+N(L771)+N(N771))*F771)-N(Q771))</f>
        <v/>
      </c>
      <c r="V771" s="9">
        <f>IF(OR(B771="",P771=""),"",U771/S771)</f>
        <v/>
      </c>
      <c r="W771">
        <f>IF(OR(B771="",P771=""),"",NETWORKDAYS(C771,P771)-1)</f>
        <v/>
      </c>
      <c r="X771">
        <f>IF(B771="","",IF(P771="","Aberto","Fechado"))</f>
        <v/>
      </c>
    </row>
    <row r="772">
      <c r="C772" s="6" t="n"/>
      <c r="E772" s="7" t="n"/>
      <c r="F772" s="8" t="n"/>
      <c r="G772" s="8" t="n"/>
      <c r="H772" s="8" t="n"/>
      <c r="J772" s="7" t="n"/>
      <c r="K772" s="8" t="n"/>
      <c r="L772" s="7" t="n"/>
      <c r="M772" s="8" t="n"/>
      <c r="N772" s="7" t="n"/>
      <c r="O772" s="8" t="n"/>
      <c r="P772" s="6" t="n"/>
      <c r="Q772" s="8" t="n"/>
      <c r="S772" s="8">
        <f>IF(B772="","",E772*F772)</f>
        <v/>
      </c>
      <c r="T772" s="8">
        <f>IF(OR(B772="",N(G772)=0),"",ABS(F772-G772)*E772)</f>
        <v/>
      </c>
      <c r="U772" s="8">
        <f>IF(OR(B772="",P772=""),"",IF(D772="Venda",-1,1)*((N(J772)*N(K772)+N(L772)*N(M772)+N(N772)*N(O772))-(N(J772)+N(L772)+N(N772))*F772)-N(Q772))</f>
        <v/>
      </c>
      <c r="V772" s="9">
        <f>IF(OR(B772="",P772=""),"",U772/S772)</f>
        <v/>
      </c>
      <c r="W772">
        <f>IF(OR(B772="",P772=""),"",NETWORKDAYS(C772,P772)-1)</f>
        <v/>
      </c>
      <c r="X772">
        <f>IF(B772="","",IF(P772="","Aberto","Fechado"))</f>
        <v/>
      </c>
    </row>
    <row r="773">
      <c r="C773" s="6" t="n"/>
      <c r="E773" s="7" t="n"/>
      <c r="F773" s="8" t="n"/>
      <c r="G773" s="8" t="n"/>
      <c r="H773" s="8" t="n"/>
      <c r="J773" s="7" t="n"/>
      <c r="K773" s="8" t="n"/>
      <c r="L773" s="7" t="n"/>
      <c r="M773" s="8" t="n"/>
      <c r="N773" s="7" t="n"/>
      <c r="O773" s="8" t="n"/>
      <c r="P773" s="6" t="n"/>
      <c r="Q773" s="8" t="n"/>
      <c r="S773" s="8">
        <f>IF(B773="","",E773*F773)</f>
        <v/>
      </c>
      <c r="T773" s="8">
        <f>IF(OR(B773="",N(G773)=0),"",ABS(F773-G773)*E773)</f>
        <v/>
      </c>
      <c r="U773" s="8">
        <f>IF(OR(B773="",P773=""),"",IF(D773="Venda",-1,1)*((N(J773)*N(K773)+N(L773)*N(M773)+N(N773)*N(O773))-(N(J773)+N(L773)+N(N773))*F773)-N(Q773))</f>
        <v/>
      </c>
      <c r="V773" s="9">
        <f>IF(OR(B773="",P773=""),"",U773/S773)</f>
        <v/>
      </c>
      <c r="W773">
        <f>IF(OR(B773="",P773=""),"",NETWORKDAYS(C773,P773)-1)</f>
        <v/>
      </c>
      <c r="X773">
        <f>IF(B773="","",IF(P773="","Aberto","Fechado"))</f>
        <v/>
      </c>
    </row>
    <row r="774">
      <c r="C774" s="6" t="n"/>
      <c r="E774" s="7" t="n"/>
      <c r="F774" s="8" t="n"/>
      <c r="G774" s="8" t="n"/>
      <c r="H774" s="8" t="n"/>
      <c r="J774" s="7" t="n"/>
      <c r="K774" s="8" t="n"/>
      <c r="L774" s="7" t="n"/>
      <c r="M774" s="8" t="n"/>
      <c r="N774" s="7" t="n"/>
      <c r="O774" s="8" t="n"/>
      <c r="P774" s="6" t="n"/>
      <c r="Q774" s="8" t="n"/>
      <c r="S774" s="8">
        <f>IF(B774="","",E774*F774)</f>
        <v/>
      </c>
      <c r="T774" s="8">
        <f>IF(OR(B774="",N(G774)=0),"",ABS(F774-G774)*E774)</f>
        <v/>
      </c>
      <c r="U774" s="8">
        <f>IF(OR(B774="",P774=""),"",IF(D774="Venda",-1,1)*((N(J774)*N(K774)+N(L774)*N(M774)+N(N774)*N(O774))-(N(J774)+N(L774)+N(N774))*F774)-N(Q774))</f>
        <v/>
      </c>
      <c r="V774" s="9">
        <f>IF(OR(B774="",P774=""),"",U774/S774)</f>
        <v/>
      </c>
      <c r="W774">
        <f>IF(OR(B774="",P774=""),"",NETWORKDAYS(C774,P774)-1)</f>
        <v/>
      </c>
      <c r="X774">
        <f>IF(B774="","",IF(P774="","Aberto","Fechado"))</f>
        <v/>
      </c>
    </row>
    <row r="775">
      <c r="C775" s="6" t="n"/>
      <c r="E775" s="7" t="n"/>
      <c r="F775" s="8" t="n"/>
      <c r="G775" s="8" t="n"/>
      <c r="H775" s="8" t="n"/>
      <c r="J775" s="7" t="n"/>
      <c r="K775" s="8" t="n"/>
      <c r="L775" s="7" t="n"/>
      <c r="M775" s="8" t="n"/>
      <c r="N775" s="7" t="n"/>
      <c r="O775" s="8" t="n"/>
      <c r="P775" s="6" t="n"/>
      <c r="Q775" s="8" t="n"/>
      <c r="S775" s="8">
        <f>IF(B775="","",E775*F775)</f>
        <v/>
      </c>
      <c r="T775" s="8">
        <f>IF(OR(B775="",N(G775)=0),"",ABS(F775-G775)*E775)</f>
        <v/>
      </c>
      <c r="U775" s="8">
        <f>IF(OR(B775="",P775=""),"",IF(D775="Venda",-1,1)*((N(J775)*N(K775)+N(L775)*N(M775)+N(N775)*N(O775))-(N(J775)+N(L775)+N(N775))*F775)-N(Q775))</f>
        <v/>
      </c>
      <c r="V775" s="9">
        <f>IF(OR(B775="",P775=""),"",U775/S775)</f>
        <v/>
      </c>
      <c r="W775">
        <f>IF(OR(B775="",P775=""),"",NETWORKDAYS(C775,P775)-1)</f>
        <v/>
      </c>
      <c r="X775">
        <f>IF(B775="","",IF(P775="","Aberto","Fechado"))</f>
        <v/>
      </c>
    </row>
    <row r="776">
      <c r="C776" s="6" t="n"/>
      <c r="E776" s="7" t="n"/>
      <c r="F776" s="8" t="n"/>
      <c r="G776" s="8" t="n"/>
      <c r="H776" s="8" t="n"/>
      <c r="J776" s="7" t="n"/>
      <c r="K776" s="8" t="n"/>
      <c r="L776" s="7" t="n"/>
      <c r="M776" s="8" t="n"/>
      <c r="N776" s="7" t="n"/>
      <c r="O776" s="8" t="n"/>
      <c r="P776" s="6" t="n"/>
      <c r="Q776" s="8" t="n"/>
      <c r="S776" s="8">
        <f>IF(B776="","",E776*F776)</f>
        <v/>
      </c>
      <c r="T776" s="8">
        <f>IF(OR(B776="",N(G776)=0),"",ABS(F776-G776)*E776)</f>
        <v/>
      </c>
      <c r="U776" s="8">
        <f>IF(OR(B776="",P776=""),"",IF(D776="Venda",-1,1)*((N(J776)*N(K776)+N(L776)*N(M776)+N(N776)*N(O776))-(N(J776)+N(L776)+N(N776))*F776)-N(Q776))</f>
        <v/>
      </c>
      <c r="V776" s="9">
        <f>IF(OR(B776="",P776=""),"",U776/S776)</f>
        <v/>
      </c>
      <c r="W776">
        <f>IF(OR(B776="",P776=""),"",NETWORKDAYS(C776,P776)-1)</f>
        <v/>
      </c>
      <c r="X776">
        <f>IF(B776="","",IF(P776="","Aberto","Fechado"))</f>
        <v/>
      </c>
    </row>
    <row r="777">
      <c r="C777" s="6" t="n"/>
      <c r="E777" s="7" t="n"/>
      <c r="F777" s="8" t="n"/>
      <c r="G777" s="8" t="n"/>
      <c r="H777" s="8" t="n"/>
      <c r="J777" s="7" t="n"/>
      <c r="K777" s="8" t="n"/>
      <c r="L777" s="7" t="n"/>
      <c r="M777" s="8" t="n"/>
      <c r="N777" s="7" t="n"/>
      <c r="O777" s="8" t="n"/>
      <c r="P777" s="6" t="n"/>
      <c r="Q777" s="8" t="n"/>
      <c r="S777" s="8">
        <f>IF(B777="","",E777*F777)</f>
        <v/>
      </c>
      <c r="T777" s="8">
        <f>IF(OR(B777="",N(G777)=0),"",ABS(F777-G777)*E777)</f>
        <v/>
      </c>
      <c r="U777" s="8">
        <f>IF(OR(B777="",P777=""),"",IF(D777="Venda",-1,1)*((N(J777)*N(K777)+N(L777)*N(M777)+N(N777)*N(O777))-(N(J777)+N(L777)+N(N777))*F777)-N(Q777))</f>
        <v/>
      </c>
      <c r="V777" s="9">
        <f>IF(OR(B777="",P777=""),"",U777/S777)</f>
        <v/>
      </c>
      <c r="W777">
        <f>IF(OR(B777="",P777=""),"",NETWORKDAYS(C777,P777)-1)</f>
        <v/>
      </c>
      <c r="X777">
        <f>IF(B777="","",IF(P777="","Aberto","Fechado"))</f>
        <v/>
      </c>
    </row>
    <row r="778">
      <c r="C778" s="6" t="n"/>
      <c r="E778" s="7" t="n"/>
      <c r="F778" s="8" t="n"/>
      <c r="G778" s="8" t="n"/>
      <c r="H778" s="8" t="n"/>
      <c r="J778" s="7" t="n"/>
      <c r="K778" s="8" t="n"/>
      <c r="L778" s="7" t="n"/>
      <c r="M778" s="8" t="n"/>
      <c r="N778" s="7" t="n"/>
      <c r="O778" s="8" t="n"/>
      <c r="P778" s="6" t="n"/>
      <c r="Q778" s="8" t="n"/>
      <c r="S778" s="8">
        <f>IF(B778="","",E778*F778)</f>
        <v/>
      </c>
      <c r="T778" s="8">
        <f>IF(OR(B778="",N(G778)=0),"",ABS(F778-G778)*E778)</f>
        <v/>
      </c>
      <c r="U778" s="8">
        <f>IF(OR(B778="",P778=""),"",IF(D778="Venda",-1,1)*((N(J778)*N(K778)+N(L778)*N(M778)+N(N778)*N(O778))-(N(J778)+N(L778)+N(N778))*F778)-N(Q778))</f>
        <v/>
      </c>
      <c r="V778" s="9">
        <f>IF(OR(B778="",P778=""),"",U778/S778)</f>
        <v/>
      </c>
      <c r="W778">
        <f>IF(OR(B778="",P778=""),"",NETWORKDAYS(C778,P778)-1)</f>
        <v/>
      </c>
      <c r="X778">
        <f>IF(B778="","",IF(P778="","Aberto","Fechado"))</f>
        <v/>
      </c>
    </row>
    <row r="779">
      <c r="C779" s="6" t="n"/>
      <c r="E779" s="7" t="n"/>
      <c r="F779" s="8" t="n"/>
      <c r="G779" s="8" t="n"/>
      <c r="H779" s="8" t="n"/>
      <c r="J779" s="7" t="n"/>
      <c r="K779" s="8" t="n"/>
      <c r="L779" s="7" t="n"/>
      <c r="M779" s="8" t="n"/>
      <c r="N779" s="7" t="n"/>
      <c r="O779" s="8" t="n"/>
      <c r="P779" s="6" t="n"/>
      <c r="Q779" s="8" t="n"/>
      <c r="S779" s="8">
        <f>IF(B779="","",E779*F779)</f>
        <v/>
      </c>
      <c r="T779" s="8">
        <f>IF(OR(B779="",N(G779)=0),"",ABS(F779-G779)*E779)</f>
        <v/>
      </c>
      <c r="U779" s="8">
        <f>IF(OR(B779="",P779=""),"",IF(D779="Venda",-1,1)*((N(J779)*N(K779)+N(L779)*N(M779)+N(N779)*N(O779))-(N(J779)+N(L779)+N(N779))*F779)-N(Q779))</f>
        <v/>
      </c>
      <c r="V779" s="9">
        <f>IF(OR(B779="",P779=""),"",U779/S779)</f>
        <v/>
      </c>
      <c r="W779">
        <f>IF(OR(B779="",P779=""),"",NETWORKDAYS(C779,P779)-1)</f>
        <v/>
      </c>
      <c r="X779">
        <f>IF(B779="","",IF(P779="","Aberto","Fechado"))</f>
        <v/>
      </c>
    </row>
    <row r="780">
      <c r="C780" s="6" t="n"/>
      <c r="E780" s="7" t="n"/>
      <c r="F780" s="8" t="n"/>
      <c r="G780" s="8" t="n"/>
      <c r="H780" s="8" t="n"/>
      <c r="J780" s="7" t="n"/>
      <c r="K780" s="8" t="n"/>
      <c r="L780" s="7" t="n"/>
      <c r="M780" s="8" t="n"/>
      <c r="N780" s="7" t="n"/>
      <c r="O780" s="8" t="n"/>
      <c r="P780" s="6" t="n"/>
      <c r="Q780" s="8" t="n"/>
      <c r="S780" s="8">
        <f>IF(B780="","",E780*F780)</f>
        <v/>
      </c>
      <c r="T780" s="8">
        <f>IF(OR(B780="",N(G780)=0),"",ABS(F780-G780)*E780)</f>
        <v/>
      </c>
      <c r="U780" s="8">
        <f>IF(OR(B780="",P780=""),"",IF(D780="Venda",-1,1)*((N(J780)*N(K780)+N(L780)*N(M780)+N(N780)*N(O780))-(N(J780)+N(L780)+N(N780))*F780)-N(Q780))</f>
        <v/>
      </c>
      <c r="V780" s="9">
        <f>IF(OR(B780="",P780=""),"",U780/S780)</f>
        <v/>
      </c>
      <c r="W780">
        <f>IF(OR(B780="",P780=""),"",NETWORKDAYS(C780,P780)-1)</f>
        <v/>
      </c>
      <c r="X780">
        <f>IF(B780="","",IF(P780="","Aberto","Fechado"))</f>
        <v/>
      </c>
    </row>
    <row r="781">
      <c r="C781" s="6" t="n"/>
      <c r="E781" s="7" t="n"/>
      <c r="F781" s="8" t="n"/>
      <c r="G781" s="8" t="n"/>
      <c r="H781" s="8" t="n"/>
      <c r="J781" s="7" t="n"/>
      <c r="K781" s="8" t="n"/>
      <c r="L781" s="7" t="n"/>
      <c r="M781" s="8" t="n"/>
      <c r="N781" s="7" t="n"/>
      <c r="O781" s="8" t="n"/>
      <c r="P781" s="6" t="n"/>
      <c r="Q781" s="8" t="n"/>
      <c r="S781" s="8">
        <f>IF(B781="","",E781*F781)</f>
        <v/>
      </c>
      <c r="T781" s="8">
        <f>IF(OR(B781="",N(G781)=0),"",ABS(F781-G781)*E781)</f>
        <v/>
      </c>
      <c r="U781" s="8">
        <f>IF(OR(B781="",P781=""),"",IF(D781="Venda",-1,1)*((N(J781)*N(K781)+N(L781)*N(M781)+N(N781)*N(O781))-(N(J781)+N(L781)+N(N781))*F781)-N(Q781))</f>
        <v/>
      </c>
      <c r="V781" s="9">
        <f>IF(OR(B781="",P781=""),"",U781/S781)</f>
        <v/>
      </c>
      <c r="W781">
        <f>IF(OR(B781="",P781=""),"",NETWORKDAYS(C781,P781)-1)</f>
        <v/>
      </c>
      <c r="X781">
        <f>IF(B781="","",IF(P781="","Aberto","Fechado"))</f>
        <v/>
      </c>
    </row>
    <row r="782">
      <c r="C782" s="6" t="n"/>
      <c r="E782" s="7" t="n"/>
      <c r="F782" s="8" t="n"/>
      <c r="G782" s="8" t="n"/>
      <c r="H782" s="8" t="n"/>
      <c r="J782" s="7" t="n"/>
      <c r="K782" s="8" t="n"/>
      <c r="L782" s="7" t="n"/>
      <c r="M782" s="8" t="n"/>
      <c r="N782" s="7" t="n"/>
      <c r="O782" s="8" t="n"/>
      <c r="P782" s="6" t="n"/>
      <c r="Q782" s="8" t="n"/>
      <c r="S782" s="8">
        <f>IF(B782="","",E782*F782)</f>
        <v/>
      </c>
      <c r="T782" s="8">
        <f>IF(OR(B782="",N(G782)=0),"",ABS(F782-G782)*E782)</f>
        <v/>
      </c>
      <c r="U782" s="8">
        <f>IF(OR(B782="",P782=""),"",IF(D782="Venda",-1,1)*((N(J782)*N(K782)+N(L782)*N(M782)+N(N782)*N(O782))-(N(J782)+N(L782)+N(N782))*F782)-N(Q782))</f>
        <v/>
      </c>
      <c r="V782" s="9">
        <f>IF(OR(B782="",P782=""),"",U782/S782)</f>
        <v/>
      </c>
      <c r="W782">
        <f>IF(OR(B782="",P782=""),"",NETWORKDAYS(C782,P782)-1)</f>
        <v/>
      </c>
      <c r="X782">
        <f>IF(B782="","",IF(P782="","Aberto","Fechado"))</f>
        <v/>
      </c>
    </row>
    <row r="783">
      <c r="C783" s="6" t="n"/>
      <c r="E783" s="7" t="n"/>
      <c r="F783" s="8" t="n"/>
      <c r="G783" s="8" t="n"/>
      <c r="H783" s="8" t="n"/>
      <c r="J783" s="7" t="n"/>
      <c r="K783" s="8" t="n"/>
      <c r="L783" s="7" t="n"/>
      <c r="M783" s="8" t="n"/>
      <c r="N783" s="7" t="n"/>
      <c r="O783" s="8" t="n"/>
      <c r="P783" s="6" t="n"/>
      <c r="Q783" s="8" t="n"/>
      <c r="S783" s="8">
        <f>IF(B783="","",E783*F783)</f>
        <v/>
      </c>
      <c r="T783" s="8">
        <f>IF(OR(B783="",N(G783)=0),"",ABS(F783-G783)*E783)</f>
        <v/>
      </c>
      <c r="U783" s="8">
        <f>IF(OR(B783="",P783=""),"",IF(D783="Venda",-1,1)*((N(J783)*N(K783)+N(L783)*N(M783)+N(N783)*N(O783))-(N(J783)+N(L783)+N(N783))*F783)-N(Q783))</f>
        <v/>
      </c>
      <c r="V783" s="9">
        <f>IF(OR(B783="",P783=""),"",U783/S783)</f>
        <v/>
      </c>
      <c r="W783">
        <f>IF(OR(B783="",P783=""),"",NETWORKDAYS(C783,P783)-1)</f>
        <v/>
      </c>
      <c r="X783">
        <f>IF(B783="","",IF(P783="","Aberto","Fechado"))</f>
        <v/>
      </c>
    </row>
    <row r="784">
      <c r="C784" s="6" t="n"/>
      <c r="E784" s="7" t="n"/>
      <c r="F784" s="8" t="n"/>
      <c r="G784" s="8" t="n"/>
      <c r="H784" s="8" t="n"/>
      <c r="J784" s="7" t="n"/>
      <c r="K784" s="8" t="n"/>
      <c r="L784" s="7" t="n"/>
      <c r="M784" s="8" t="n"/>
      <c r="N784" s="7" t="n"/>
      <c r="O784" s="8" t="n"/>
      <c r="P784" s="6" t="n"/>
      <c r="Q784" s="8" t="n"/>
      <c r="S784" s="8">
        <f>IF(B784="","",E784*F784)</f>
        <v/>
      </c>
      <c r="T784" s="8">
        <f>IF(OR(B784="",N(G784)=0),"",ABS(F784-G784)*E784)</f>
        <v/>
      </c>
      <c r="U784" s="8">
        <f>IF(OR(B784="",P784=""),"",IF(D784="Venda",-1,1)*((N(J784)*N(K784)+N(L784)*N(M784)+N(N784)*N(O784))-(N(J784)+N(L784)+N(N784))*F784)-N(Q784))</f>
        <v/>
      </c>
      <c r="V784" s="9">
        <f>IF(OR(B784="",P784=""),"",U784/S784)</f>
        <v/>
      </c>
      <c r="W784">
        <f>IF(OR(B784="",P784=""),"",NETWORKDAYS(C784,P784)-1)</f>
        <v/>
      </c>
      <c r="X784">
        <f>IF(B784="","",IF(P784="","Aberto","Fechado"))</f>
        <v/>
      </c>
    </row>
    <row r="785">
      <c r="C785" s="6" t="n"/>
      <c r="E785" s="7" t="n"/>
      <c r="F785" s="8" t="n"/>
      <c r="G785" s="8" t="n"/>
      <c r="H785" s="8" t="n"/>
      <c r="J785" s="7" t="n"/>
      <c r="K785" s="8" t="n"/>
      <c r="L785" s="7" t="n"/>
      <c r="M785" s="8" t="n"/>
      <c r="N785" s="7" t="n"/>
      <c r="O785" s="8" t="n"/>
      <c r="P785" s="6" t="n"/>
      <c r="Q785" s="8" t="n"/>
      <c r="S785" s="8">
        <f>IF(B785="","",E785*F785)</f>
        <v/>
      </c>
      <c r="T785" s="8">
        <f>IF(OR(B785="",N(G785)=0),"",ABS(F785-G785)*E785)</f>
        <v/>
      </c>
      <c r="U785" s="8">
        <f>IF(OR(B785="",P785=""),"",IF(D785="Venda",-1,1)*((N(J785)*N(K785)+N(L785)*N(M785)+N(N785)*N(O785))-(N(J785)+N(L785)+N(N785))*F785)-N(Q785))</f>
        <v/>
      </c>
      <c r="V785" s="9">
        <f>IF(OR(B785="",P785=""),"",U785/S785)</f>
        <v/>
      </c>
      <c r="W785">
        <f>IF(OR(B785="",P785=""),"",NETWORKDAYS(C785,P785)-1)</f>
        <v/>
      </c>
      <c r="X785">
        <f>IF(B785="","",IF(P785="","Aberto","Fechado"))</f>
        <v/>
      </c>
    </row>
    <row r="786">
      <c r="C786" s="6" t="n"/>
      <c r="E786" s="7" t="n"/>
      <c r="F786" s="8" t="n"/>
      <c r="G786" s="8" t="n"/>
      <c r="H786" s="8" t="n"/>
      <c r="J786" s="7" t="n"/>
      <c r="K786" s="8" t="n"/>
      <c r="L786" s="7" t="n"/>
      <c r="M786" s="8" t="n"/>
      <c r="N786" s="7" t="n"/>
      <c r="O786" s="8" t="n"/>
      <c r="P786" s="6" t="n"/>
      <c r="Q786" s="8" t="n"/>
      <c r="S786" s="8">
        <f>IF(B786="","",E786*F786)</f>
        <v/>
      </c>
      <c r="T786" s="8">
        <f>IF(OR(B786="",N(G786)=0),"",ABS(F786-G786)*E786)</f>
        <v/>
      </c>
      <c r="U786" s="8">
        <f>IF(OR(B786="",P786=""),"",IF(D786="Venda",-1,1)*((N(J786)*N(K786)+N(L786)*N(M786)+N(N786)*N(O786))-(N(J786)+N(L786)+N(N786))*F786)-N(Q786))</f>
        <v/>
      </c>
      <c r="V786" s="9">
        <f>IF(OR(B786="",P786=""),"",U786/S786)</f>
        <v/>
      </c>
      <c r="W786">
        <f>IF(OR(B786="",P786=""),"",NETWORKDAYS(C786,P786)-1)</f>
        <v/>
      </c>
      <c r="X786">
        <f>IF(B786="","",IF(P786="","Aberto","Fechado"))</f>
        <v/>
      </c>
    </row>
    <row r="787">
      <c r="C787" s="6" t="n"/>
      <c r="E787" s="7" t="n"/>
      <c r="F787" s="8" t="n"/>
      <c r="G787" s="8" t="n"/>
      <c r="H787" s="8" t="n"/>
      <c r="J787" s="7" t="n"/>
      <c r="K787" s="8" t="n"/>
      <c r="L787" s="7" t="n"/>
      <c r="M787" s="8" t="n"/>
      <c r="N787" s="7" t="n"/>
      <c r="O787" s="8" t="n"/>
      <c r="P787" s="6" t="n"/>
      <c r="Q787" s="8" t="n"/>
      <c r="S787" s="8">
        <f>IF(B787="","",E787*F787)</f>
        <v/>
      </c>
      <c r="T787" s="8">
        <f>IF(OR(B787="",N(G787)=0),"",ABS(F787-G787)*E787)</f>
        <v/>
      </c>
      <c r="U787" s="8">
        <f>IF(OR(B787="",P787=""),"",IF(D787="Venda",-1,1)*((N(J787)*N(K787)+N(L787)*N(M787)+N(N787)*N(O787))-(N(J787)+N(L787)+N(N787))*F787)-N(Q787))</f>
        <v/>
      </c>
      <c r="V787" s="9">
        <f>IF(OR(B787="",P787=""),"",U787/S787)</f>
        <v/>
      </c>
      <c r="W787">
        <f>IF(OR(B787="",P787=""),"",NETWORKDAYS(C787,P787)-1)</f>
        <v/>
      </c>
      <c r="X787">
        <f>IF(B787="","",IF(P787="","Aberto","Fechado"))</f>
        <v/>
      </c>
    </row>
    <row r="788">
      <c r="C788" s="6" t="n"/>
      <c r="E788" s="7" t="n"/>
      <c r="F788" s="8" t="n"/>
      <c r="G788" s="8" t="n"/>
      <c r="H788" s="8" t="n"/>
      <c r="J788" s="7" t="n"/>
      <c r="K788" s="8" t="n"/>
      <c r="L788" s="7" t="n"/>
      <c r="M788" s="8" t="n"/>
      <c r="N788" s="7" t="n"/>
      <c r="O788" s="8" t="n"/>
      <c r="P788" s="6" t="n"/>
      <c r="Q788" s="8" t="n"/>
      <c r="S788" s="8">
        <f>IF(B788="","",E788*F788)</f>
        <v/>
      </c>
      <c r="T788" s="8">
        <f>IF(OR(B788="",N(G788)=0),"",ABS(F788-G788)*E788)</f>
        <v/>
      </c>
      <c r="U788" s="8">
        <f>IF(OR(B788="",P788=""),"",IF(D788="Venda",-1,1)*((N(J788)*N(K788)+N(L788)*N(M788)+N(N788)*N(O788))-(N(J788)+N(L788)+N(N788))*F788)-N(Q788))</f>
        <v/>
      </c>
      <c r="V788" s="9">
        <f>IF(OR(B788="",P788=""),"",U788/S788)</f>
        <v/>
      </c>
      <c r="W788">
        <f>IF(OR(B788="",P788=""),"",NETWORKDAYS(C788,P788)-1)</f>
        <v/>
      </c>
      <c r="X788">
        <f>IF(B788="","",IF(P788="","Aberto","Fechado"))</f>
        <v/>
      </c>
    </row>
    <row r="789">
      <c r="C789" s="6" t="n"/>
      <c r="E789" s="7" t="n"/>
      <c r="F789" s="8" t="n"/>
      <c r="G789" s="8" t="n"/>
      <c r="H789" s="8" t="n"/>
      <c r="J789" s="7" t="n"/>
      <c r="K789" s="8" t="n"/>
      <c r="L789" s="7" t="n"/>
      <c r="M789" s="8" t="n"/>
      <c r="N789" s="7" t="n"/>
      <c r="O789" s="8" t="n"/>
      <c r="P789" s="6" t="n"/>
      <c r="Q789" s="8" t="n"/>
      <c r="S789" s="8">
        <f>IF(B789="","",E789*F789)</f>
        <v/>
      </c>
      <c r="T789" s="8">
        <f>IF(OR(B789="",N(G789)=0),"",ABS(F789-G789)*E789)</f>
        <v/>
      </c>
      <c r="U789" s="8">
        <f>IF(OR(B789="",P789=""),"",IF(D789="Venda",-1,1)*((N(J789)*N(K789)+N(L789)*N(M789)+N(N789)*N(O789))-(N(J789)+N(L789)+N(N789))*F789)-N(Q789))</f>
        <v/>
      </c>
      <c r="V789" s="9">
        <f>IF(OR(B789="",P789=""),"",U789/S789)</f>
        <v/>
      </c>
      <c r="W789">
        <f>IF(OR(B789="",P789=""),"",NETWORKDAYS(C789,P789)-1)</f>
        <v/>
      </c>
      <c r="X789">
        <f>IF(B789="","",IF(P789="","Aberto","Fechado"))</f>
        <v/>
      </c>
    </row>
    <row r="790">
      <c r="C790" s="6" t="n"/>
      <c r="E790" s="7" t="n"/>
      <c r="F790" s="8" t="n"/>
      <c r="G790" s="8" t="n"/>
      <c r="H790" s="8" t="n"/>
      <c r="J790" s="7" t="n"/>
      <c r="K790" s="8" t="n"/>
      <c r="L790" s="7" t="n"/>
      <c r="M790" s="8" t="n"/>
      <c r="N790" s="7" t="n"/>
      <c r="O790" s="8" t="n"/>
      <c r="P790" s="6" t="n"/>
      <c r="Q790" s="8" t="n"/>
      <c r="S790" s="8">
        <f>IF(B790="","",E790*F790)</f>
        <v/>
      </c>
      <c r="T790" s="8">
        <f>IF(OR(B790="",N(G790)=0),"",ABS(F790-G790)*E790)</f>
        <v/>
      </c>
      <c r="U790" s="8">
        <f>IF(OR(B790="",P790=""),"",IF(D790="Venda",-1,1)*((N(J790)*N(K790)+N(L790)*N(M790)+N(N790)*N(O790))-(N(J790)+N(L790)+N(N790))*F790)-N(Q790))</f>
        <v/>
      </c>
      <c r="V790" s="9">
        <f>IF(OR(B790="",P790=""),"",U790/S790)</f>
        <v/>
      </c>
      <c r="W790">
        <f>IF(OR(B790="",P790=""),"",NETWORKDAYS(C790,P790)-1)</f>
        <v/>
      </c>
      <c r="X790">
        <f>IF(B790="","",IF(P790="","Aberto","Fechado"))</f>
        <v/>
      </c>
    </row>
    <row r="791">
      <c r="C791" s="6" t="n"/>
      <c r="E791" s="7" t="n"/>
      <c r="F791" s="8" t="n"/>
      <c r="G791" s="8" t="n"/>
      <c r="H791" s="8" t="n"/>
      <c r="J791" s="7" t="n"/>
      <c r="K791" s="8" t="n"/>
      <c r="L791" s="7" t="n"/>
      <c r="M791" s="8" t="n"/>
      <c r="N791" s="7" t="n"/>
      <c r="O791" s="8" t="n"/>
      <c r="P791" s="6" t="n"/>
      <c r="Q791" s="8" t="n"/>
      <c r="S791" s="8">
        <f>IF(B791="","",E791*F791)</f>
        <v/>
      </c>
      <c r="T791" s="8">
        <f>IF(OR(B791="",N(G791)=0),"",ABS(F791-G791)*E791)</f>
        <v/>
      </c>
      <c r="U791" s="8">
        <f>IF(OR(B791="",P791=""),"",IF(D791="Venda",-1,1)*((N(J791)*N(K791)+N(L791)*N(M791)+N(N791)*N(O791))-(N(J791)+N(L791)+N(N791))*F791)-N(Q791))</f>
        <v/>
      </c>
      <c r="V791" s="9">
        <f>IF(OR(B791="",P791=""),"",U791/S791)</f>
        <v/>
      </c>
      <c r="W791">
        <f>IF(OR(B791="",P791=""),"",NETWORKDAYS(C791,P791)-1)</f>
        <v/>
      </c>
      <c r="X791">
        <f>IF(B791="","",IF(P791="","Aberto","Fechado"))</f>
        <v/>
      </c>
    </row>
    <row r="792">
      <c r="C792" s="6" t="n"/>
      <c r="E792" s="7" t="n"/>
      <c r="F792" s="8" t="n"/>
      <c r="G792" s="8" t="n"/>
      <c r="H792" s="8" t="n"/>
      <c r="J792" s="7" t="n"/>
      <c r="K792" s="8" t="n"/>
      <c r="L792" s="7" t="n"/>
      <c r="M792" s="8" t="n"/>
      <c r="N792" s="7" t="n"/>
      <c r="O792" s="8" t="n"/>
      <c r="P792" s="6" t="n"/>
      <c r="Q792" s="8" t="n"/>
      <c r="S792" s="8">
        <f>IF(B792="","",E792*F792)</f>
        <v/>
      </c>
      <c r="T792" s="8">
        <f>IF(OR(B792="",N(G792)=0),"",ABS(F792-G792)*E792)</f>
        <v/>
      </c>
      <c r="U792" s="8">
        <f>IF(OR(B792="",P792=""),"",IF(D792="Venda",-1,1)*((N(J792)*N(K792)+N(L792)*N(M792)+N(N792)*N(O792))-(N(J792)+N(L792)+N(N792))*F792)-N(Q792))</f>
        <v/>
      </c>
      <c r="V792" s="9">
        <f>IF(OR(B792="",P792=""),"",U792/S792)</f>
        <v/>
      </c>
      <c r="W792">
        <f>IF(OR(B792="",P792=""),"",NETWORKDAYS(C792,P792)-1)</f>
        <v/>
      </c>
      <c r="X792">
        <f>IF(B792="","",IF(P792="","Aberto","Fechado"))</f>
        <v/>
      </c>
    </row>
    <row r="793">
      <c r="C793" s="6" t="n"/>
      <c r="E793" s="7" t="n"/>
      <c r="F793" s="8" t="n"/>
      <c r="G793" s="8" t="n"/>
      <c r="H793" s="8" t="n"/>
      <c r="J793" s="7" t="n"/>
      <c r="K793" s="8" t="n"/>
      <c r="L793" s="7" t="n"/>
      <c r="M793" s="8" t="n"/>
      <c r="N793" s="7" t="n"/>
      <c r="O793" s="8" t="n"/>
      <c r="P793" s="6" t="n"/>
      <c r="Q793" s="8" t="n"/>
      <c r="S793" s="8">
        <f>IF(B793="","",E793*F793)</f>
        <v/>
      </c>
      <c r="T793" s="8">
        <f>IF(OR(B793="",N(G793)=0),"",ABS(F793-G793)*E793)</f>
        <v/>
      </c>
      <c r="U793" s="8">
        <f>IF(OR(B793="",P793=""),"",IF(D793="Venda",-1,1)*((N(J793)*N(K793)+N(L793)*N(M793)+N(N793)*N(O793))-(N(J793)+N(L793)+N(N793))*F793)-N(Q793))</f>
        <v/>
      </c>
      <c r="V793" s="9">
        <f>IF(OR(B793="",P793=""),"",U793/S793)</f>
        <v/>
      </c>
      <c r="W793">
        <f>IF(OR(B793="",P793=""),"",NETWORKDAYS(C793,P793)-1)</f>
        <v/>
      </c>
      <c r="X793">
        <f>IF(B793="","",IF(P793="","Aberto","Fechado"))</f>
        <v/>
      </c>
    </row>
    <row r="794">
      <c r="C794" s="6" t="n"/>
      <c r="E794" s="7" t="n"/>
      <c r="F794" s="8" t="n"/>
      <c r="G794" s="8" t="n"/>
      <c r="H794" s="8" t="n"/>
      <c r="J794" s="7" t="n"/>
      <c r="K794" s="8" t="n"/>
      <c r="L794" s="7" t="n"/>
      <c r="M794" s="8" t="n"/>
      <c r="N794" s="7" t="n"/>
      <c r="O794" s="8" t="n"/>
      <c r="P794" s="6" t="n"/>
      <c r="Q794" s="8" t="n"/>
      <c r="S794" s="8">
        <f>IF(B794="","",E794*F794)</f>
        <v/>
      </c>
      <c r="T794" s="8">
        <f>IF(OR(B794="",N(G794)=0),"",ABS(F794-G794)*E794)</f>
        <v/>
      </c>
      <c r="U794" s="8">
        <f>IF(OR(B794="",P794=""),"",IF(D794="Venda",-1,1)*((N(J794)*N(K794)+N(L794)*N(M794)+N(N794)*N(O794))-(N(J794)+N(L794)+N(N794))*F794)-N(Q794))</f>
        <v/>
      </c>
      <c r="V794" s="9">
        <f>IF(OR(B794="",P794=""),"",U794/S794)</f>
        <v/>
      </c>
      <c r="W794">
        <f>IF(OR(B794="",P794=""),"",NETWORKDAYS(C794,P794)-1)</f>
        <v/>
      </c>
      <c r="X794">
        <f>IF(B794="","",IF(P794="","Aberto","Fechado"))</f>
        <v/>
      </c>
    </row>
    <row r="795">
      <c r="C795" s="6" t="n"/>
      <c r="E795" s="7" t="n"/>
      <c r="F795" s="8" t="n"/>
      <c r="G795" s="8" t="n"/>
      <c r="H795" s="8" t="n"/>
      <c r="J795" s="7" t="n"/>
      <c r="K795" s="8" t="n"/>
      <c r="L795" s="7" t="n"/>
      <c r="M795" s="8" t="n"/>
      <c r="N795" s="7" t="n"/>
      <c r="O795" s="8" t="n"/>
      <c r="P795" s="6" t="n"/>
      <c r="Q795" s="8" t="n"/>
      <c r="S795" s="8">
        <f>IF(B795="","",E795*F795)</f>
        <v/>
      </c>
      <c r="T795" s="8">
        <f>IF(OR(B795="",N(G795)=0),"",ABS(F795-G795)*E795)</f>
        <v/>
      </c>
      <c r="U795" s="8">
        <f>IF(OR(B795="",P795=""),"",IF(D795="Venda",-1,1)*((N(J795)*N(K795)+N(L795)*N(M795)+N(N795)*N(O795))-(N(J795)+N(L795)+N(N795))*F795)-N(Q795))</f>
        <v/>
      </c>
      <c r="V795" s="9">
        <f>IF(OR(B795="",P795=""),"",U795/S795)</f>
        <v/>
      </c>
      <c r="W795">
        <f>IF(OR(B795="",P795=""),"",NETWORKDAYS(C795,P795)-1)</f>
        <v/>
      </c>
      <c r="X795">
        <f>IF(B795="","",IF(P795="","Aberto","Fechado"))</f>
        <v/>
      </c>
    </row>
    <row r="796">
      <c r="C796" s="6" t="n"/>
      <c r="E796" s="7" t="n"/>
      <c r="F796" s="8" t="n"/>
      <c r="G796" s="8" t="n"/>
      <c r="H796" s="8" t="n"/>
      <c r="J796" s="7" t="n"/>
      <c r="K796" s="8" t="n"/>
      <c r="L796" s="7" t="n"/>
      <c r="M796" s="8" t="n"/>
      <c r="N796" s="7" t="n"/>
      <c r="O796" s="8" t="n"/>
      <c r="P796" s="6" t="n"/>
      <c r="Q796" s="8" t="n"/>
      <c r="S796" s="8">
        <f>IF(B796="","",E796*F796)</f>
        <v/>
      </c>
      <c r="T796" s="8">
        <f>IF(OR(B796="",N(G796)=0),"",ABS(F796-G796)*E796)</f>
        <v/>
      </c>
      <c r="U796" s="8">
        <f>IF(OR(B796="",P796=""),"",IF(D796="Venda",-1,1)*((N(J796)*N(K796)+N(L796)*N(M796)+N(N796)*N(O796))-(N(J796)+N(L796)+N(N796))*F796)-N(Q796))</f>
        <v/>
      </c>
      <c r="V796" s="9">
        <f>IF(OR(B796="",P796=""),"",U796/S796)</f>
        <v/>
      </c>
      <c r="W796">
        <f>IF(OR(B796="",P796=""),"",NETWORKDAYS(C796,P796)-1)</f>
        <v/>
      </c>
      <c r="X796">
        <f>IF(B796="","",IF(P796="","Aberto","Fechado"))</f>
        <v/>
      </c>
    </row>
    <row r="797">
      <c r="C797" s="6" t="n"/>
      <c r="E797" s="7" t="n"/>
      <c r="F797" s="8" t="n"/>
      <c r="G797" s="8" t="n"/>
      <c r="H797" s="8" t="n"/>
      <c r="J797" s="7" t="n"/>
      <c r="K797" s="8" t="n"/>
      <c r="L797" s="7" t="n"/>
      <c r="M797" s="8" t="n"/>
      <c r="N797" s="7" t="n"/>
      <c r="O797" s="8" t="n"/>
      <c r="P797" s="6" t="n"/>
      <c r="Q797" s="8" t="n"/>
      <c r="S797" s="8">
        <f>IF(B797="","",E797*F797)</f>
        <v/>
      </c>
      <c r="T797" s="8">
        <f>IF(OR(B797="",N(G797)=0),"",ABS(F797-G797)*E797)</f>
        <v/>
      </c>
      <c r="U797" s="8">
        <f>IF(OR(B797="",P797=""),"",IF(D797="Venda",-1,1)*((N(J797)*N(K797)+N(L797)*N(M797)+N(N797)*N(O797))-(N(J797)+N(L797)+N(N797))*F797)-N(Q797))</f>
        <v/>
      </c>
      <c r="V797" s="9">
        <f>IF(OR(B797="",P797=""),"",U797/S797)</f>
        <v/>
      </c>
      <c r="W797">
        <f>IF(OR(B797="",P797=""),"",NETWORKDAYS(C797,P797)-1)</f>
        <v/>
      </c>
      <c r="X797">
        <f>IF(B797="","",IF(P797="","Aberto","Fechado"))</f>
        <v/>
      </c>
    </row>
    <row r="798">
      <c r="C798" s="6" t="n"/>
      <c r="E798" s="7" t="n"/>
      <c r="F798" s="8" t="n"/>
      <c r="G798" s="8" t="n"/>
      <c r="H798" s="8" t="n"/>
      <c r="J798" s="7" t="n"/>
      <c r="K798" s="8" t="n"/>
      <c r="L798" s="7" t="n"/>
      <c r="M798" s="8" t="n"/>
      <c r="N798" s="7" t="n"/>
      <c r="O798" s="8" t="n"/>
      <c r="P798" s="6" t="n"/>
      <c r="Q798" s="8" t="n"/>
      <c r="S798" s="8">
        <f>IF(B798="","",E798*F798)</f>
        <v/>
      </c>
      <c r="T798" s="8">
        <f>IF(OR(B798="",N(G798)=0),"",ABS(F798-G798)*E798)</f>
        <v/>
      </c>
      <c r="U798" s="8">
        <f>IF(OR(B798="",P798=""),"",IF(D798="Venda",-1,1)*((N(J798)*N(K798)+N(L798)*N(M798)+N(N798)*N(O798))-(N(J798)+N(L798)+N(N798))*F798)-N(Q798))</f>
        <v/>
      </c>
      <c r="V798" s="9">
        <f>IF(OR(B798="",P798=""),"",U798/S798)</f>
        <v/>
      </c>
      <c r="W798">
        <f>IF(OR(B798="",P798=""),"",NETWORKDAYS(C798,P798)-1)</f>
        <v/>
      </c>
      <c r="X798">
        <f>IF(B798="","",IF(P798="","Aberto","Fechado"))</f>
        <v/>
      </c>
    </row>
    <row r="799">
      <c r="C799" s="6" t="n"/>
      <c r="E799" s="7" t="n"/>
      <c r="F799" s="8" t="n"/>
      <c r="G799" s="8" t="n"/>
      <c r="H799" s="8" t="n"/>
      <c r="J799" s="7" t="n"/>
      <c r="K799" s="8" t="n"/>
      <c r="L799" s="7" t="n"/>
      <c r="M799" s="8" t="n"/>
      <c r="N799" s="7" t="n"/>
      <c r="O799" s="8" t="n"/>
      <c r="P799" s="6" t="n"/>
      <c r="Q799" s="8" t="n"/>
      <c r="S799" s="8">
        <f>IF(B799="","",E799*F799)</f>
        <v/>
      </c>
      <c r="T799" s="8">
        <f>IF(OR(B799="",N(G799)=0),"",ABS(F799-G799)*E799)</f>
        <v/>
      </c>
      <c r="U799" s="8">
        <f>IF(OR(B799="",P799=""),"",IF(D799="Venda",-1,1)*((N(J799)*N(K799)+N(L799)*N(M799)+N(N799)*N(O799))-(N(J799)+N(L799)+N(N799))*F799)-N(Q799))</f>
        <v/>
      </c>
      <c r="V799" s="9">
        <f>IF(OR(B799="",P799=""),"",U799/S799)</f>
        <v/>
      </c>
      <c r="W799">
        <f>IF(OR(B799="",P799=""),"",NETWORKDAYS(C799,P799)-1)</f>
        <v/>
      </c>
      <c r="X799">
        <f>IF(B799="","",IF(P799="","Aberto","Fechado"))</f>
        <v/>
      </c>
    </row>
    <row r="800">
      <c r="C800" s="6" t="n"/>
      <c r="E800" s="7" t="n"/>
      <c r="F800" s="8" t="n"/>
      <c r="G800" s="8" t="n"/>
      <c r="H800" s="8" t="n"/>
      <c r="J800" s="7" t="n"/>
      <c r="K800" s="8" t="n"/>
      <c r="L800" s="7" t="n"/>
      <c r="M800" s="8" t="n"/>
      <c r="N800" s="7" t="n"/>
      <c r="O800" s="8" t="n"/>
      <c r="P800" s="6" t="n"/>
      <c r="Q800" s="8" t="n"/>
      <c r="S800" s="8">
        <f>IF(B800="","",E800*F800)</f>
        <v/>
      </c>
      <c r="T800" s="8">
        <f>IF(OR(B800="",N(G800)=0),"",ABS(F800-G800)*E800)</f>
        <v/>
      </c>
      <c r="U800" s="8">
        <f>IF(OR(B800="",P800=""),"",IF(D800="Venda",-1,1)*((N(J800)*N(K800)+N(L800)*N(M800)+N(N800)*N(O800))-(N(J800)+N(L800)+N(N800))*F800)-N(Q800))</f>
        <v/>
      </c>
      <c r="V800" s="9">
        <f>IF(OR(B800="",P800=""),"",U800/S800)</f>
        <v/>
      </c>
      <c r="W800">
        <f>IF(OR(B800="",P800=""),"",NETWORKDAYS(C800,P800)-1)</f>
        <v/>
      </c>
      <c r="X800">
        <f>IF(B800="","",IF(P800="","Aberto","Fechado"))</f>
        <v/>
      </c>
    </row>
    <row r="801">
      <c r="C801" s="6" t="n"/>
      <c r="E801" s="7" t="n"/>
      <c r="F801" s="8" t="n"/>
      <c r="G801" s="8" t="n"/>
      <c r="H801" s="8" t="n"/>
      <c r="J801" s="7" t="n"/>
      <c r="K801" s="8" t="n"/>
      <c r="L801" s="7" t="n"/>
      <c r="M801" s="8" t="n"/>
      <c r="N801" s="7" t="n"/>
      <c r="O801" s="8" t="n"/>
      <c r="P801" s="6" t="n"/>
      <c r="Q801" s="8" t="n"/>
      <c r="S801" s="8">
        <f>IF(B801="","",E801*F801)</f>
        <v/>
      </c>
      <c r="T801" s="8">
        <f>IF(OR(B801="",N(G801)=0),"",ABS(F801-G801)*E801)</f>
        <v/>
      </c>
      <c r="U801" s="8">
        <f>IF(OR(B801="",P801=""),"",IF(D801="Venda",-1,1)*((N(J801)*N(K801)+N(L801)*N(M801)+N(N801)*N(O801))-(N(J801)+N(L801)+N(N801))*F801)-N(Q801))</f>
        <v/>
      </c>
      <c r="V801" s="9">
        <f>IF(OR(B801="",P801=""),"",U801/S801)</f>
        <v/>
      </c>
      <c r="W801">
        <f>IF(OR(B801="",P801=""),"",NETWORKDAYS(C801,P801)-1)</f>
        <v/>
      </c>
      <c r="X801">
        <f>IF(B801="","",IF(P801="","Aberto","Fechado"))</f>
        <v/>
      </c>
    </row>
    <row r="802">
      <c r="C802" s="6" t="n"/>
      <c r="E802" s="7" t="n"/>
      <c r="F802" s="8" t="n"/>
      <c r="G802" s="8" t="n"/>
      <c r="H802" s="8" t="n"/>
      <c r="J802" s="7" t="n"/>
      <c r="K802" s="8" t="n"/>
      <c r="L802" s="7" t="n"/>
      <c r="M802" s="8" t="n"/>
      <c r="N802" s="7" t="n"/>
      <c r="O802" s="8" t="n"/>
      <c r="P802" s="6" t="n"/>
      <c r="Q802" s="8" t="n"/>
      <c r="S802" s="8">
        <f>IF(B802="","",E802*F802)</f>
        <v/>
      </c>
      <c r="T802" s="8">
        <f>IF(OR(B802="",N(G802)=0),"",ABS(F802-G802)*E802)</f>
        <v/>
      </c>
      <c r="U802" s="8">
        <f>IF(OR(B802="",P802=""),"",IF(D802="Venda",-1,1)*((N(J802)*N(K802)+N(L802)*N(M802)+N(N802)*N(O802))-(N(J802)+N(L802)+N(N802))*F802)-N(Q802))</f>
        <v/>
      </c>
      <c r="V802" s="9">
        <f>IF(OR(B802="",P802=""),"",U802/S802)</f>
        <v/>
      </c>
      <c r="W802">
        <f>IF(OR(B802="",P802=""),"",NETWORKDAYS(C802,P802)-1)</f>
        <v/>
      </c>
      <c r="X802">
        <f>IF(B802="","",IF(P802="","Aberto","Fechado"))</f>
        <v/>
      </c>
    </row>
    <row r="803">
      <c r="C803" s="6" t="n"/>
      <c r="E803" s="7" t="n"/>
      <c r="F803" s="8" t="n"/>
      <c r="G803" s="8" t="n"/>
      <c r="H803" s="8" t="n"/>
      <c r="J803" s="7" t="n"/>
      <c r="K803" s="8" t="n"/>
      <c r="L803" s="7" t="n"/>
      <c r="M803" s="8" t="n"/>
      <c r="N803" s="7" t="n"/>
      <c r="O803" s="8" t="n"/>
      <c r="P803" s="6" t="n"/>
      <c r="Q803" s="8" t="n"/>
      <c r="S803" s="8">
        <f>IF(B803="","",E803*F803)</f>
        <v/>
      </c>
      <c r="T803" s="8">
        <f>IF(OR(B803="",N(G803)=0),"",ABS(F803-G803)*E803)</f>
        <v/>
      </c>
      <c r="U803" s="8">
        <f>IF(OR(B803="",P803=""),"",IF(D803="Venda",-1,1)*((N(J803)*N(K803)+N(L803)*N(M803)+N(N803)*N(O803))-(N(J803)+N(L803)+N(N803))*F803)-N(Q803))</f>
        <v/>
      </c>
      <c r="V803" s="9">
        <f>IF(OR(B803="",P803=""),"",U803/S803)</f>
        <v/>
      </c>
      <c r="W803">
        <f>IF(OR(B803="",P803=""),"",NETWORKDAYS(C803,P803)-1)</f>
        <v/>
      </c>
      <c r="X803">
        <f>IF(B803="","",IF(P803="","Aberto","Fechado"))</f>
        <v/>
      </c>
    </row>
    <row r="804">
      <c r="C804" s="6" t="n"/>
      <c r="E804" s="7" t="n"/>
      <c r="F804" s="8" t="n"/>
      <c r="G804" s="8" t="n"/>
      <c r="H804" s="8" t="n"/>
      <c r="J804" s="7" t="n"/>
      <c r="K804" s="8" t="n"/>
      <c r="L804" s="7" t="n"/>
      <c r="M804" s="8" t="n"/>
      <c r="N804" s="7" t="n"/>
      <c r="O804" s="8" t="n"/>
      <c r="P804" s="6" t="n"/>
      <c r="Q804" s="8" t="n"/>
      <c r="S804" s="8">
        <f>IF(B804="","",E804*F804)</f>
        <v/>
      </c>
      <c r="T804" s="8">
        <f>IF(OR(B804="",N(G804)=0),"",ABS(F804-G804)*E804)</f>
        <v/>
      </c>
      <c r="U804" s="8">
        <f>IF(OR(B804="",P804=""),"",IF(D804="Venda",-1,1)*((N(J804)*N(K804)+N(L804)*N(M804)+N(N804)*N(O804))-(N(J804)+N(L804)+N(N804))*F804)-N(Q804))</f>
        <v/>
      </c>
      <c r="V804" s="9">
        <f>IF(OR(B804="",P804=""),"",U804/S804)</f>
        <v/>
      </c>
      <c r="W804">
        <f>IF(OR(B804="",P804=""),"",NETWORKDAYS(C804,P804)-1)</f>
        <v/>
      </c>
      <c r="X804">
        <f>IF(B804="","",IF(P804="","Aberto","Fechado"))</f>
        <v/>
      </c>
    </row>
    <row r="805">
      <c r="C805" s="6" t="n"/>
      <c r="E805" s="7" t="n"/>
      <c r="F805" s="8" t="n"/>
      <c r="G805" s="8" t="n"/>
      <c r="H805" s="8" t="n"/>
      <c r="J805" s="7" t="n"/>
      <c r="K805" s="8" t="n"/>
      <c r="L805" s="7" t="n"/>
      <c r="M805" s="8" t="n"/>
      <c r="N805" s="7" t="n"/>
      <c r="O805" s="8" t="n"/>
      <c r="P805" s="6" t="n"/>
      <c r="Q805" s="8" t="n"/>
      <c r="S805" s="8">
        <f>IF(B805="","",E805*F805)</f>
        <v/>
      </c>
      <c r="T805" s="8">
        <f>IF(OR(B805="",N(G805)=0),"",ABS(F805-G805)*E805)</f>
        <v/>
      </c>
      <c r="U805" s="8">
        <f>IF(OR(B805="",P805=""),"",IF(D805="Venda",-1,1)*((N(J805)*N(K805)+N(L805)*N(M805)+N(N805)*N(O805))-(N(J805)+N(L805)+N(N805))*F805)-N(Q805))</f>
        <v/>
      </c>
      <c r="V805" s="9">
        <f>IF(OR(B805="",P805=""),"",U805/S805)</f>
        <v/>
      </c>
      <c r="W805">
        <f>IF(OR(B805="",P805=""),"",NETWORKDAYS(C805,P805)-1)</f>
        <v/>
      </c>
      <c r="X805">
        <f>IF(B805="","",IF(P805="","Aberto","Fechado"))</f>
        <v/>
      </c>
    </row>
    <row r="806">
      <c r="C806" s="6" t="n"/>
      <c r="E806" s="7" t="n"/>
      <c r="F806" s="8" t="n"/>
      <c r="G806" s="8" t="n"/>
      <c r="H806" s="8" t="n"/>
      <c r="J806" s="7" t="n"/>
      <c r="K806" s="8" t="n"/>
      <c r="L806" s="7" t="n"/>
      <c r="M806" s="8" t="n"/>
      <c r="N806" s="7" t="n"/>
      <c r="O806" s="8" t="n"/>
      <c r="P806" s="6" t="n"/>
      <c r="Q806" s="8" t="n"/>
      <c r="S806" s="8">
        <f>IF(B806="","",E806*F806)</f>
        <v/>
      </c>
      <c r="T806" s="8">
        <f>IF(OR(B806="",N(G806)=0),"",ABS(F806-G806)*E806)</f>
        <v/>
      </c>
      <c r="U806" s="8">
        <f>IF(OR(B806="",P806=""),"",IF(D806="Venda",-1,1)*((N(J806)*N(K806)+N(L806)*N(M806)+N(N806)*N(O806))-(N(J806)+N(L806)+N(N806))*F806)-N(Q806))</f>
        <v/>
      </c>
      <c r="V806" s="9">
        <f>IF(OR(B806="",P806=""),"",U806/S806)</f>
        <v/>
      </c>
      <c r="W806">
        <f>IF(OR(B806="",P806=""),"",NETWORKDAYS(C806,P806)-1)</f>
        <v/>
      </c>
      <c r="X806">
        <f>IF(B806="","",IF(P806="","Aberto","Fechado"))</f>
        <v/>
      </c>
    </row>
    <row r="807">
      <c r="C807" s="6" t="n"/>
      <c r="E807" s="7" t="n"/>
      <c r="F807" s="8" t="n"/>
      <c r="G807" s="8" t="n"/>
      <c r="H807" s="8" t="n"/>
      <c r="J807" s="7" t="n"/>
      <c r="K807" s="8" t="n"/>
      <c r="L807" s="7" t="n"/>
      <c r="M807" s="8" t="n"/>
      <c r="N807" s="7" t="n"/>
      <c r="O807" s="8" t="n"/>
      <c r="P807" s="6" t="n"/>
      <c r="Q807" s="8" t="n"/>
      <c r="S807" s="8">
        <f>IF(B807="","",E807*F807)</f>
        <v/>
      </c>
      <c r="T807" s="8">
        <f>IF(OR(B807="",N(G807)=0),"",ABS(F807-G807)*E807)</f>
        <v/>
      </c>
      <c r="U807" s="8">
        <f>IF(OR(B807="",P807=""),"",IF(D807="Venda",-1,1)*((N(J807)*N(K807)+N(L807)*N(M807)+N(N807)*N(O807))-(N(J807)+N(L807)+N(N807))*F807)-N(Q807))</f>
        <v/>
      </c>
      <c r="V807" s="9">
        <f>IF(OR(B807="",P807=""),"",U807/S807)</f>
        <v/>
      </c>
      <c r="W807">
        <f>IF(OR(B807="",P807=""),"",NETWORKDAYS(C807,P807)-1)</f>
        <v/>
      </c>
      <c r="X807">
        <f>IF(B807="","",IF(P807="","Aberto","Fechado"))</f>
        <v/>
      </c>
    </row>
    <row r="808">
      <c r="C808" s="6" t="n"/>
      <c r="E808" s="7" t="n"/>
      <c r="F808" s="8" t="n"/>
      <c r="G808" s="8" t="n"/>
      <c r="H808" s="8" t="n"/>
      <c r="J808" s="7" t="n"/>
      <c r="K808" s="8" t="n"/>
      <c r="L808" s="7" t="n"/>
      <c r="M808" s="8" t="n"/>
      <c r="N808" s="7" t="n"/>
      <c r="O808" s="8" t="n"/>
      <c r="P808" s="6" t="n"/>
      <c r="Q808" s="8" t="n"/>
      <c r="S808" s="8">
        <f>IF(B808="","",E808*F808)</f>
        <v/>
      </c>
      <c r="T808" s="8">
        <f>IF(OR(B808="",N(G808)=0),"",ABS(F808-G808)*E808)</f>
        <v/>
      </c>
      <c r="U808" s="8">
        <f>IF(OR(B808="",P808=""),"",IF(D808="Venda",-1,1)*((N(J808)*N(K808)+N(L808)*N(M808)+N(N808)*N(O808))-(N(J808)+N(L808)+N(N808))*F808)-N(Q808))</f>
        <v/>
      </c>
      <c r="V808" s="9">
        <f>IF(OR(B808="",P808=""),"",U808/S808)</f>
        <v/>
      </c>
      <c r="W808">
        <f>IF(OR(B808="",P808=""),"",NETWORKDAYS(C808,P808)-1)</f>
        <v/>
      </c>
      <c r="X808">
        <f>IF(B808="","",IF(P808="","Aberto","Fechado"))</f>
        <v/>
      </c>
    </row>
    <row r="809">
      <c r="C809" s="6" t="n"/>
      <c r="E809" s="7" t="n"/>
      <c r="F809" s="8" t="n"/>
      <c r="G809" s="8" t="n"/>
      <c r="H809" s="8" t="n"/>
      <c r="J809" s="7" t="n"/>
      <c r="K809" s="8" t="n"/>
      <c r="L809" s="7" t="n"/>
      <c r="M809" s="8" t="n"/>
      <c r="N809" s="7" t="n"/>
      <c r="O809" s="8" t="n"/>
      <c r="P809" s="6" t="n"/>
      <c r="Q809" s="8" t="n"/>
      <c r="S809" s="8">
        <f>IF(B809="","",E809*F809)</f>
        <v/>
      </c>
      <c r="T809" s="8">
        <f>IF(OR(B809="",N(G809)=0),"",ABS(F809-G809)*E809)</f>
        <v/>
      </c>
      <c r="U809" s="8">
        <f>IF(OR(B809="",P809=""),"",IF(D809="Venda",-1,1)*((N(J809)*N(K809)+N(L809)*N(M809)+N(N809)*N(O809))-(N(J809)+N(L809)+N(N809))*F809)-N(Q809))</f>
        <v/>
      </c>
      <c r="V809" s="9">
        <f>IF(OR(B809="",P809=""),"",U809/S809)</f>
        <v/>
      </c>
      <c r="W809">
        <f>IF(OR(B809="",P809=""),"",NETWORKDAYS(C809,P809)-1)</f>
        <v/>
      </c>
      <c r="X809">
        <f>IF(B809="","",IF(P809="","Aberto","Fechado"))</f>
        <v/>
      </c>
    </row>
    <row r="810">
      <c r="C810" s="6" t="n"/>
      <c r="E810" s="7" t="n"/>
      <c r="F810" s="8" t="n"/>
      <c r="G810" s="8" t="n"/>
      <c r="H810" s="8" t="n"/>
      <c r="J810" s="7" t="n"/>
      <c r="K810" s="8" t="n"/>
      <c r="L810" s="7" t="n"/>
      <c r="M810" s="8" t="n"/>
      <c r="N810" s="7" t="n"/>
      <c r="O810" s="8" t="n"/>
      <c r="P810" s="6" t="n"/>
      <c r="Q810" s="8" t="n"/>
      <c r="S810" s="8">
        <f>IF(B810="","",E810*F810)</f>
        <v/>
      </c>
      <c r="T810" s="8">
        <f>IF(OR(B810="",N(G810)=0),"",ABS(F810-G810)*E810)</f>
        <v/>
      </c>
      <c r="U810" s="8">
        <f>IF(OR(B810="",P810=""),"",IF(D810="Venda",-1,1)*((N(J810)*N(K810)+N(L810)*N(M810)+N(N810)*N(O810))-(N(J810)+N(L810)+N(N810))*F810)-N(Q810))</f>
        <v/>
      </c>
      <c r="V810" s="9">
        <f>IF(OR(B810="",P810=""),"",U810/S810)</f>
        <v/>
      </c>
      <c r="W810">
        <f>IF(OR(B810="",P810=""),"",NETWORKDAYS(C810,P810)-1)</f>
        <v/>
      </c>
      <c r="X810">
        <f>IF(B810="","",IF(P810="","Aberto","Fechado"))</f>
        <v/>
      </c>
    </row>
    <row r="811">
      <c r="C811" s="6" t="n"/>
      <c r="E811" s="7" t="n"/>
      <c r="F811" s="8" t="n"/>
      <c r="G811" s="8" t="n"/>
      <c r="H811" s="8" t="n"/>
      <c r="J811" s="7" t="n"/>
      <c r="K811" s="8" t="n"/>
      <c r="L811" s="7" t="n"/>
      <c r="M811" s="8" t="n"/>
      <c r="N811" s="7" t="n"/>
      <c r="O811" s="8" t="n"/>
      <c r="P811" s="6" t="n"/>
      <c r="Q811" s="8" t="n"/>
      <c r="S811" s="8">
        <f>IF(B811="","",E811*F811)</f>
        <v/>
      </c>
      <c r="T811" s="8">
        <f>IF(OR(B811="",N(G811)=0),"",ABS(F811-G811)*E811)</f>
        <v/>
      </c>
      <c r="U811" s="8">
        <f>IF(OR(B811="",P811=""),"",IF(D811="Venda",-1,1)*((N(J811)*N(K811)+N(L811)*N(M811)+N(N811)*N(O811))-(N(J811)+N(L811)+N(N811))*F811)-N(Q811))</f>
        <v/>
      </c>
      <c r="V811" s="9">
        <f>IF(OR(B811="",P811=""),"",U811/S811)</f>
        <v/>
      </c>
      <c r="W811">
        <f>IF(OR(B811="",P811=""),"",NETWORKDAYS(C811,P811)-1)</f>
        <v/>
      </c>
      <c r="X811">
        <f>IF(B811="","",IF(P811="","Aberto","Fechado"))</f>
        <v/>
      </c>
    </row>
    <row r="812">
      <c r="C812" s="6" t="n"/>
      <c r="E812" s="7" t="n"/>
      <c r="F812" s="8" t="n"/>
      <c r="G812" s="8" t="n"/>
      <c r="H812" s="8" t="n"/>
      <c r="J812" s="7" t="n"/>
      <c r="K812" s="8" t="n"/>
      <c r="L812" s="7" t="n"/>
      <c r="M812" s="8" t="n"/>
      <c r="N812" s="7" t="n"/>
      <c r="O812" s="8" t="n"/>
      <c r="P812" s="6" t="n"/>
      <c r="Q812" s="8" t="n"/>
      <c r="S812" s="8">
        <f>IF(B812="","",E812*F812)</f>
        <v/>
      </c>
      <c r="T812" s="8">
        <f>IF(OR(B812="",N(G812)=0),"",ABS(F812-G812)*E812)</f>
        <v/>
      </c>
      <c r="U812" s="8">
        <f>IF(OR(B812="",P812=""),"",IF(D812="Venda",-1,1)*((N(J812)*N(K812)+N(L812)*N(M812)+N(N812)*N(O812))-(N(J812)+N(L812)+N(N812))*F812)-N(Q812))</f>
        <v/>
      </c>
      <c r="V812" s="9">
        <f>IF(OR(B812="",P812=""),"",U812/S812)</f>
        <v/>
      </c>
      <c r="W812">
        <f>IF(OR(B812="",P812=""),"",NETWORKDAYS(C812,P812)-1)</f>
        <v/>
      </c>
      <c r="X812">
        <f>IF(B812="","",IF(P812="","Aberto","Fechado"))</f>
        <v/>
      </c>
    </row>
    <row r="813">
      <c r="C813" s="6" t="n"/>
      <c r="E813" s="7" t="n"/>
      <c r="F813" s="8" t="n"/>
      <c r="G813" s="8" t="n"/>
      <c r="H813" s="8" t="n"/>
      <c r="J813" s="7" t="n"/>
      <c r="K813" s="8" t="n"/>
      <c r="L813" s="7" t="n"/>
      <c r="M813" s="8" t="n"/>
      <c r="N813" s="7" t="n"/>
      <c r="O813" s="8" t="n"/>
      <c r="P813" s="6" t="n"/>
      <c r="Q813" s="8" t="n"/>
      <c r="S813" s="8">
        <f>IF(B813="","",E813*F813)</f>
        <v/>
      </c>
      <c r="T813" s="8">
        <f>IF(OR(B813="",N(G813)=0),"",ABS(F813-G813)*E813)</f>
        <v/>
      </c>
      <c r="U813" s="8">
        <f>IF(OR(B813="",P813=""),"",IF(D813="Venda",-1,1)*((N(J813)*N(K813)+N(L813)*N(M813)+N(N813)*N(O813))-(N(J813)+N(L813)+N(N813))*F813)-N(Q813))</f>
        <v/>
      </c>
      <c r="V813" s="9">
        <f>IF(OR(B813="",P813=""),"",U813/S813)</f>
        <v/>
      </c>
      <c r="W813">
        <f>IF(OR(B813="",P813=""),"",NETWORKDAYS(C813,P813)-1)</f>
        <v/>
      </c>
      <c r="X813">
        <f>IF(B813="","",IF(P813="","Aberto","Fechado"))</f>
        <v/>
      </c>
    </row>
    <row r="814">
      <c r="C814" s="6" t="n"/>
      <c r="E814" s="7" t="n"/>
      <c r="F814" s="8" t="n"/>
      <c r="G814" s="8" t="n"/>
      <c r="H814" s="8" t="n"/>
      <c r="J814" s="7" t="n"/>
      <c r="K814" s="8" t="n"/>
      <c r="L814" s="7" t="n"/>
      <c r="M814" s="8" t="n"/>
      <c r="N814" s="7" t="n"/>
      <c r="O814" s="8" t="n"/>
      <c r="P814" s="6" t="n"/>
      <c r="Q814" s="8" t="n"/>
      <c r="S814" s="8">
        <f>IF(B814="","",E814*F814)</f>
        <v/>
      </c>
      <c r="T814" s="8">
        <f>IF(OR(B814="",N(G814)=0),"",ABS(F814-G814)*E814)</f>
        <v/>
      </c>
      <c r="U814" s="8">
        <f>IF(OR(B814="",P814=""),"",IF(D814="Venda",-1,1)*((N(J814)*N(K814)+N(L814)*N(M814)+N(N814)*N(O814))-(N(J814)+N(L814)+N(N814))*F814)-N(Q814))</f>
        <v/>
      </c>
      <c r="V814" s="9">
        <f>IF(OR(B814="",P814=""),"",U814/S814)</f>
        <v/>
      </c>
      <c r="W814">
        <f>IF(OR(B814="",P814=""),"",NETWORKDAYS(C814,P814)-1)</f>
        <v/>
      </c>
      <c r="X814">
        <f>IF(B814="","",IF(P814="","Aberto","Fechado"))</f>
        <v/>
      </c>
    </row>
    <row r="815">
      <c r="C815" s="6" t="n"/>
      <c r="E815" s="7" t="n"/>
      <c r="F815" s="8" t="n"/>
      <c r="G815" s="8" t="n"/>
      <c r="H815" s="8" t="n"/>
      <c r="J815" s="7" t="n"/>
      <c r="K815" s="8" t="n"/>
      <c r="L815" s="7" t="n"/>
      <c r="M815" s="8" t="n"/>
      <c r="N815" s="7" t="n"/>
      <c r="O815" s="8" t="n"/>
      <c r="P815" s="6" t="n"/>
      <c r="Q815" s="8" t="n"/>
      <c r="S815" s="8">
        <f>IF(B815="","",E815*F815)</f>
        <v/>
      </c>
      <c r="T815" s="8">
        <f>IF(OR(B815="",N(G815)=0),"",ABS(F815-G815)*E815)</f>
        <v/>
      </c>
      <c r="U815" s="8">
        <f>IF(OR(B815="",P815=""),"",IF(D815="Venda",-1,1)*((N(J815)*N(K815)+N(L815)*N(M815)+N(N815)*N(O815))-(N(J815)+N(L815)+N(N815))*F815)-N(Q815))</f>
        <v/>
      </c>
      <c r="V815" s="9">
        <f>IF(OR(B815="",P815=""),"",U815/S815)</f>
        <v/>
      </c>
      <c r="W815">
        <f>IF(OR(B815="",P815=""),"",NETWORKDAYS(C815,P815)-1)</f>
        <v/>
      </c>
      <c r="X815">
        <f>IF(B815="","",IF(P815="","Aberto","Fechado"))</f>
        <v/>
      </c>
    </row>
    <row r="816">
      <c r="C816" s="6" t="n"/>
      <c r="E816" s="7" t="n"/>
      <c r="F816" s="8" t="n"/>
      <c r="G816" s="8" t="n"/>
      <c r="H816" s="8" t="n"/>
      <c r="J816" s="7" t="n"/>
      <c r="K816" s="8" t="n"/>
      <c r="L816" s="7" t="n"/>
      <c r="M816" s="8" t="n"/>
      <c r="N816" s="7" t="n"/>
      <c r="O816" s="8" t="n"/>
      <c r="P816" s="6" t="n"/>
      <c r="Q816" s="8" t="n"/>
      <c r="S816" s="8">
        <f>IF(B816="","",E816*F816)</f>
        <v/>
      </c>
      <c r="T816" s="8">
        <f>IF(OR(B816="",N(G816)=0),"",ABS(F816-G816)*E816)</f>
        <v/>
      </c>
      <c r="U816" s="8">
        <f>IF(OR(B816="",P816=""),"",IF(D816="Venda",-1,1)*((N(J816)*N(K816)+N(L816)*N(M816)+N(N816)*N(O816))-(N(J816)+N(L816)+N(N816))*F816)-N(Q816))</f>
        <v/>
      </c>
      <c r="V816" s="9">
        <f>IF(OR(B816="",P816=""),"",U816/S816)</f>
        <v/>
      </c>
      <c r="W816">
        <f>IF(OR(B816="",P816=""),"",NETWORKDAYS(C816,P816)-1)</f>
        <v/>
      </c>
      <c r="X816">
        <f>IF(B816="","",IF(P816="","Aberto","Fechado"))</f>
        <v/>
      </c>
    </row>
    <row r="817">
      <c r="C817" s="6" t="n"/>
      <c r="E817" s="7" t="n"/>
      <c r="F817" s="8" t="n"/>
      <c r="G817" s="8" t="n"/>
      <c r="H817" s="8" t="n"/>
      <c r="J817" s="7" t="n"/>
      <c r="K817" s="8" t="n"/>
      <c r="L817" s="7" t="n"/>
      <c r="M817" s="8" t="n"/>
      <c r="N817" s="7" t="n"/>
      <c r="O817" s="8" t="n"/>
      <c r="P817" s="6" t="n"/>
      <c r="Q817" s="8" t="n"/>
      <c r="S817" s="8">
        <f>IF(B817="","",E817*F817)</f>
        <v/>
      </c>
      <c r="T817" s="8">
        <f>IF(OR(B817="",N(G817)=0),"",ABS(F817-G817)*E817)</f>
        <v/>
      </c>
      <c r="U817" s="8">
        <f>IF(OR(B817="",P817=""),"",IF(D817="Venda",-1,1)*((N(J817)*N(K817)+N(L817)*N(M817)+N(N817)*N(O817))-(N(J817)+N(L817)+N(N817))*F817)-N(Q817))</f>
        <v/>
      </c>
      <c r="V817" s="9">
        <f>IF(OR(B817="",P817=""),"",U817/S817)</f>
        <v/>
      </c>
      <c r="W817">
        <f>IF(OR(B817="",P817=""),"",NETWORKDAYS(C817,P817)-1)</f>
        <v/>
      </c>
      <c r="X817">
        <f>IF(B817="","",IF(P817="","Aberto","Fechado"))</f>
        <v/>
      </c>
    </row>
    <row r="818">
      <c r="C818" s="6" t="n"/>
      <c r="E818" s="7" t="n"/>
      <c r="F818" s="8" t="n"/>
      <c r="G818" s="8" t="n"/>
      <c r="H818" s="8" t="n"/>
      <c r="J818" s="7" t="n"/>
      <c r="K818" s="8" t="n"/>
      <c r="L818" s="7" t="n"/>
      <c r="M818" s="8" t="n"/>
      <c r="N818" s="7" t="n"/>
      <c r="O818" s="8" t="n"/>
      <c r="P818" s="6" t="n"/>
      <c r="Q818" s="8" t="n"/>
      <c r="S818" s="8">
        <f>IF(B818="","",E818*F818)</f>
        <v/>
      </c>
      <c r="T818" s="8">
        <f>IF(OR(B818="",N(G818)=0),"",ABS(F818-G818)*E818)</f>
        <v/>
      </c>
      <c r="U818" s="8">
        <f>IF(OR(B818="",P818=""),"",IF(D818="Venda",-1,1)*((N(J818)*N(K818)+N(L818)*N(M818)+N(N818)*N(O818))-(N(J818)+N(L818)+N(N818))*F818)-N(Q818))</f>
        <v/>
      </c>
      <c r="V818" s="9">
        <f>IF(OR(B818="",P818=""),"",U818/S818)</f>
        <v/>
      </c>
      <c r="W818">
        <f>IF(OR(B818="",P818=""),"",NETWORKDAYS(C818,P818)-1)</f>
        <v/>
      </c>
      <c r="X818">
        <f>IF(B818="","",IF(P818="","Aberto","Fechado"))</f>
        <v/>
      </c>
    </row>
    <row r="819">
      <c r="C819" s="6" t="n"/>
      <c r="E819" s="7" t="n"/>
      <c r="F819" s="8" t="n"/>
      <c r="G819" s="8" t="n"/>
      <c r="H819" s="8" t="n"/>
      <c r="J819" s="7" t="n"/>
      <c r="K819" s="8" t="n"/>
      <c r="L819" s="7" t="n"/>
      <c r="M819" s="8" t="n"/>
      <c r="N819" s="7" t="n"/>
      <c r="O819" s="8" t="n"/>
      <c r="P819" s="6" t="n"/>
      <c r="Q819" s="8" t="n"/>
      <c r="S819" s="8">
        <f>IF(B819="","",E819*F819)</f>
        <v/>
      </c>
      <c r="T819" s="8">
        <f>IF(OR(B819="",N(G819)=0),"",ABS(F819-G819)*E819)</f>
        <v/>
      </c>
      <c r="U819" s="8">
        <f>IF(OR(B819="",P819=""),"",IF(D819="Venda",-1,1)*((N(J819)*N(K819)+N(L819)*N(M819)+N(N819)*N(O819))-(N(J819)+N(L819)+N(N819))*F819)-N(Q819))</f>
        <v/>
      </c>
      <c r="V819" s="9">
        <f>IF(OR(B819="",P819=""),"",U819/S819)</f>
        <v/>
      </c>
      <c r="W819">
        <f>IF(OR(B819="",P819=""),"",NETWORKDAYS(C819,P819)-1)</f>
        <v/>
      </c>
      <c r="X819">
        <f>IF(B819="","",IF(P819="","Aberto","Fechado"))</f>
        <v/>
      </c>
    </row>
    <row r="820">
      <c r="C820" s="6" t="n"/>
      <c r="E820" s="7" t="n"/>
      <c r="F820" s="8" t="n"/>
      <c r="G820" s="8" t="n"/>
      <c r="H820" s="8" t="n"/>
      <c r="J820" s="7" t="n"/>
      <c r="K820" s="8" t="n"/>
      <c r="L820" s="7" t="n"/>
      <c r="M820" s="8" t="n"/>
      <c r="N820" s="7" t="n"/>
      <c r="O820" s="8" t="n"/>
      <c r="P820" s="6" t="n"/>
      <c r="Q820" s="8" t="n"/>
      <c r="S820" s="8">
        <f>IF(B820="","",E820*F820)</f>
        <v/>
      </c>
      <c r="T820" s="8">
        <f>IF(OR(B820="",N(G820)=0),"",ABS(F820-G820)*E820)</f>
        <v/>
      </c>
      <c r="U820" s="8">
        <f>IF(OR(B820="",P820=""),"",IF(D820="Venda",-1,1)*((N(J820)*N(K820)+N(L820)*N(M820)+N(N820)*N(O820))-(N(J820)+N(L820)+N(N820))*F820)-N(Q820))</f>
        <v/>
      </c>
      <c r="V820" s="9">
        <f>IF(OR(B820="",P820=""),"",U820/S820)</f>
        <v/>
      </c>
      <c r="W820">
        <f>IF(OR(B820="",P820=""),"",NETWORKDAYS(C820,P820)-1)</f>
        <v/>
      </c>
      <c r="X820">
        <f>IF(B820="","",IF(P820="","Aberto","Fechado"))</f>
        <v/>
      </c>
    </row>
    <row r="821">
      <c r="C821" s="6" t="n"/>
      <c r="E821" s="7" t="n"/>
      <c r="F821" s="8" t="n"/>
      <c r="G821" s="8" t="n"/>
      <c r="H821" s="8" t="n"/>
      <c r="J821" s="7" t="n"/>
      <c r="K821" s="8" t="n"/>
      <c r="L821" s="7" t="n"/>
      <c r="M821" s="8" t="n"/>
      <c r="N821" s="7" t="n"/>
      <c r="O821" s="8" t="n"/>
      <c r="P821" s="6" t="n"/>
      <c r="Q821" s="8" t="n"/>
      <c r="S821" s="8">
        <f>IF(B821="","",E821*F821)</f>
        <v/>
      </c>
      <c r="T821" s="8">
        <f>IF(OR(B821="",N(G821)=0),"",ABS(F821-G821)*E821)</f>
        <v/>
      </c>
      <c r="U821" s="8">
        <f>IF(OR(B821="",P821=""),"",IF(D821="Venda",-1,1)*((N(J821)*N(K821)+N(L821)*N(M821)+N(N821)*N(O821))-(N(J821)+N(L821)+N(N821))*F821)-N(Q821))</f>
        <v/>
      </c>
      <c r="V821" s="9">
        <f>IF(OR(B821="",P821=""),"",U821/S821)</f>
        <v/>
      </c>
      <c r="W821">
        <f>IF(OR(B821="",P821=""),"",NETWORKDAYS(C821,P821)-1)</f>
        <v/>
      </c>
      <c r="X821">
        <f>IF(B821="","",IF(P821="","Aberto","Fechado"))</f>
        <v/>
      </c>
    </row>
    <row r="822">
      <c r="C822" s="6" t="n"/>
      <c r="E822" s="7" t="n"/>
      <c r="F822" s="8" t="n"/>
      <c r="G822" s="8" t="n"/>
      <c r="H822" s="8" t="n"/>
      <c r="J822" s="7" t="n"/>
      <c r="K822" s="8" t="n"/>
      <c r="L822" s="7" t="n"/>
      <c r="M822" s="8" t="n"/>
      <c r="N822" s="7" t="n"/>
      <c r="O822" s="8" t="n"/>
      <c r="P822" s="6" t="n"/>
      <c r="Q822" s="8" t="n"/>
      <c r="S822" s="8">
        <f>IF(B822="","",E822*F822)</f>
        <v/>
      </c>
      <c r="T822" s="8">
        <f>IF(OR(B822="",N(G822)=0),"",ABS(F822-G822)*E822)</f>
        <v/>
      </c>
      <c r="U822" s="8">
        <f>IF(OR(B822="",P822=""),"",IF(D822="Venda",-1,1)*((N(J822)*N(K822)+N(L822)*N(M822)+N(N822)*N(O822))-(N(J822)+N(L822)+N(N822))*F822)-N(Q822))</f>
        <v/>
      </c>
      <c r="V822" s="9">
        <f>IF(OR(B822="",P822=""),"",U822/S822)</f>
        <v/>
      </c>
      <c r="W822">
        <f>IF(OR(B822="",P822=""),"",NETWORKDAYS(C822,P822)-1)</f>
        <v/>
      </c>
      <c r="X822">
        <f>IF(B822="","",IF(P822="","Aberto","Fechado"))</f>
        <v/>
      </c>
    </row>
    <row r="823">
      <c r="C823" s="6" t="n"/>
      <c r="E823" s="7" t="n"/>
      <c r="F823" s="8" t="n"/>
      <c r="G823" s="8" t="n"/>
      <c r="H823" s="8" t="n"/>
      <c r="J823" s="7" t="n"/>
      <c r="K823" s="8" t="n"/>
      <c r="L823" s="7" t="n"/>
      <c r="M823" s="8" t="n"/>
      <c r="N823" s="7" t="n"/>
      <c r="O823" s="8" t="n"/>
      <c r="P823" s="6" t="n"/>
      <c r="Q823" s="8" t="n"/>
      <c r="S823" s="8">
        <f>IF(B823="","",E823*F823)</f>
        <v/>
      </c>
      <c r="T823" s="8">
        <f>IF(OR(B823="",N(G823)=0),"",ABS(F823-G823)*E823)</f>
        <v/>
      </c>
      <c r="U823" s="8">
        <f>IF(OR(B823="",P823=""),"",IF(D823="Venda",-1,1)*((N(J823)*N(K823)+N(L823)*N(M823)+N(N823)*N(O823))-(N(J823)+N(L823)+N(N823))*F823)-N(Q823))</f>
        <v/>
      </c>
      <c r="V823" s="9">
        <f>IF(OR(B823="",P823=""),"",U823/S823)</f>
        <v/>
      </c>
      <c r="W823">
        <f>IF(OR(B823="",P823=""),"",NETWORKDAYS(C823,P823)-1)</f>
        <v/>
      </c>
      <c r="X823">
        <f>IF(B823="","",IF(P823="","Aberto","Fechado"))</f>
        <v/>
      </c>
    </row>
    <row r="824">
      <c r="C824" s="6" t="n"/>
      <c r="E824" s="7" t="n"/>
      <c r="F824" s="8" t="n"/>
      <c r="G824" s="8" t="n"/>
      <c r="H824" s="8" t="n"/>
      <c r="J824" s="7" t="n"/>
      <c r="K824" s="8" t="n"/>
      <c r="L824" s="7" t="n"/>
      <c r="M824" s="8" t="n"/>
      <c r="N824" s="7" t="n"/>
      <c r="O824" s="8" t="n"/>
      <c r="P824" s="6" t="n"/>
      <c r="Q824" s="8" t="n"/>
      <c r="S824" s="8">
        <f>IF(B824="","",E824*F824)</f>
        <v/>
      </c>
      <c r="T824" s="8">
        <f>IF(OR(B824="",N(G824)=0),"",ABS(F824-G824)*E824)</f>
        <v/>
      </c>
      <c r="U824" s="8">
        <f>IF(OR(B824="",P824=""),"",IF(D824="Venda",-1,1)*((N(J824)*N(K824)+N(L824)*N(M824)+N(N824)*N(O824))-(N(J824)+N(L824)+N(N824))*F824)-N(Q824))</f>
        <v/>
      </c>
      <c r="V824" s="9">
        <f>IF(OR(B824="",P824=""),"",U824/S824)</f>
        <v/>
      </c>
      <c r="W824">
        <f>IF(OR(B824="",P824=""),"",NETWORKDAYS(C824,P824)-1)</f>
        <v/>
      </c>
      <c r="X824">
        <f>IF(B824="","",IF(P824="","Aberto","Fechado"))</f>
        <v/>
      </c>
    </row>
    <row r="825">
      <c r="C825" s="6" t="n"/>
      <c r="E825" s="7" t="n"/>
      <c r="F825" s="8" t="n"/>
      <c r="G825" s="8" t="n"/>
      <c r="H825" s="8" t="n"/>
      <c r="J825" s="7" t="n"/>
      <c r="K825" s="8" t="n"/>
      <c r="L825" s="7" t="n"/>
      <c r="M825" s="8" t="n"/>
      <c r="N825" s="7" t="n"/>
      <c r="O825" s="8" t="n"/>
      <c r="P825" s="6" t="n"/>
      <c r="Q825" s="8" t="n"/>
      <c r="S825" s="8">
        <f>IF(B825="","",E825*F825)</f>
        <v/>
      </c>
      <c r="T825" s="8">
        <f>IF(OR(B825="",N(G825)=0),"",ABS(F825-G825)*E825)</f>
        <v/>
      </c>
      <c r="U825" s="8">
        <f>IF(OR(B825="",P825=""),"",IF(D825="Venda",-1,1)*((N(J825)*N(K825)+N(L825)*N(M825)+N(N825)*N(O825))-(N(J825)+N(L825)+N(N825))*F825)-N(Q825))</f>
        <v/>
      </c>
      <c r="V825" s="9">
        <f>IF(OR(B825="",P825=""),"",U825/S825)</f>
        <v/>
      </c>
      <c r="W825">
        <f>IF(OR(B825="",P825=""),"",NETWORKDAYS(C825,P825)-1)</f>
        <v/>
      </c>
      <c r="X825">
        <f>IF(B825="","",IF(P825="","Aberto","Fechado"))</f>
        <v/>
      </c>
    </row>
    <row r="826">
      <c r="C826" s="6" t="n"/>
      <c r="E826" s="7" t="n"/>
      <c r="F826" s="8" t="n"/>
      <c r="G826" s="8" t="n"/>
      <c r="H826" s="8" t="n"/>
      <c r="J826" s="7" t="n"/>
      <c r="K826" s="8" t="n"/>
      <c r="L826" s="7" t="n"/>
      <c r="M826" s="8" t="n"/>
      <c r="N826" s="7" t="n"/>
      <c r="O826" s="8" t="n"/>
      <c r="P826" s="6" t="n"/>
      <c r="Q826" s="8" t="n"/>
      <c r="S826" s="8">
        <f>IF(B826="","",E826*F826)</f>
        <v/>
      </c>
      <c r="T826" s="8">
        <f>IF(OR(B826="",N(G826)=0),"",ABS(F826-G826)*E826)</f>
        <v/>
      </c>
      <c r="U826" s="8">
        <f>IF(OR(B826="",P826=""),"",IF(D826="Venda",-1,1)*((N(J826)*N(K826)+N(L826)*N(M826)+N(N826)*N(O826))-(N(J826)+N(L826)+N(N826))*F826)-N(Q826))</f>
        <v/>
      </c>
      <c r="V826" s="9">
        <f>IF(OR(B826="",P826=""),"",U826/S826)</f>
        <v/>
      </c>
      <c r="W826">
        <f>IF(OR(B826="",P826=""),"",NETWORKDAYS(C826,P826)-1)</f>
        <v/>
      </c>
      <c r="X826">
        <f>IF(B826="","",IF(P826="","Aberto","Fechado"))</f>
        <v/>
      </c>
    </row>
    <row r="827">
      <c r="C827" s="6" t="n"/>
      <c r="E827" s="7" t="n"/>
      <c r="F827" s="8" t="n"/>
      <c r="G827" s="8" t="n"/>
      <c r="H827" s="8" t="n"/>
      <c r="J827" s="7" t="n"/>
      <c r="K827" s="8" t="n"/>
      <c r="L827" s="7" t="n"/>
      <c r="M827" s="8" t="n"/>
      <c r="N827" s="7" t="n"/>
      <c r="O827" s="8" t="n"/>
      <c r="P827" s="6" t="n"/>
      <c r="Q827" s="8" t="n"/>
      <c r="S827" s="8">
        <f>IF(B827="","",E827*F827)</f>
        <v/>
      </c>
      <c r="T827" s="8">
        <f>IF(OR(B827="",N(G827)=0),"",ABS(F827-G827)*E827)</f>
        <v/>
      </c>
      <c r="U827" s="8">
        <f>IF(OR(B827="",P827=""),"",IF(D827="Venda",-1,1)*((N(J827)*N(K827)+N(L827)*N(M827)+N(N827)*N(O827))-(N(J827)+N(L827)+N(N827))*F827)-N(Q827))</f>
        <v/>
      </c>
      <c r="V827" s="9">
        <f>IF(OR(B827="",P827=""),"",U827/S827)</f>
        <v/>
      </c>
      <c r="W827">
        <f>IF(OR(B827="",P827=""),"",NETWORKDAYS(C827,P827)-1)</f>
        <v/>
      </c>
      <c r="X827">
        <f>IF(B827="","",IF(P827="","Aberto","Fechado"))</f>
        <v/>
      </c>
    </row>
    <row r="828">
      <c r="C828" s="6" t="n"/>
      <c r="E828" s="7" t="n"/>
      <c r="F828" s="8" t="n"/>
      <c r="G828" s="8" t="n"/>
      <c r="H828" s="8" t="n"/>
      <c r="J828" s="7" t="n"/>
      <c r="K828" s="8" t="n"/>
      <c r="L828" s="7" t="n"/>
      <c r="M828" s="8" t="n"/>
      <c r="N828" s="7" t="n"/>
      <c r="O828" s="8" t="n"/>
      <c r="P828" s="6" t="n"/>
      <c r="Q828" s="8" t="n"/>
      <c r="S828" s="8">
        <f>IF(B828="","",E828*F828)</f>
        <v/>
      </c>
      <c r="T828" s="8">
        <f>IF(OR(B828="",N(G828)=0),"",ABS(F828-G828)*E828)</f>
        <v/>
      </c>
      <c r="U828" s="8">
        <f>IF(OR(B828="",P828=""),"",IF(D828="Venda",-1,1)*((N(J828)*N(K828)+N(L828)*N(M828)+N(N828)*N(O828))-(N(J828)+N(L828)+N(N828))*F828)-N(Q828))</f>
        <v/>
      </c>
      <c r="V828" s="9">
        <f>IF(OR(B828="",P828=""),"",U828/S828)</f>
        <v/>
      </c>
      <c r="W828">
        <f>IF(OR(B828="",P828=""),"",NETWORKDAYS(C828,P828)-1)</f>
        <v/>
      </c>
      <c r="X828">
        <f>IF(B828="","",IF(P828="","Aberto","Fechado"))</f>
        <v/>
      </c>
    </row>
    <row r="829">
      <c r="C829" s="6" t="n"/>
      <c r="E829" s="7" t="n"/>
      <c r="F829" s="8" t="n"/>
      <c r="G829" s="8" t="n"/>
      <c r="H829" s="8" t="n"/>
      <c r="J829" s="7" t="n"/>
      <c r="K829" s="8" t="n"/>
      <c r="L829" s="7" t="n"/>
      <c r="M829" s="8" t="n"/>
      <c r="N829" s="7" t="n"/>
      <c r="O829" s="8" t="n"/>
      <c r="P829" s="6" t="n"/>
      <c r="Q829" s="8" t="n"/>
      <c r="S829" s="8">
        <f>IF(B829="","",E829*F829)</f>
        <v/>
      </c>
      <c r="T829" s="8">
        <f>IF(OR(B829="",N(G829)=0),"",ABS(F829-G829)*E829)</f>
        <v/>
      </c>
      <c r="U829" s="8">
        <f>IF(OR(B829="",P829=""),"",IF(D829="Venda",-1,1)*((N(J829)*N(K829)+N(L829)*N(M829)+N(N829)*N(O829))-(N(J829)+N(L829)+N(N829))*F829)-N(Q829))</f>
        <v/>
      </c>
      <c r="V829" s="9">
        <f>IF(OR(B829="",P829=""),"",U829/S829)</f>
        <v/>
      </c>
      <c r="W829">
        <f>IF(OR(B829="",P829=""),"",NETWORKDAYS(C829,P829)-1)</f>
        <v/>
      </c>
      <c r="X829">
        <f>IF(B829="","",IF(P829="","Aberto","Fechado"))</f>
        <v/>
      </c>
    </row>
    <row r="830">
      <c r="C830" s="6" t="n"/>
      <c r="E830" s="7" t="n"/>
      <c r="F830" s="8" t="n"/>
      <c r="G830" s="8" t="n"/>
      <c r="H830" s="8" t="n"/>
      <c r="J830" s="7" t="n"/>
      <c r="K830" s="8" t="n"/>
      <c r="L830" s="7" t="n"/>
      <c r="M830" s="8" t="n"/>
      <c r="N830" s="7" t="n"/>
      <c r="O830" s="8" t="n"/>
      <c r="P830" s="6" t="n"/>
      <c r="Q830" s="8" t="n"/>
      <c r="S830" s="8">
        <f>IF(B830="","",E830*F830)</f>
        <v/>
      </c>
      <c r="T830" s="8">
        <f>IF(OR(B830="",N(G830)=0),"",ABS(F830-G830)*E830)</f>
        <v/>
      </c>
      <c r="U830" s="8">
        <f>IF(OR(B830="",P830=""),"",IF(D830="Venda",-1,1)*((N(J830)*N(K830)+N(L830)*N(M830)+N(N830)*N(O830))-(N(J830)+N(L830)+N(N830))*F830)-N(Q830))</f>
        <v/>
      </c>
      <c r="V830" s="9">
        <f>IF(OR(B830="",P830=""),"",U830/S830)</f>
        <v/>
      </c>
      <c r="W830">
        <f>IF(OR(B830="",P830=""),"",NETWORKDAYS(C830,P830)-1)</f>
        <v/>
      </c>
      <c r="X830">
        <f>IF(B830="","",IF(P830="","Aberto","Fechado"))</f>
        <v/>
      </c>
    </row>
    <row r="831">
      <c r="C831" s="6" t="n"/>
      <c r="E831" s="7" t="n"/>
      <c r="F831" s="8" t="n"/>
      <c r="G831" s="8" t="n"/>
      <c r="H831" s="8" t="n"/>
      <c r="J831" s="7" t="n"/>
      <c r="K831" s="8" t="n"/>
      <c r="L831" s="7" t="n"/>
      <c r="M831" s="8" t="n"/>
      <c r="N831" s="7" t="n"/>
      <c r="O831" s="8" t="n"/>
      <c r="P831" s="6" t="n"/>
      <c r="Q831" s="8" t="n"/>
      <c r="S831" s="8">
        <f>IF(B831="","",E831*F831)</f>
        <v/>
      </c>
      <c r="T831" s="8">
        <f>IF(OR(B831="",N(G831)=0),"",ABS(F831-G831)*E831)</f>
        <v/>
      </c>
      <c r="U831" s="8">
        <f>IF(OR(B831="",P831=""),"",IF(D831="Venda",-1,1)*((N(J831)*N(K831)+N(L831)*N(M831)+N(N831)*N(O831))-(N(J831)+N(L831)+N(N831))*F831)-N(Q831))</f>
        <v/>
      </c>
      <c r="V831" s="9">
        <f>IF(OR(B831="",P831=""),"",U831/S831)</f>
        <v/>
      </c>
      <c r="W831">
        <f>IF(OR(B831="",P831=""),"",NETWORKDAYS(C831,P831)-1)</f>
        <v/>
      </c>
      <c r="X831">
        <f>IF(B831="","",IF(P831="","Aberto","Fechado"))</f>
        <v/>
      </c>
    </row>
    <row r="832">
      <c r="C832" s="6" t="n"/>
      <c r="E832" s="7" t="n"/>
      <c r="F832" s="8" t="n"/>
      <c r="G832" s="8" t="n"/>
      <c r="H832" s="8" t="n"/>
      <c r="J832" s="7" t="n"/>
      <c r="K832" s="8" t="n"/>
      <c r="L832" s="7" t="n"/>
      <c r="M832" s="8" t="n"/>
      <c r="N832" s="7" t="n"/>
      <c r="O832" s="8" t="n"/>
      <c r="P832" s="6" t="n"/>
      <c r="Q832" s="8" t="n"/>
      <c r="S832" s="8">
        <f>IF(B832="","",E832*F832)</f>
        <v/>
      </c>
      <c r="T832" s="8">
        <f>IF(OR(B832="",N(G832)=0),"",ABS(F832-G832)*E832)</f>
        <v/>
      </c>
      <c r="U832" s="8">
        <f>IF(OR(B832="",P832=""),"",IF(D832="Venda",-1,1)*((N(J832)*N(K832)+N(L832)*N(M832)+N(N832)*N(O832))-(N(J832)+N(L832)+N(N832))*F832)-N(Q832))</f>
        <v/>
      </c>
      <c r="V832" s="9">
        <f>IF(OR(B832="",P832=""),"",U832/S832)</f>
        <v/>
      </c>
      <c r="W832">
        <f>IF(OR(B832="",P832=""),"",NETWORKDAYS(C832,P832)-1)</f>
        <v/>
      </c>
      <c r="X832">
        <f>IF(B832="","",IF(P832="","Aberto","Fechado"))</f>
        <v/>
      </c>
    </row>
    <row r="833">
      <c r="C833" s="6" t="n"/>
      <c r="E833" s="7" t="n"/>
      <c r="F833" s="8" t="n"/>
      <c r="G833" s="8" t="n"/>
      <c r="H833" s="8" t="n"/>
      <c r="J833" s="7" t="n"/>
      <c r="K833" s="8" t="n"/>
      <c r="L833" s="7" t="n"/>
      <c r="M833" s="8" t="n"/>
      <c r="N833" s="7" t="n"/>
      <c r="O833" s="8" t="n"/>
      <c r="P833" s="6" t="n"/>
      <c r="Q833" s="8" t="n"/>
      <c r="S833" s="8">
        <f>IF(B833="","",E833*F833)</f>
        <v/>
      </c>
      <c r="T833" s="8">
        <f>IF(OR(B833="",N(G833)=0),"",ABS(F833-G833)*E833)</f>
        <v/>
      </c>
      <c r="U833" s="8">
        <f>IF(OR(B833="",P833=""),"",IF(D833="Venda",-1,1)*((N(J833)*N(K833)+N(L833)*N(M833)+N(N833)*N(O833))-(N(J833)+N(L833)+N(N833))*F833)-N(Q833))</f>
        <v/>
      </c>
      <c r="V833" s="9">
        <f>IF(OR(B833="",P833=""),"",U833/S833)</f>
        <v/>
      </c>
      <c r="W833">
        <f>IF(OR(B833="",P833=""),"",NETWORKDAYS(C833,P833)-1)</f>
        <v/>
      </c>
      <c r="X833">
        <f>IF(B833="","",IF(P833="","Aberto","Fechado"))</f>
        <v/>
      </c>
    </row>
    <row r="834">
      <c r="C834" s="6" t="n"/>
      <c r="E834" s="7" t="n"/>
      <c r="F834" s="8" t="n"/>
      <c r="G834" s="8" t="n"/>
      <c r="H834" s="8" t="n"/>
      <c r="J834" s="7" t="n"/>
      <c r="K834" s="8" t="n"/>
      <c r="L834" s="7" t="n"/>
      <c r="M834" s="8" t="n"/>
      <c r="N834" s="7" t="n"/>
      <c r="O834" s="8" t="n"/>
      <c r="P834" s="6" t="n"/>
      <c r="Q834" s="8" t="n"/>
      <c r="S834" s="8">
        <f>IF(B834="","",E834*F834)</f>
        <v/>
      </c>
      <c r="T834" s="8">
        <f>IF(OR(B834="",N(G834)=0),"",ABS(F834-G834)*E834)</f>
        <v/>
      </c>
      <c r="U834" s="8">
        <f>IF(OR(B834="",P834=""),"",IF(D834="Venda",-1,1)*((N(J834)*N(K834)+N(L834)*N(M834)+N(N834)*N(O834))-(N(J834)+N(L834)+N(N834))*F834)-N(Q834))</f>
        <v/>
      </c>
      <c r="V834" s="9">
        <f>IF(OR(B834="",P834=""),"",U834/S834)</f>
        <v/>
      </c>
      <c r="W834">
        <f>IF(OR(B834="",P834=""),"",NETWORKDAYS(C834,P834)-1)</f>
        <v/>
      </c>
      <c r="X834">
        <f>IF(B834="","",IF(P834="","Aberto","Fechado"))</f>
        <v/>
      </c>
    </row>
    <row r="835">
      <c r="C835" s="6" t="n"/>
      <c r="E835" s="7" t="n"/>
      <c r="F835" s="8" t="n"/>
      <c r="G835" s="8" t="n"/>
      <c r="H835" s="8" t="n"/>
      <c r="J835" s="7" t="n"/>
      <c r="K835" s="8" t="n"/>
      <c r="L835" s="7" t="n"/>
      <c r="M835" s="8" t="n"/>
      <c r="N835" s="7" t="n"/>
      <c r="O835" s="8" t="n"/>
      <c r="P835" s="6" t="n"/>
      <c r="Q835" s="8" t="n"/>
      <c r="S835" s="8">
        <f>IF(B835="","",E835*F835)</f>
        <v/>
      </c>
      <c r="T835" s="8">
        <f>IF(OR(B835="",N(G835)=0),"",ABS(F835-G835)*E835)</f>
        <v/>
      </c>
      <c r="U835" s="8">
        <f>IF(OR(B835="",P835=""),"",IF(D835="Venda",-1,1)*((N(J835)*N(K835)+N(L835)*N(M835)+N(N835)*N(O835))-(N(J835)+N(L835)+N(N835))*F835)-N(Q835))</f>
        <v/>
      </c>
      <c r="V835" s="9">
        <f>IF(OR(B835="",P835=""),"",U835/S835)</f>
        <v/>
      </c>
      <c r="W835">
        <f>IF(OR(B835="",P835=""),"",NETWORKDAYS(C835,P835)-1)</f>
        <v/>
      </c>
      <c r="X835">
        <f>IF(B835="","",IF(P835="","Aberto","Fechado"))</f>
        <v/>
      </c>
    </row>
    <row r="836">
      <c r="C836" s="6" t="n"/>
      <c r="E836" s="7" t="n"/>
      <c r="F836" s="8" t="n"/>
      <c r="G836" s="8" t="n"/>
      <c r="H836" s="8" t="n"/>
      <c r="J836" s="7" t="n"/>
      <c r="K836" s="8" t="n"/>
      <c r="L836" s="7" t="n"/>
      <c r="M836" s="8" t="n"/>
      <c r="N836" s="7" t="n"/>
      <c r="O836" s="8" t="n"/>
      <c r="P836" s="6" t="n"/>
      <c r="Q836" s="8" t="n"/>
      <c r="S836" s="8">
        <f>IF(B836="","",E836*F836)</f>
        <v/>
      </c>
      <c r="T836" s="8">
        <f>IF(OR(B836="",N(G836)=0),"",ABS(F836-G836)*E836)</f>
        <v/>
      </c>
      <c r="U836" s="8">
        <f>IF(OR(B836="",P836=""),"",IF(D836="Venda",-1,1)*((N(J836)*N(K836)+N(L836)*N(M836)+N(N836)*N(O836))-(N(J836)+N(L836)+N(N836))*F836)-N(Q836))</f>
        <v/>
      </c>
      <c r="V836" s="9">
        <f>IF(OR(B836="",P836=""),"",U836/S836)</f>
        <v/>
      </c>
      <c r="W836">
        <f>IF(OR(B836="",P836=""),"",NETWORKDAYS(C836,P836)-1)</f>
        <v/>
      </c>
      <c r="X836">
        <f>IF(B836="","",IF(P836="","Aberto","Fechado"))</f>
        <v/>
      </c>
    </row>
    <row r="837">
      <c r="C837" s="6" t="n"/>
      <c r="E837" s="7" t="n"/>
      <c r="F837" s="8" t="n"/>
      <c r="G837" s="8" t="n"/>
      <c r="H837" s="8" t="n"/>
      <c r="J837" s="7" t="n"/>
      <c r="K837" s="8" t="n"/>
      <c r="L837" s="7" t="n"/>
      <c r="M837" s="8" t="n"/>
      <c r="N837" s="7" t="n"/>
      <c r="O837" s="8" t="n"/>
      <c r="P837" s="6" t="n"/>
      <c r="Q837" s="8" t="n"/>
      <c r="S837" s="8">
        <f>IF(B837="","",E837*F837)</f>
        <v/>
      </c>
      <c r="T837" s="8">
        <f>IF(OR(B837="",N(G837)=0),"",ABS(F837-G837)*E837)</f>
        <v/>
      </c>
      <c r="U837" s="8">
        <f>IF(OR(B837="",P837=""),"",IF(D837="Venda",-1,1)*((N(J837)*N(K837)+N(L837)*N(M837)+N(N837)*N(O837))-(N(J837)+N(L837)+N(N837))*F837)-N(Q837))</f>
        <v/>
      </c>
      <c r="V837" s="9">
        <f>IF(OR(B837="",P837=""),"",U837/S837)</f>
        <v/>
      </c>
      <c r="W837">
        <f>IF(OR(B837="",P837=""),"",NETWORKDAYS(C837,P837)-1)</f>
        <v/>
      </c>
      <c r="X837">
        <f>IF(B837="","",IF(P837="","Aberto","Fechado"))</f>
        <v/>
      </c>
    </row>
    <row r="838">
      <c r="C838" s="6" t="n"/>
      <c r="E838" s="7" t="n"/>
      <c r="F838" s="8" t="n"/>
      <c r="G838" s="8" t="n"/>
      <c r="H838" s="8" t="n"/>
      <c r="J838" s="7" t="n"/>
      <c r="K838" s="8" t="n"/>
      <c r="L838" s="7" t="n"/>
      <c r="M838" s="8" t="n"/>
      <c r="N838" s="7" t="n"/>
      <c r="O838" s="8" t="n"/>
      <c r="P838" s="6" t="n"/>
      <c r="Q838" s="8" t="n"/>
      <c r="S838" s="8">
        <f>IF(B838="","",E838*F838)</f>
        <v/>
      </c>
      <c r="T838" s="8">
        <f>IF(OR(B838="",N(G838)=0),"",ABS(F838-G838)*E838)</f>
        <v/>
      </c>
      <c r="U838" s="8">
        <f>IF(OR(B838="",P838=""),"",IF(D838="Venda",-1,1)*((N(J838)*N(K838)+N(L838)*N(M838)+N(N838)*N(O838))-(N(J838)+N(L838)+N(N838))*F838)-N(Q838))</f>
        <v/>
      </c>
      <c r="V838" s="9">
        <f>IF(OR(B838="",P838=""),"",U838/S838)</f>
        <v/>
      </c>
      <c r="W838">
        <f>IF(OR(B838="",P838=""),"",NETWORKDAYS(C838,P838)-1)</f>
        <v/>
      </c>
      <c r="X838">
        <f>IF(B838="","",IF(P838="","Aberto","Fechado"))</f>
        <v/>
      </c>
    </row>
    <row r="839">
      <c r="C839" s="6" t="n"/>
      <c r="E839" s="7" t="n"/>
      <c r="F839" s="8" t="n"/>
      <c r="G839" s="8" t="n"/>
      <c r="H839" s="8" t="n"/>
      <c r="J839" s="7" t="n"/>
      <c r="K839" s="8" t="n"/>
      <c r="L839" s="7" t="n"/>
      <c r="M839" s="8" t="n"/>
      <c r="N839" s="7" t="n"/>
      <c r="O839" s="8" t="n"/>
      <c r="P839" s="6" t="n"/>
      <c r="Q839" s="8" t="n"/>
      <c r="S839" s="8">
        <f>IF(B839="","",E839*F839)</f>
        <v/>
      </c>
      <c r="T839" s="8">
        <f>IF(OR(B839="",N(G839)=0),"",ABS(F839-G839)*E839)</f>
        <v/>
      </c>
      <c r="U839" s="8">
        <f>IF(OR(B839="",P839=""),"",IF(D839="Venda",-1,1)*((N(J839)*N(K839)+N(L839)*N(M839)+N(N839)*N(O839))-(N(J839)+N(L839)+N(N839))*F839)-N(Q839))</f>
        <v/>
      </c>
      <c r="V839" s="9">
        <f>IF(OR(B839="",P839=""),"",U839/S839)</f>
        <v/>
      </c>
      <c r="W839">
        <f>IF(OR(B839="",P839=""),"",NETWORKDAYS(C839,P839)-1)</f>
        <v/>
      </c>
      <c r="X839">
        <f>IF(B839="","",IF(P839="","Aberto","Fechado"))</f>
        <v/>
      </c>
    </row>
    <row r="840">
      <c r="C840" s="6" t="n"/>
      <c r="E840" s="7" t="n"/>
      <c r="F840" s="8" t="n"/>
      <c r="G840" s="8" t="n"/>
      <c r="H840" s="8" t="n"/>
      <c r="J840" s="7" t="n"/>
      <c r="K840" s="8" t="n"/>
      <c r="L840" s="7" t="n"/>
      <c r="M840" s="8" t="n"/>
      <c r="N840" s="7" t="n"/>
      <c r="O840" s="8" t="n"/>
      <c r="P840" s="6" t="n"/>
      <c r="Q840" s="8" t="n"/>
      <c r="S840" s="8">
        <f>IF(B840="","",E840*F840)</f>
        <v/>
      </c>
      <c r="T840" s="8">
        <f>IF(OR(B840="",N(G840)=0),"",ABS(F840-G840)*E840)</f>
        <v/>
      </c>
      <c r="U840" s="8">
        <f>IF(OR(B840="",P840=""),"",IF(D840="Venda",-1,1)*((N(J840)*N(K840)+N(L840)*N(M840)+N(N840)*N(O840))-(N(J840)+N(L840)+N(N840))*F840)-N(Q840))</f>
        <v/>
      </c>
      <c r="V840" s="9">
        <f>IF(OR(B840="",P840=""),"",U840/S840)</f>
        <v/>
      </c>
      <c r="W840">
        <f>IF(OR(B840="",P840=""),"",NETWORKDAYS(C840,P840)-1)</f>
        <v/>
      </c>
      <c r="X840">
        <f>IF(B840="","",IF(P840="","Aberto","Fechado"))</f>
        <v/>
      </c>
    </row>
    <row r="841">
      <c r="C841" s="6" t="n"/>
      <c r="E841" s="7" t="n"/>
      <c r="F841" s="8" t="n"/>
      <c r="G841" s="8" t="n"/>
      <c r="H841" s="8" t="n"/>
      <c r="J841" s="7" t="n"/>
      <c r="K841" s="8" t="n"/>
      <c r="L841" s="7" t="n"/>
      <c r="M841" s="8" t="n"/>
      <c r="N841" s="7" t="n"/>
      <c r="O841" s="8" t="n"/>
      <c r="P841" s="6" t="n"/>
      <c r="Q841" s="8" t="n"/>
      <c r="S841" s="8">
        <f>IF(B841="","",E841*F841)</f>
        <v/>
      </c>
      <c r="T841" s="8">
        <f>IF(OR(B841="",N(G841)=0),"",ABS(F841-G841)*E841)</f>
        <v/>
      </c>
      <c r="U841" s="8">
        <f>IF(OR(B841="",P841=""),"",IF(D841="Venda",-1,1)*((N(J841)*N(K841)+N(L841)*N(M841)+N(N841)*N(O841))-(N(J841)+N(L841)+N(N841))*F841)-N(Q841))</f>
        <v/>
      </c>
      <c r="V841" s="9">
        <f>IF(OR(B841="",P841=""),"",U841/S841)</f>
        <v/>
      </c>
      <c r="W841">
        <f>IF(OR(B841="",P841=""),"",NETWORKDAYS(C841,P841)-1)</f>
        <v/>
      </c>
      <c r="X841">
        <f>IF(B841="","",IF(P841="","Aberto","Fechado"))</f>
        <v/>
      </c>
    </row>
    <row r="842">
      <c r="C842" s="6" t="n"/>
      <c r="E842" s="7" t="n"/>
      <c r="F842" s="8" t="n"/>
      <c r="G842" s="8" t="n"/>
      <c r="H842" s="8" t="n"/>
      <c r="J842" s="7" t="n"/>
      <c r="K842" s="8" t="n"/>
      <c r="L842" s="7" t="n"/>
      <c r="M842" s="8" t="n"/>
      <c r="N842" s="7" t="n"/>
      <c r="O842" s="8" t="n"/>
      <c r="P842" s="6" t="n"/>
      <c r="Q842" s="8" t="n"/>
      <c r="S842" s="8">
        <f>IF(B842="","",E842*F842)</f>
        <v/>
      </c>
      <c r="T842" s="8">
        <f>IF(OR(B842="",N(G842)=0),"",ABS(F842-G842)*E842)</f>
        <v/>
      </c>
      <c r="U842" s="8">
        <f>IF(OR(B842="",P842=""),"",IF(D842="Venda",-1,1)*((N(J842)*N(K842)+N(L842)*N(M842)+N(N842)*N(O842))-(N(J842)+N(L842)+N(N842))*F842)-N(Q842))</f>
        <v/>
      </c>
      <c r="V842" s="9">
        <f>IF(OR(B842="",P842=""),"",U842/S842)</f>
        <v/>
      </c>
      <c r="W842">
        <f>IF(OR(B842="",P842=""),"",NETWORKDAYS(C842,P842)-1)</f>
        <v/>
      </c>
      <c r="X842">
        <f>IF(B842="","",IF(P842="","Aberto","Fechado"))</f>
        <v/>
      </c>
    </row>
    <row r="843">
      <c r="C843" s="6" t="n"/>
      <c r="E843" s="7" t="n"/>
      <c r="F843" s="8" t="n"/>
      <c r="G843" s="8" t="n"/>
      <c r="H843" s="8" t="n"/>
      <c r="J843" s="7" t="n"/>
      <c r="K843" s="8" t="n"/>
      <c r="L843" s="7" t="n"/>
      <c r="M843" s="8" t="n"/>
      <c r="N843" s="7" t="n"/>
      <c r="O843" s="8" t="n"/>
      <c r="P843" s="6" t="n"/>
      <c r="Q843" s="8" t="n"/>
      <c r="S843" s="8">
        <f>IF(B843="","",E843*F843)</f>
        <v/>
      </c>
      <c r="T843" s="8">
        <f>IF(OR(B843="",N(G843)=0),"",ABS(F843-G843)*E843)</f>
        <v/>
      </c>
      <c r="U843" s="8">
        <f>IF(OR(B843="",P843=""),"",IF(D843="Venda",-1,1)*((N(J843)*N(K843)+N(L843)*N(M843)+N(N843)*N(O843))-(N(J843)+N(L843)+N(N843))*F843)-N(Q843))</f>
        <v/>
      </c>
      <c r="V843" s="9">
        <f>IF(OR(B843="",P843=""),"",U843/S843)</f>
        <v/>
      </c>
      <c r="W843">
        <f>IF(OR(B843="",P843=""),"",NETWORKDAYS(C843,P843)-1)</f>
        <v/>
      </c>
      <c r="X843">
        <f>IF(B843="","",IF(P843="","Aberto","Fechado"))</f>
        <v/>
      </c>
    </row>
    <row r="844">
      <c r="C844" s="6" t="n"/>
      <c r="E844" s="7" t="n"/>
      <c r="F844" s="8" t="n"/>
      <c r="G844" s="8" t="n"/>
      <c r="H844" s="8" t="n"/>
      <c r="J844" s="7" t="n"/>
      <c r="K844" s="8" t="n"/>
      <c r="L844" s="7" t="n"/>
      <c r="M844" s="8" t="n"/>
      <c r="N844" s="7" t="n"/>
      <c r="O844" s="8" t="n"/>
      <c r="P844" s="6" t="n"/>
      <c r="Q844" s="8" t="n"/>
      <c r="S844" s="8">
        <f>IF(B844="","",E844*F844)</f>
        <v/>
      </c>
      <c r="T844" s="8">
        <f>IF(OR(B844="",N(G844)=0),"",ABS(F844-G844)*E844)</f>
        <v/>
      </c>
      <c r="U844" s="8">
        <f>IF(OR(B844="",P844=""),"",IF(D844="Venda",-1,1)*((N(J844)*N(K844)+N(L844)*N(M844)+N(N844)*N(O844))-(N(J844)+N(L844)+N(N844))*F844)-N(Q844))</f>
        <v/>
      </c>
      <c r="V844" s="9">
        <f>IF(OR(B844="",P844=""),"",U844/S844)</f>
        <v/>
      </c>
      <c r="W844">
        <f>IF(OR(B844="",P844=""),"",NETWORKDAYS(C844,P844)-1)</f>
        <v/>
      </c>
      <c r="X844">
        <f>IF(B844="","",IF(P844="","Aberto","Fechado"))</f>
        <v/>
      </c>
    </row>
    <row r="845">
      <c r="C845" s="6" t="n"/>
      <c r="E845" s="7" t="n"/>
      <c r="F845" s="8" t="n"/>
      <c r="G845" s="8" t="n"/>
      <c r="H845" s="8" t="n"/>
      <c r="J845" s="7" t="n"/>
      <c r="K845" s="8" t="n"/>
      <c r="L845" s="7" t="n"/>
      <c r="M845" s="8" t="n"/>
      <c r="N845" s="7" t="n"/>
      <c r="O845" s="8" t="n"/>
      <c r="P845" s="6" t="n"/>
      <c r="Q845" s="8" t="n"/>
      <c r="S845" s="8">
        <f>IF(B845="","",E845*F845)</f>
        <v/>
      </c>
      <c r="T845" s="8">
        <f>IF(OR(B845="",N(G845)=0),"",ABS(F845-G845)*E845)</f>
        <v/>
      </c>
      <c r="U845" s="8">
        <f>IF(OR(B845="",P845=""),"",IF(D845="Venda",-1,1)*((N(J845)*N(K845)+N(L845)*N(M845)+N(N845)*N(O845))-(N(J845)+N(L845)+N(N845))*F845)-N(Q845))</f>
        <v/>
      </c>
      <c r="V845" s="9">
        <f>IF(OR(B845="",P845=""),"",U845/S845)</f>
        <v/>
      </c>
      <c r="W845">
        <f>IF(OR(B845="",P845=""),"",NETWORKDAYS(C845,P845)-1)</f>
        <v/>
      </c>
      <c r="X845">
        <f>IF(B845="","",IF(P845="","Aberto","Fechado"))</f>
        <v/>
      </c>
    </row>
    <row r="846">
      <c r="C846" s="6" t="n"/>
      <c r="E846" s="7" t="n"/>
      <c r="F846" s="8" t="n"/>
      <c r="G846" s="8" t="n"/>
      <c r="H846" s="8" t="n"/>
      <c r="J846" s="7" t="n"/>
      <c r="K846" s="8" t="n"/>
      <c r="L846" s="7" t="n"/>
      <c r="M846" s="8" t="n"/>
      <c r="N846" s="7" t="n"/>
      <c r="O846" s="8" t="n"/>
      <c r="P846" s="6" t="n"/>
      <c r="Q846" s="8" t="n"/>
      <c r="S846" s="8">
        <f>IF(B846="","",E846*F846)</f>
        <v/>
      </c>
      <c r="T846" s="8">
        <f>IF(OR(B846="",N(G846)=0),"",ABS(F846-G846)*E846)</f>
        <v/>
      </c>
      <c r="U846" s="8">
        <f>IF(OR(B846="",P846=""),"",IF(D846="Venda",-1,1)*((N(J846)*N(K846)+N(L846)*N(M846)+N(N846)*N(O846))-(N(J846)+N(L846)+N(N846))*F846)-N(Q846))</f>
        <v/>
      </c>
      <c r="V846" s="9">
        <f>IF(OR(B846="",P846=""),"",U846/S846)</f>
        <v/>
      </c>
      <c r="W846">
        <f>IF(OR(B846="",P846=""),"",NETWORKDAYS(C846,P846)-1)</f>
        <v/>
      </c>
      <c r="X846">
        <f>IF(B846="","",IF(P846="","Aberto","Fechado"))</f>
        <v/>
      </c>
    </row>
    <row r="847">
      <c r="C847" s="6" t="n"/>
      <c r="E847" s="7" t="n"/>
      <c r="F847" s="8" t="n"/>
      <c r="G847" s="8" t="n"/>
      <c r="H847" s="8" t="n"/>
      <c r="J847" s="7" t="n"/>
      <c r="K847" s="8" t="n"/>
      <c r="L847" s="7" t="n"/>
      <c r="M847" s="8" t="n"/>
      <c r="N847" s="7" t="n"/>
      <c r="O847" s="8" t="n"/>
      <c r="P847" s="6" t="n"/>
      <c r="Q847" s="8" t="n"/>
      <c r="S847" s="8">
        <f>IF(B847="","",E847*F847)</f>
        <v/>
      </c>
      <c r="T847" s="8">
        <f>IF(OR(B847="",N(G847)=0),"",ABS(F847-G847)*E847)</f>
        <v/>
      </c>
      <c r="U847" s="8">
        <f>IF(OR(B847="",P847=""),"",IF(D847="Venda",-1,1)*((N(J847)*N(K847)+N(L847)*N(M847)+N(N847)*N(O847))-(N(J847)+N(L847)+N(N847))*F847)-N(Q847))</f>
        <v/>
      </c>
      <c r="V847" s="9">
        <f>IF(OR(B847="",P847=""),"",U847/S847)</f>
        <v/>
      </c>
      <c r="W847">
        <f>IF(OR(B847="",P847=""),"",NETWORKDAYS(C847,P847)-1)</f>
        <v/>
      </c>
      <c r="X847">
        <f>IF(B847="","",IF(P847="","Aberto","Fechado"))</f>
        <v/>
      </c>
    </row>
    <row r="848">
      <c r="C848" s="6" t="n"/>
      <c r="E848" s="7" t="n"/>
      <c r="F848" s="8" t="n"/>
      <c r="G848" s="8" t="n"/>
      <c r="H848" s="8" t="n"/>
      <c r="J848" s="7" t="n"/>
      <c r="K848" s="8" t="n"/>
      <c r="L848" s="7" t="n"/>
      <c r="M848" s="8" t="n"/>
      <c r="N848" s="7" t="n"/>
      <c r="O848" s="8" t="n"/>
      <c r="P848" s="6" t="n"/>
      <c r="Q848" s="8" t="n"/>
      <c r="S848" s="8">
        <f>IF(B848="","",E848*F848)</f>
        <v/>
      </c>
      <c r="T848" s="8">
        <f>IF(OR(B848="",N(G848)=0),"",ABS(F848-G848)*E848)</f>
        <v/>
      </c>
      <c r="U848" s="8">
        <f>IF(OR(B848="",P848=""),"",IF(D848="Venda",-1,1)*((N(J848)*N(K848)+N(L848)*N(M848)+N(N848)*N(O848))-(N(J848)+N(L848)+N(N848))*F848)-N(Q848))</f>
        <v/>
      </c>
      <c r="V848" s="9">
        <f>IF(OR(B848="",P848=""),"",U848/S848)</f>
        <v/>
      </c>
      <c r="W848">
        <f>IF(OR(B848="",P848=""),"",NETWORKDAYS(C848,P848)-1)</f>
        <v/>
      </c>
      <c r="X848">
        <f>IF(B848="","",IF(P848="","Aberto","Fechado"))</f>
        <v/>
      </c>
    </row>
    <row r="849">
      <c r="C849" s="6" t="n"/>
      <c r="E849" s="7" t="n"/>
      <c r="F849" s="8" t="n"/>
      <c r="G849" s="8" t="n"/>
      <c r="H849" s="8" t="n"/>
      <c r="J849" s="7" t="n"/>
      <c r="K849" s="8" t="n"/>
      <c r="L849" s="7" t="n"/>
      <c r="M849" s="8" t="n"/>
      <c r="N849" s="7" t="n"/>
      <c r="O849" s="8" t="n"/>
      <c r="P849" s="6" t="n"/>
      <c r="Q849" s="8" t="n"/>
      <c r="S849" s="8">
        <f>IF(B849="","",E849*F849)</f>
        <v/>
      </c>
      <c r="T849" s="8">
        <f>IF(OR(B849="",N(G849)=0),"",ABS(F849-G849)*E849)</f>
        <v/>
      </c>
      <c r="U849" s="8">
        <f>IF(OR(B849="",P849=""),"",IF(D849="Venda",-1,1)*((N(J849)*N(K849)+N(L849)*N(M849)+N(N849)*N(O849))-(N(J849)+N(L849)+N(N849))*F849)-N(Q849))</f>
        <v/>
      </c>
      <c r="V849" s="9">
        <f>IF(OR(B849="",P849=""),"",U849/S849)</f>
        <v/>
      </c>
      <c r="W849">
        <f>IF(OR(B849="",P849=""),"",NETWORKDAYS(C849,P849)-1)</f>
        <v/>
      </c>
      <c r="X849">
        <f>IF(B849="","",IF(P849="","Aberto","Fechado"))</f>
        <v/>
      </c>
    </row>
    <row r="850">
      <c r="C850" s="6" t="n"/>
      <c r="E850" s="7" t="n"/>
      <c r="F850" s="8" t="n"/>
      <c r="G850" s="8" t="n"/>
      <c r="H850" s="8" t="n"/>
      <c r="J850" s="7" t="n"/>
      <c r="K850" s="8" t="n"/>
      <c r="L850" s="7" t="n"/>
      <c r="M850" s="8" t="n"/>
      <c r="N850" s="7" t="n"/>
      <c r="O850" s="8" t="n"/>
      <c r="P850" s="6" t="n"/>
      <c r="Q850" s="8" t="n"/>
      <c r="S850" s="8">
        <f>IF(B850="","",E850*F850)</f>
        <v/>
      </c>
      <c r="T850" s="8">
        <f>IF(OR(B850="",N(G850)=0),"",ABS(F850-G850)*E850)</f>
        <v/>
      </c>
      <c r="U850" s="8">
        <f>IF(OR(B850="",P850=""),"",IF(D850="Venda",-1,1)*((N(J850)*N(K850)+N(L850)*N(M850)+N(N850)*N(O850))-(N(J850)+N(L850)+N(N850))*F850)-N(Q850))</f>
        <v/>
      </c>
      <c r="V850" s="9">
        <f>IF(OR(B850="",P850=""),"",U850/S850)</f>
        <v/>
      </c>
      <c r="W850">
        <f>IF(OR(B850="",P850=""),"",NETWORKDAYS(C850,P850)-1)</f>
        <v/>
      </c>
      <c r="X850">
        <f>IF(B850="","",IF(P850="","Aberto","Fechado"))</f>
        <v/>
      </c>
    </row>
    <row r="851">
      <c r="C851" s="6" t="n"/>
      <c r="E851" s="7" t="n"/>
      <c r="F851" s="8" t="n"/>
      <c r="G851" s="8" t="n"/>
      <c r="H851" s="8" t="n"/>
      <c r="J851" s="7" t="n"/>
      <c r="K851" s="8" t="n"/>
      <c r="L851" s="7" t="n"/>
      <c r="M851" s="8" t="n"/>
      <c r="N851" s="7" t="n"/>
      <c r="O851" s="8" t="n"/>
      <c r="P851" s="6" t="n"/>
      <c r="Q851" s="8" t="n"/>
      <c r="S851" s="8">
        <f>IF(B851="","",E851*F851)</f>
        <v/>
      </c>
      <c r="T851" s="8">
        <f>IF(OR(B851="",N(G851)=0),"",ABS(F851-G851)*E851)</f>
        <v/>
      </c>
      <c r="U851" s="8">
        <f>IF(OR(B851="",P851=""),"",IF(D851="Venda",-1,1)*((N(J851)*N(K851)+N(L851)*N(M851)+N(N851)*N(O851))-(N(J851)+N(L851)+N(N851))*F851)-N(Q851))</f>
        <v/>
      </c>
      <c r="V851" s="9">
        <f>IF(OR(B851="",P851=""),"",U851/S851)</f>
        <v/>
      </c>
      <c r="W851">
        <f>IF(OR(B851="",P851=""),"",NETWORKDAYS(C851,P851)-1)</f>
        <v/>
      </c>
      <c r="X851">
        <f>IF(B851="","",IF(P851="","Aberto","Fechado"))</f>
        <v/>
      </c>
    </row>
    <row r="852">
      <c r="C852" s="6" t="n"/>
      <c r="E852" s="7" t="n"/>
      <c r="F852" s="8" t="n"/>
      <c r="G852" s="8" t="n"/>
      <c r="H852" s="8" t="n"/>
      <c r="J852" s="7" t="n"/>
      <c r="K852" s="8" t="n"/>
      <c r="L852" s="7" t="n"/>
      <c r="M852" s="8" t="n"/>
      <c r="N852" s="7" t="n"/>
      <c r="O852" s="8" t="n"/>
      <c r="P852" s="6" t="n"/>
      <c r="Q852" s="8" t="n"/>
      <c r="S852" s="8">
        <f>IF(B852="","",E852*F852)</f>
        <v/>
      </c>
      <c r="T852" s="8">
        <f>IF(OR(B852="",N(G852)=0),"",ABS(F852-G852)*E852)</f>
        <v/>
      </c>
      <c r="U852" s="8">
        <f>IF(OR(B852="",P852=""),"",IF(D852="Venda",-1,1)*((N(J852)*N(K852)+N(L852)*N(M852)+N(N852)*N(O852))-(N(J852)+N(L852)+N(N852))*F852)-N(Q852))</f>
        <v/>
      </c>
      <c r="V852" s="9">
        <f>IF(OR(B852="",P852=""),"",U852/S852)</f>
        <v/>
      </c>
      <c r="W852">
        <f>IF(OR(B852="",P852=""),"",NETWORKDAYS(C852,P852)-1)</f>
        <v/>
      </c>
      <c r="X852">
        <f>IF(B852="","",IF(P852="","Aberto","Fechado"))</f>
        <v/>
      </c>
    </row>
    <row r="853">
      <c r="C853" s="6" t="n"/>
      <c r="E853" s="7" t="n"/>
      <c r="F853" s="8" t="n"/>
      <c r="G853" s="8" t="n"/>
      <c r="H853" s="8" t="n"/>
      <c r="J853" s="7" t="n"/>
      <c r="K853" s="8" t="n"/>
      <c r="L853" s="7" t="n"/>
      <c r="M853" s="8" t="n"/>
      <c r="N853" s="7" t="n"/>
      <c r="O853" s="8" t="n"/>
      <c r="P853" s="6" t="n"/>
      <c r="Q853" s="8" t="n"/>
      <c r="S853" s="8">
        <f>IF(B853="","",E853*F853)</f>
        <v/>
      </c>
      <c r="T853" s="8">
        <f>IF(OR(B853="",N(G853)=0),"",ABS(F853-G853)*E853)</f>
        <v/>
      </c>
      <c r="U853" s="8">
        <f>IF(OR(B853="",P853=""),"",IF(D853="Venda",-1,1)*((N(J853)*N(K853)+N(L853)*N(M853)+N(N853)*N(O853))-(N(J853)+N(L853)+N(N853))*F853)-N(Q853))</f>
        <v/>
      </c>
      <c r="V853" s="9">
        <f>IF(OR(B853="",P853=""),"",U853/S853)</f>
        <v/>
      </c>
      <c r="W853">
        <f>IF(OR(B853="",P853=""),"",NETWORKDAYS(C853,P853)-1)</f>
        <v/>
      </c>
      <c r="X853">
        <f>IF(B853="","",IF(P853="","Aberto","Fechado"))</f>
        <v/>
      </c>
    </row>
    <row r="854">
      <c r="C854" s="6" t="n"/>
      <c r="E854" s="7" t="n"/>
      <c r="F854" s="8" t="n"/>
      <c r="G854" s="8" t="n"/>
      <c r="H854" s="8" t="n"/>
      <c r="J854" s="7" t="n"/>
      <c r="K854" s="8" t="n"/>
      <c r="L854" s="7" t="n"/>
      <c r="M854" s="8" t="n"/>
      <c r="N854" s="7" t="n"/>
      <c r="O854" s="8" t="n"/>
      <c r="P854" s="6" t="n"/>
      <c r="Q854" s="8" t="n"/>
      <c r="S854" s="8">
        <f>IF(B854="","",E854*F854)</f>
        <v/>
      </c>
      <c r="T854" s="8">
        <f>IF(OR(B854="",N(G854)=0),"",ABS(F854-G854)*E854)</f>
        <v/>
      </c>
      <c r="U854" s="8">
        <f>IF(OR(B854="",P854=""),"",IF(D854="Venda",-1,1)*((N(J854)*N(K854)+N(L854)*N(M854)+N(N854)*N(O854))-(N(J854)+N(L854)+N(N854))*F854)-N(Q854))</f>
        <v/>
      </c>
      <c r="V854" s="9">
        <f>IF(OR(B854="",P854=""),"",U854/S854)</f>
        <v/>
      </c>
      <c r="W854">
        <f>IF(OR(B854="",P854=""),"",NETWORKDAYS(C854,P854)-1)</f>
        <v/>
      </c>
      <c r="X854">
        <f>IF(B854="","",IF(P854="","Aberto","Fechado"))</f>
        <v/>
      </c>
    </row>
    <row r="855">
      <c r="C855" s="6" t="n"/>
      <c r="E855" s="7" t="n"/>
      <c r="F855" s="8" t="n"/>
      <c r="G855" s="8" t="n"/>
      <c r="H855" s="8" t="n"/>
      <c r="J855" s="7" t="n"/>
      <c r="K855" s="8" t="n"/>
      <c r="L855" s="7" t="n"/>
      <c r="M855" s="8" t="n"/>
      <c r="N855" s="7" t="n"/>
      <c r="O855" s="8" t="n"/>
      <c r="P855" s="6" t="n"/>
      <c r="Q855" s="8" t="n"/>
      <c r="S855" s="8">
        <f>IF(B855="","",E855*F855)</f>
        <v/>
      </c>
      <c r="T855" s="8">
        <f>IF(OR(B855="",N(G855)=0),"",ABS(F855-G855)*E855)</f>
        <v/>
      </c>
      <c r="U855" s="8">
        <f>IF(OR(B855="",P855=""),"",IF(D855="Venda",-1,1)*((N(J855)*N(K855)+N(L855)*N(M855)+N(N855)*N(O855))-(N(J855)+N(L855)+N(N855))*F855)-N(Q855))</f>
        <v/>
      </c>
      <c r="V855" s="9">
        <f>IF(OR(B855="",P855=""),"",U855/S855)</f>
        <v/>
      </c>
      <c r="W855">
        <f>IF(OR(B855="",P855=""),"",NETWORKDAYS(C855,P855)-1)</f>
        <v/>
      </c>
      <c r="X855">
        <f>IF(B855="","",IF(P855="","Aberto","Fechado"))</f>
        <v/>
      </c>
    </row>
    <row r="856">
      <c r="C856" s="6" t="n"/>
      <c r="E856" s="7" t="n"/>
      <c r="F856" s="8" t="n"/>
      <c r="G856" s="8" t="n"/>
      <c r="H856" s="8" t="n"/>
      <c r="J856" s="7" t="n"/>
      <c r="K856" s="8" t="n"/>
      <c r="L856" s="7" t="n"/>
      <c r="M856" s="8" t="n"/>
      <c r="N856" s="7" t="n"/>
      <c r="O856" s="8" t="n"/>
      <c r="P856" s="6" t="n"/>
      <c r="Q856" s="8" t="n"/>
      <c r="S856" s="8">
        <f>IF(B856="","",E856*F856)</f>
        <v/>
      </c>
      <c r="T856" s="8">
        <f>IF(OR(B856="",N(G856)=0),"",ABS(F856-G856)*E856)</f>
        <v/>
      </c>
      <c r="U856" s="8">
        <f>IF(OR(B856="",P856=""),"",IF(D856="Venda",-1,1)*((N(J856)*N(K856)+N(L856)*N(M856)+N(N856)*N(O856))-(N(J856)+N(L856)+N(N856))*F856)-N(Q856))</f>
        <v/>
      </c>
      <c r="V856" s="9">
        <f>IF(OR(B856="",P856=""),"",U856/S856)</f>
        <v/>
      </c>
      <c r="W856">
        <f>IF(OR(B856="",P856=""),"",NETWORKDAYS(C856,P856)-1)</f>
        <v/>
      </c>
      <c r="X856">
        <f>IF(B856="","",IF(P856="","Aberto","Fechado"))</f>
        <v/>
      </c>
    </row>
    <row r="857">
      <c r="C857" s="6" t="n"/>
      <c r="E857" s="7" t="n"/>
      <c r="F857" s="8" t="n"/>
      <c r="G857" s="8" t="n"/>
      <c r="H857" s="8" t="n"/>
      <c r="J857" s="7" t="n"/>
      <c r="K857" s="8" t="n"/>
      <c r="L857" s="7" t="n"/>
      <c r="M857" s="8" t="n"/>
      <c r="N857" s="7" t="n"/>
      <c r="O857" s="8" t="n"/>
      <c r="P857" s="6" t="n"/>
      <c r="Q857" s="8" t="n"/>
      <c r="S857" s="8">
        <f>IF(B857="","",E857*F857)</f>
        <v/>
      </c>
      <c r="T857" s="8">
        <f>IF(OR(B857="",N(G857)=0),"",ABS(F857-G857)*E857)</f>
        <v/>
      </c>
      <c r="U857" s="8">
        <f>IF(OR(B857="",P857=""),"",IF(D857="Venda",-1,1)*((N(J857)*N(K857)+N(L857)*N(M857)+N(N857)*N(O857))-(N(J857)+N(L857)+N(N857))*F857)-N(Q857))</f>
        <v/>
      </c>
      <c r="V857" s="9">
        <f>IF(OR(B857="",P857=""),"",U857/S857)</f>
        <v/>
      </c>
      <c r="W857">
        <f>IF(OR(B857="",P857=""),"",NETWORKDAYS(C857,P857)-1)</f>
        <v/>
      </c>
      <c r="X857">
        <f>IF(B857="","",IF(P857="","Aberto","Fechado"))</f>
        <v/>
      </c>
    </row>
    <row r="858">
      <c r="C858" s="6" t="n"/>
      <c r="E858" s="7" t="n"/>
      <c r="F858" s="8" t="n"/>
      <c r="G858" s="8" t="n"/>
      <c r="H858" s="8" t="n"/>
      <c r="J858" s="7" t="n"/>
      <c r="K858" s="8" t="n"/>
      <c r="L858" s="7" t="n"/>
      <c r="M858" s="8" t="n"/>
      <c r="N858" s="7" t="n"/>
      <c r="O858" s="8" t="n"/>
      <c r="P858" s="6" t="n"/>
      <c r="Q858" s="8" t="n"/>
      <c r="S858" s="8">
        <f>IF(B858="","",E858*F858)</f>
        <v/>
      </c>
      <c r="T858" s="8">
        <f>IF(OR(B858="",N(G858)=0),"",ABS(F858-G858)*E858)</f>
        <v/>
      </c>
      <c r="U858" s="8">
        <f>IF(OR(B858="",P858=""),"",IF(D858="Venda",-1,1)*((N(J858)*N(K858)+N(L858)*N(M858)+N(N858)*N(O858))-(N(J858)+N(L858)+N(N858))*F858)-N(Q858))</f>
        <v/>
      </c>
      <c r="V858" s="9">
        <f>IF(OR(B858="",P858=""),"",U858/S858)</f>
        <v/>
      </c>
      <c r="W858">
        <f>IF(OR(B858="",P858=""),"",NETWORKDAYS(C858,P858)-1)</f>
        <v/>
      </c>
      <c r="X858">
        <f>IF(B858="","",IF(P858="","Aberto","Fechado"))</f>
        <v/>
      </c>
    </row>
    <row r="859">
      <c r="C859" s="6" t="n"/>
      <c r="E859" s="7" t="n"/>
      <c r="F859" s="8" t="n"/>
      <c r="G859" s="8" t="n"/>
      <c r="H859" s="8" t="n"/>
      <c r="J859" s="7" t="n"/>
      <c r="K859" s="8" t="n"/>
      <c r="L859" s="7" t="n"/>
      <c r="M859" s="8" t="n"/>
      <c r="N859" s="7" t="n"/>
      <c r="O859" s="8" t="n"/>
      <c r="P859" s="6" t="n"/>
      <c r="Q859" s="8" t="n"/>
      <c r="S859" s="8">
        <f>IF(B859="","",E859*F859)</f>
        <v/>
      </c>
      <c r="T859" s="8">
        <f>IF(OR(B859="",N(G859)=0),"",ABS(F859-G859)*E859)</f>
        <v/>
      </c>
      <c r="U859" s="8">
        <f>IF(OR(B859="",P859=""),"",IF(D859="Venda",-1,1)*((N(J859)*N(K859)+N(L859)*N(M859)+N(N859)*N(O859))-(N(J859)+N(L859)+N(N859))*F859)-N(Q859))</f>
        <v/>
      </c>
      <c r="V859" s="9">
        <f>IF(OR(B859="",P859=""),"",U859/S859)</f>
        <v/>
      </c>
      <c r="W859">
        <f>IF(OR(B859="",P859=""),"",NETWORKDAYS(C859,P859)-1)</f>
        <v/>
      </c>
      <c r="X859">
        <f>IF(B859="","",IF(P859="","Aberto","Fechado"))</f>
        <v/>
      </c>
    </row>
    <row r="860">
      <c r="C860" s="6" t="n"/>
      <c r="E860" s="7" t="n"/>
      <c r="F860" s="8" t="n"/>
      <c r="G860" s="8" t="n"/>
      <c r="H860" s="8" t="n"/>
      <c r="J860" s="7" t="n"/>
      <c r="K860" s="8" t="n"/>
      <c r="L860" s="7" t="n"/>
      <c r="M860" s="8" t="n"/>
      <c r="N860" s="7" t="n"/>
      <c r="O860" s="8" t="n"/>
      <c r="P860" s="6" t="n"/>
      <c r="Q860" s="8" t="n"/>
      <c r="S860" s="8">
        <f>IF(B860="","",E860*F860)</f>
        <v/>
      </c>
      <c r="T860" s="8">
        <f>IF(OR(B860="",N(G860)=0),"",ABS(F860-G860)*E860)</f>
        <v/>
      </c>
      <c r="U860" s="8">
        <f>IF(OR(B860="",P860=""),"",IF(D860="Venda",-1,1)*((N(J860)*N(K860)+N(L860)*N(M860)+N(N860)*N(O860))-(N(J860)+N(L860)+N(N860))*F860)-N(Q860))</f>
        <v/>
      </c>
      <c r="V860" s="9">
        <f>IF(OR(B860="",P860=""),"",U860/S860)</f>
        <v/>
      </c>
      <c r="W860">
        <f>IF(OR(B860="",P860=""),"",NETWORKDAYS(C860,P860)-1)</f>
        <v/>
      </c>
      <c r="X860">
        <f>IF(B860="","",IF(P860="","Aberto","Fechado"))</f>
        <v/>
      </c>
    </row>
    <row r="861">
      <c r="C861" s="6" t="n"/>
      <c r="E861" s="7" t="n"/>
      <c r="F861" s="8" t="n"/>
      <c r="G861" s="8" t="n"/>
      <c r="H861" s="8" t="n"/>
      <c r="J861" s="7" t="n"/>
      <c r="K861" s="8" t="n"/>
      <c r="L861" s="7" t="n"/>
      <c r="M861" s="8" t="n"/>
      <c r="N861" s="7" t="n"/>
      <c r="O861" s="8" t="n"/>
      <c r="P861" s="6" t="n"/>
      <c r="Q861" s="8" t="n"/>
      <c r="S861" s="8">
        <f>IF(B861="","",E861*F861)</f>
        <v/>
      </c>
      <c r="T861" s="8">
        <f>IF(OR(B861="",N(G861)=0),"",ABS(F861-G861)*E861)</f>
        <v/>
      </c>
      <c r="U861" s="8">
        <f>IF(OR(B861="",P861=""),"",IF(D861="Venda",-1,1)*((N(J861)*N(K861)+N(L861)*N(M861)+N(N861)*N(O861))-(N(J861)+N(L861)+N(N861))*F861)-N(Q861))</f>
        <v/>
      </c>
      <c r="V861" s="9">
        <f>IF(OR(B861="",P861=""),"",U861/S861)</f>
        <v/>
      </c>
      <c r="W861">
        <f>IF(OR(B861="",P861=""),"",NETWORKDAYS(C861,P861)-1)</f>
        <v/>
      </c>
      <c r="X861">
        <f>IF(B861="","",IF(P861="","Aberto","Fechado"))</f>
        <v/>
      </c>
    </row>
    <row r="862">
      <c r="C862" s="6" t="n"/>
      <c r="E862" s="7" t="n"/>
      <c r="F862" s="8" t="n"/>
      <c r="G862" s="8" t="n"/>
      <c r="H862" s="8" t="n"/>
      <c r="J862" s="7" t="n"/>
      <c r="K862" s="8" t="n"/>
      <c r="L862" s="7" t="n"/>
      <c r="M862" s="8" t="n"/>
      <c r="N862" s="7" t="n"/>
      <c r="O862" s="8" t="n"/>
      <c r="P862" s="6" t="n"/>
      <c r="Q862" s="8" t="n"/>
      <c r="S862" s="8">
        <f>IF(B862="","",E862*F862)</f>
        <v/>
      </c>
      <c r="T862" s="8">
        <f>IF(OR(B862="",N(G862)=0),"",ABS(F862-G862)*E862)</f>
        <v/>
      </c>
      <c r="U862" s="8">
        <f>IF(OR(B862="",P862=""),"",IF(D862="Venda",-1,1)*((N(J862)*N(K862)+N(L862)*N(M862)+N(N862)*N(O862))-(N(J862)+N(L862)+N(N862))*F862)-N(Q862))</f>
        <v/>
      </c>
      <c r="V862" s="9">
        <f>IF(OR(B862="",P862=""),"",U862/S862)</f>
        <v/>
      </c>
      <c r="W862">
        <f>IF(OR(B862="",P862=""),"",NETWORKDAYS(C862,P862)-1)</f>
        <v/>
      </c>
      <c r="X862">
        <f>IF(B862="","",IF(P862="","Aberto","Fechado"))</f>
        <v/>
      </c>
    </row>
    <row r="863">
      <c r="C863" s="6" t="n"/>
      <c r="E863" s="7" t="n"/>
      <c r="F863" s="8" t="n"/>
      <c r="G863" s="8" t="n"/>
      <c r="H863" s="8" t="n"/>
      <c r="J863" s="7" t="n"/>
      <c r="K863" s="8" t="n"/>
      <c r="L863" s="7" t="n"/>
      <c r="M863" s="8" t="n"/>
      <c r="N863" s="7" t="n"/>
      <c r="O863" s="8" t="n"/>
      <c r="P863" s="6" t="n"/>
      <c r="Q863" s="8" t="n"/>
      <c r="S863" s="8">
        <f>IF(B863="","",E863*F863)</f>
        <v/>
      </c>
      <c r="T863" s="8">
        <f>IF(OR(B863="",N(G863)=0),"",ABS(F863-G863)*E863)</f>
        <v/>
      </c>
      <c r="U863" s="8">
        <f>IF(OR(B863="",P863=""),"",IF(D863="Venda",-1,1)*((N(J863)*N(K863)+N(L863)*N(M863)+N(N863)*N(O863))-(N(J863)+N(L863)+N(N863))*F863)-N(Q863))</f>
        <v/>
      </c>
      <c r="V863" s="9">
        <f>IF(OR(B863="",P863=""),"",U863/S863)</f>
        <v/>
      </c>
      <c r="W863">
        <f>IF(OR(B863="",P863=""),"",NETWORKDAYS(C863,P863)-1)</f>
        <v/>
      </c>
      <c r="X863">
        <f>IF(B863="","",IF(P863="","Aberto","Fechado"))</f>
        <v/>
      </c>
    </row>
    <row r="864">
      <c r="C864" s="6" t="n"/>
      <c r="E864" s="7" t="n"/>
      <c r="F864" s="8" t="n"/>
      <c r="G864" s="8" t="n"/>
      <c r="H864" s="8" t="n"/>
      <c r="J864" s="7" t="n"/>
      <c r="K864" s="8" t="n"/>
      <c r="L864" s="7" t="n"/>
      <c r="M864" s="8" t="n"/>
      <c r="N864" s="7" t="n"/>
      <c r="O864" s="8" t="n"/>
      <c r="P864" s="6" t="n"/>
      <c r="Q864" s="8" t="n"/>
      <c r="S864" s="8">
        <f>IF(B864="","",E864*F864)</f>
        <v/>
      </c>
      <c r="T864" s="8">
        <f>IF(OR(B864="",N(G864)=0),"",ABS(F864-G864)*E864)</f>
        <v/>
      </c>
      <c r="U864" s="8">
        <f>IF(OR(B864="",P864=""),"",IF(D864="Venda",-1,1)*((N(J864)*N(K864)+N(L864)*N(M864)+N(N864)*N(O864))-(N(J864)+N(L864)+N(N864))*F864)-N(Q864))</f>
        <v/>
      </c>
      <c r="V864" s="9">
        <f>IF(OR(B864="",P864=""),"",U864/S864)</f>
        <v/>
      </c>
      <c r="W864">
        <f>IF(OR(B864="",P864=""),"",NETWORKDAYS(C864,P864)-1)</f>
        <v/>
      </c>
      <c r="X864">
        <f>IF(B864="","",IF(P864="","Aberto","Fechado"))</f>
        <v/>
      </c>
    </row>
    <row r="865">
      <c r="C865" s="6" t="n"/>
      <c r="E865" s="7" t="n"/>
      <c r="F865" s="8" t="n"/>
      <c r="G865" s="8" t="n"/>
      <c r="H865" s="8" t="n"/>
      <c r="J865" s="7" t="n"/>
      <c r="K865" s="8" t="n"/>
      <c r="L865" s="7" t="n"/>
      <c r="M865" s="8" t="n"/>
      <c r="N865" s="7" t="n"/>
      <c r="O865" s="8" t="n"/>
      <c r="P865" s="6" t="n"/>
      <c r="Q865" s="8" t="n"/>
      <c r="S865" s="8">
        <f>IF(B865="","",E865*F865)</f>
        <v/>
      </c>
      <c r="T865" s="8">
        <f>IF(OR(B865="",N(G865)=0),"",ABS(F865-G865)*E865)</f>
        <v/>
      </c>
      <c r="U865" s="8">
        <f>IF(OR(B865="",P865=""),"",IF(D865="Venda",-1,1)*((N(J865)*N(K865)+N(L865)*N(M865)+N(N865)*N(O865))-(N(J865)+N(L865)+N(N865))*F865)-N(Q865))</f>
        <v/>
      </c>
      <c r="V865" s="9">
        <f>IF(OR(B865="",P865=""),"",U865/S865)</f>
        <v/>
      </c>
      <c r="W865">
        <f>IF(OR(B865="",P865=""),"",NETWORKDAYS(C865,P865)-1)</f>
        <v/>
      </c>
      <c r="X865">
        <f>IF(B865="","",IF(P865="","Aberto","Fechado"))</f>
        <v/>
      </c>
    </row>
    <row r="866">
      <c r="C866" s="6" t="n"/>
      <c r="E866" s="7" t="n"/>
      <c r="F866" s="8" t="n"/>
      <c r="G866" s="8" t="n"/>
      <c r="H866" s="8" t="n"/>
      <c r="J866" s="7" t="n"/>
      <c r="K866" s="8" t="n"/>
      <c r="L866" s="7" t="n"/>
      <c r="M866" s="8" t="n"/>
      <c r="N866" s="7" t="n"/>
      <c r="O866" s="8" t="n"/>
      <c r="P866" s="6" t="n"/>
      <c r="Q866" s="8" t="n"/>
      <c r="S866" s="8">
        <f>IF(B866="","",E866*F866)</f>
        <v/>
      </c>
      <c r="T866" s="8">
        <f>IF(OR(B866="",N(G866)=0),"",ABS(F866-G866)*E866)</f>
        <v/>
      </c>
      <c r="U866" s="8">
        <f>IF(OR(B866="",P866=""),"",IF(D866="Venda",-1,1)*((N(J866)*N(K866)+N(L866)*N(M866)+N(N866)*N(O866))-(N(J866)+N(L866)+N(N866))*F866)-N(Q866))</f>
        <v/>
      </c>
      <c r="V866" s="9">
        <f>IF(OR(B866="",P866=""),"",U866/S866)</f>
        <v/>
      </c>
      <c r="W866">
        <f>IF(OR(B866="",P866=""),"",NETWORKDAYS(C866,P866)-1)</f>
        <v/>
      </c>
      <c r="X866">
        <f>IF(B866="","",IF(P866="","Aberto","Fechado"))</f>
        <v/>
      </c>
    </row>
    <row r="867">
      <c r="C867" s="6" t="n"/>
      <c r="E867" s="7" t="n"/>
      <c r="F867" s="8" t="n"/>
      <c r="G867" s="8" t="n"/>
      <c r="H867" s="8" t="n"/>
      <c r="J867" s="7" t="n"/>
      <c r="K867" s="8" t="n"/>
      <c r="L867" s="7" t="n"/>
      <c r="M867" s="8" t="n"/>
      <c r="N867" s="7" t="n"/>
      <c r="O867" s="8" t="n"/>
      <c r="P867" s="6" t="n"/>
      <c r="Q867" s="8" t="n"/>
      <c r="S867" s="8">
        <f>IF(B867="","",E867*F867)</f>
        <v/>
      </c>
      <c r="T867" s="8">
        <f>IF(OR(B867="",N(G867)=0),"",ABS(F867-G867)*E867)</f>
        <v/>
      </c>
      <c r="U867" s="8">
        <f>IF(OR(B867="",P867=""),"",IF(D867="Venda",-1,1)*((N(J867)*N(K867)+N(L867)*N(M867)+N(N867)*N(O867))-(N(J867)+N(L867)+N(N867))*F867)-N(Q867))</f>
        <v/>
      </c>
      <c r="V867" s="9">
        <f>IF(OR(B867="",P867=""),"",U867/S867)</f>
        <v/>
      </c>
      <c r="W867">
        <f>IF(OR(B867="",P867=""),"",NETWORKDAYS(C867,P867)-1)</f>
        <v/>
      </c>
      <c r="X867">
        <f>IF(B867="","",IF(P867="","Aberto","Fechado"))</f>
        <v/>
      </c>
    </row>
    <row r="868">
      <c r="C868" s="6" t="n"/>
      <c r="E868" s="7" t="n"/>
      <c r="F868" s="8" t="n"/>
      <c r="G868" s="8" t="n"/>
      <c r="H868" s="8" t="n"/>
      <c r="J868" s="7" t="n"/>
      <c r="K868" s="8" t="n"/>
      <c r="L868" s="7" t="n"/>
      <c r="M868" s="8" t="n"/>
      <c r="N868" s="7" t="n"/>
      <c r="O868" s="8" t="n"/>
      <c r="P868" s="6" t="n"/>
      <c r="Q868" s="8" t="n"/>
      <c r="S868" s="8">
        <f>IF(B868="","",E868*F868)</f>
        <v/>
      </c>
      <c r="T868" s="8">
        <f>IF(OR(B868="",N(G868)=0),"",ABS(F868-G868)*E868)</f>
        <v/>
      </c>
      <c r="U868" s="8">
        <f>IF(OR(B868="",P868=""),"",IF(D868="Venda",-1,1)*((N(J868)*N(K868)+N(L868)*N(M868)+N(N868)*N(O868))-(N(J868)+N(L868)+N(N868))*F868)-N(Q868))</f>
        <v/>
      </c>
      <c r="V868" s="9">
        <f>IF(OR(B868="",P868=""),"",U868/S868)</f>
        <v/>
      </c>
      <c r="W868">
        <f>IF(OR(B868="",P868=""),"",NETWORKDAYS(C868,P868)-1)</f>
        <v/>
      </c>
      <c r="X868">
        <f>IF(B868="","",IF(P868="","Aberto","Fechado"))</f>
        <v/>
      </c>
    </row>
    <row r="869">
      <c r="C869" s="6" t="n"/>
      <c r="E869" s="7" t="n"/>
      <c r="F869" s="8" t="n"/>
      <c r="G869" s="8" t="n"/>
      <c r="H869" s="8" t="n"/>
      <c r="J869" s="7" t="n"/>
      <c r="K869" s="8" t="n"/>
      <c r="L869" s="7" t="n"/>
      <c r="M869" s="8" t="n"/>
      <c r="N869" s="7" t="n"/>
      <c r="O869" s="8" t="n"/>
      <c r="P869" s="6" t="n"/>
      <c r="Q869" s="8" t="n"/>
      <c r="S869" s="8">
        <f>IF(B869="","",E869*F869)</f>
        <v/>
      </c>
      <c r="T869" s="8">
        <f>IF(OR(B869="",N(G869)=0),"",ABS(F869-G869)*E869)</f>
        <v/>
      </c>
      <c r="U869" s="8">
        <f>IF(OR(B869="",P869=""),"",IF(D869="Venda",-1,1)*((N(J869)*N(K869)+N(L869)*N(M869)+N(N869)*N(O869))-(N(J869)+N(L869)+N(N869))*F869)-N(Q869))</f>
        <v/>
      </c>
      <c r="V869" s="9">
        <f>IF(OR(B869="",P869=""),"",U869/S869)</f>
        <v/>
      </c>
      <c r="W869">
        <f>IF(OR(B869="",P869=""),"",NETWORKDAYS(C869,P869)-1)</f>
        <v/>
      </c>
      <c r="X869">
        <f>IF(B869="","",IF(P869="","Aberto","Fechado"))</f>
        <v/>
      </c>
    </row>
    <row r="870">
      <c r="C870" s="6" t="n"/>
      <c r="E870" s="7" t="n"/>
      <c r="F870" s="8" t="n"/>
      <c r="G870" s="8" t="n"/>
      <c r="H870" s="8" t="n"/>
      <c r="J870" s="7" t="n"/>
      <c r="K870" s="8" t="n"/>
      <c r="L870" s="7" t="n"/>
      <c r="M870" s="8" t="n"/>
      <c r="N870" s="7" t="n"/>
      <c r="O870" s="8" t="n"/>
      <c r="P870" s="6" t="n"/>
      <c r="Q870" s="8" t="n"/>
      <c r="S870" s="8">
        <f>IF(B870="","",E870*F870)</f>
        <v/>
      </c>
      <c r="T870" s="8">
        <f>IF(OR(B870="",N(G870)=0),"",ABS(F870-G870)*E870)</f>
        <v/>
      </c>
      <c r="U870" s="8">
        <f>IF(OR(B870="",P870=""),"",IF(D870="Venda",-1,1)*((N(J870)*N(K870)+N(L870)*N(M870)+N(N870)*N(O870))-(N(J870)+N(L870)+N(N870))*F870)-N(Q870))</f>
        <v/>
      </c>
      <c r="V870" s="9">
        <f>IF(OR(B870="",P870=""),"",U870/S870)</f>
        <v/>
      </c>
      <c r="W870">
        <f>IF(OR(B870="",P870=""),"",NETWORKDAYS(C870,P870)-1)</f>
        <v/>
      </c>
      <c r="X870">
        <f>IF(B870="","",IF(P870="","Aberto","Fechado"))</f>
        <v/>
      </c>
    </row>
    <row r="871">
      <c r="C871" s="6" t="n"/>
      <c r="E871" s="7" t="n"/>
      <c r="F871" s="8" t="n"/>
      <c r="G871" s="8" t="n"/>
      <c r="H871" s="8" t="n"/>
      <c r="J871" s="7" t="n"/>
      <c r="K871" s="8" t="n"/>
      <c r="L871" s="7" t="n"/>
      <c r="M871" s="8" t="n"/>
      <c r="N871" s="7" t="n"/>
      <c r="O871" s="8" t="n"/>
      <c r="P871" s="6" t="n"/>
      <c r="Q871" s="8" t="n"/>
      <c r="S871" s="8">
        <f>IF(B871="","",E871*F871)</f>
        <v/>
      </c>
      <c r="T871" s="8">
        <f>IF(OR(B871="",N(G871)=0),"",ABS(F871-G871)*E871)</f>
        <v/>
      </c>
      <c r="U871" s="8">
        <f>IF(OR(B871="",P871=""),"",IF(D871="Venda",-1,1)*((N(J871)*N(K871)+N(L871)*N(M871)+N(N871)*N(O871))-(N(J871)+N(L871)+N(N871))*F871)-N(Q871))</f>
        <v/>
      </c>
      <c r="V871" s="9">
        <f>IF(OR(B871="",P871=""),"",U871/S871)</f>
        <v/>
      </c>
      <c r="W871">
        <f>IF(OR(B871="",P871=""),"",NETWORKDAYS(C871,P871)-1)</f>
        <v/>
      </c>
      <c r="X871">
        <f>IF(B871="","",IF(P871="","Aberto","Fechado"))</f>
        <v/>
      </c>
    </row>
    <row r="872">
      <c r="C872" s="6" t="n"/>
      <c r="E872" s="7" t="n"/>
      <c r="F872" s="8" t="n"/>
      <c r="G872" s="8" t="n"/>
      <c r="H872" s="8" t="n"/>
      <c r="J872" s="7" t="n"/>
      <c r="K872" s="8" t="n"/>
      <c r="L872" s="7" t="n"/>
      <c r="M872" s="8" t="n"/>
      <c r="N872" s="7" t="n"/>
      <c r="O872" s="8" t="n"/>
      <c r="P872" s="6" t="n"/>
      <c r="Q872" s="8" t="n"/>
      <c r="S872" s="8">
        <f>IF(B872="","",E872*F872)</f>
        <v/>
      </c>
      <c r="T872" s="8">
        <f>IF(OR(B872="",N(G872)=0),"",ABS(F872-G872)*E872)</f>
        <v/>
      </c>
      <c r="U872" s="8">
        <f>IF(OR(B872="",P872=""),"",IF(D872="Venda",-1,1)*((N(J872)*N(K872)+N(L872)*N(M872)+N(N872)*N(O872))-(N(J872)+N(L872)+N(N872))*F872)-N(Q872))</f>
        <v/>
      </c>
      <c r="V872" s="9">
        <f>IF(OR(B872="",P872=""),"",U872/S872)</f>
        <v/>
      </c>
      <c r="W872">
        <f>IF(OR(B872="",P872=""),"",NETWORKDAYS(C872,P872)-1)</f>
        <v/>
      </c>
      <c r="X872">
        <f>IF(B872="","",IF(P872="","Aberto","Fechado"))</f>
        <v/>
      </c>
    </row>
    <row r="873">
      <c r="C873" s="6" t="n"/>
      <c r="E873" s="7" t="n"/>
      <c r="F873" s="8" t="n"/>
      <c r="G873" s="8" t="n"/>
      <c r="H873" s="8" t="n"/>
      <c r="J873" s="7" t="n"/>
      <c r="K873" s="8" t="n"/>
      <c r="L873" s="7" t="n"/>
      <c r="M873" s="8" t="n"/>
      <c r="N873" s="7" t="n"/>
      <c r="O873" s="8" t="n"/>
      <c r="P873" s="6" t="n"/>
      <c r="Q873" s="8" t="n"/>
      <c r="S873" s="8">
        <f>IF(B873="","",E873*F873)</f>
        <v/>
      </c>
      <c r="T873" s="8">
        <f>IF(OR(B873="",N(G873)=0),"",ABS(F873-G873)*E873)</f>
        <v/>
      </c>
      <c r="U873" s="8">
        <f>IF(OR(B873="",P873=""),"",IF(D873="Venda",-1,1)*((N(J873)*N(K873)+N(L873)*N(M873)+N(N873)*N(O873))-(N(J873)+N(L873)+N(N873))*F873)-N(Q873))</f>
        <v/>
      </c>
      <c r="V873" s="9">
        <f>IF(OR(B873="",P873=""),"",U873/S873)</f>
        <v/>
      </c>
      <c r="W873">
        <f>IF(OR(B873="",P873=""),"",NETWORKDAYS(C873,P873)-1)</f>
        <v/>
      </c>
      <c r="X873">
        <f>IF(B873="","",IF(P873="","Aberto","Fechado"))</f>
        <v/>
      </c>
    </row>
    <row r="874">
      <c r="C874" s="6" t="n"/>
      <c r="E874" s="7" t="n"/>
      <c r="F874" s="8" t="n"/>
      <c r="G874" s="8" t="n"/>
      <c r="H874" s="8" t="n"/>
      <c r="J874" s="7" t="n"/>
      <c r="K874" s="8" t="n"/>
      <c r="L874" s="7" t="n"/>
      <c r="M874" s="8" t="n"/>
      <c r="N874" s="7" t="n"/>
      <c r="O874" s="8" t="n"/>
      <c r="P874" s="6" t="n"/>
      <c r="Q874" s="8" t="n"/>
      <c r="S874" s="8">
        <f>IF(B874="","",E874*F874)</f>
        <v/>
      </c>
      <c r="T874" s="8">
        <f>IF(OR(B874="",N(G874)=0),"",ABS(F874-G874)*E874)</f>
        <v/>
      </c>
      <c r="U874" s="8">
        <f>IF(OR(B874="",P874=""),"",IF(D874="Venda",-1,1)*((N(J874)*N(K874)+N(L874)*N(M874)+N(N874)*N(O874))-(N(J874)+N(L874)+N(N874))*F874)-N(Q874))</f>
        <v/>
      </c>
      <c r="V874" s="9">
        <f>IF(OR(B874="",P874=""),"",U874/S874)</f>
        <v/>
      </c>
      <c r="W874">
        <f>IF(OR(B874="",P874=""),"",NETWORKDAYS(C874,P874)-1)</f>
        <v/>
      </c>
      <c r="X874">
        <f>IF(B874="","",IF(P874="","Aberto","Fechado"))</f>
        <v/>
      </c>
    </row>
    <row r="875">
      <c r="C875" s="6" t="n"/>
      <c r="E875" s="7" t="n"/>
      <c r="F875" s="8" t="n"/>
      <c r="G875" s="8" t="n"/>
      <c r="H875" s="8" t="n"/>
      <c r="J875" s="7" t="n"/>
      <c r="K875" s="8" t="n"/>
      <c r="L875" s="7" t="n"/>
      <c r="M875" s="8" t="n"/>
      <c r="N875" s="7" t="n"/>
      <c r="O875" s="8" t="n"/>
      <c r="P875" s="6" t="n"/>
      <c r="Q875" s="8" t="n"/>
      <c r="S875" s="8">
        <f>IF(B875="","",E875*F875)</f>
        <v/>
      </c>
      <c r="T875" s="8">
        <f>IF(OR(B875="",N(G875)=0),"",ABS(F875-G875)*E875)</f>
        <v/>
      </c>
      <c r="U875" s="8">
        <f>IF(OR(B875="",P875=""),"",IF(D875="Venda",-1,1)*((N(J875)*N(K875)+N(L875)*N(M875)+N(N875)*N(O875))-(N(J875)+N(L875)+N(N875))*F875)-N(Q875))</f>
        <v/>
      </c>
      <c r="V875" s="9">
        <f>IF(OR(B875="",P875=""),"",U875/S875)</f>
        <v/>
      </c>
      <c r="W875">
        <f>IF(OR(B875="",P875=""),"",NETWORKDAYS(C875,P875)-1)</f>
        <v/>
      </c>
      <c r="X875">
        <f>IF(B875="","",IF(P875="","Aberto","Fechado"))</f>
        <v/>
      </c>
    </row>
    <row r="876">
      <c r="C876" s="6" t="n"/>
      <c r="E876" s="7" t="n"/>
      <c r="F876" s="8" t="n"/>
      <c r="G876" s="8" t="n"/>
      <c r="H876" s="8" t="n"/>
      <c r="J876" s="7" t="n"/>
      <c r="K876" s="8" t="n"/>
      <c r="L876" s="7" t="n"/>
      <c r="M876" s="8" t="n"/>
      <c r="N876" s="7" t="n"/>
      <c r="O876" s="8" t="n"/>
      <c r="P876" s="6" t="n"/>
      <c r="Q876" s="8" t="n"/>
      <c r="S876" s="8">
        <f>IF(B876="","",E876*F876)</f>
        <v/>
      </c>
      <c r="T876" s="8">
        <f>IF(OR(B876="",N(G876)=0),"",ABS(F876-G876)*E876)</f>
        <v/>
      </c>
      <c r="U876" s="8">
        <f>IF(OR(B876="",P876=""),"",IF(D876="Venda",-1,1)*((N(J876)*N(K876)+N(L876)*N(M876)+N(N876)*N(O876))-(N(J876)+N(L876)+N(N876))*F876)-N(Q876))</f>
        <v/>
      </c>
      <c r="V876" s="9">
        <f>IF(OR(B876="",P876=""),"",U876/S876)</f>
        <v/>
      </c>
      <c r="W876">
        <f>IF(OR(B876="",P876=""),"",NETWORKDAYS(C876,P876)-1)</f>
        <v/>
      </c>
      <c r="X876">
        <f>IF(B876="","",IF(P876="","Aberto","Fechado"))</f>
        <v/>
      </c>
    </row>
    <row r="877">
      <c r="C877" s="6" t="n"/>
      <c r="E877" s="7" t="n"/>
      <c r="F877" s="8" t="n"/>
      <c r="G877" s="8" t="n"/>
      <c r="H877" s="8" t="n"/>
      <c r="J877" s="7" t="n"/>
      <c r="K877" s="8" t="n"/>
      <c r="L877" s="7" t="n"/>
      <c r="M877" s="8" t="n"/>
      <c r="N877" s="7" t="n"/>
      <c r="O877" s="8" t="n"/>
      <c r="P877" s="6" t="n"/>
      <c r="Q877" s="8" t="n"/>
      <c r="S877" s="8">
        <f>IF(B877="","",E877*F877)</f>
        <v/>
      </c>
      <c r="T877" s="8">
        <f>IF(OR(B877="",N(G877)=0),"",ABS(F877-G877)*E877)</f>
        <v/>
      </c>
      <c r="U877" s="8">
        <f>IF(OR(B877="",P877=""),"",IF(D877="Venda",-1,1)*((N(J877)*N(K877)+N(L877)*N(M877)+N(N877)*N(O877))-(N(J877)+N(L877)+N(N877))*F877)-N(Q877))</f>
        <v/>
      </c>
      <c r="V877" s="9">
        <f>IF(OR(B877="",P877=""),"",U877/S877)</f>
        <v/>
      </c>
      <c r="W877">
        <f>IF(OR(B877="",P877=""),"",NETWORKDAYS(C877,P877)-1)</f>
        <v/>
      </c>
      <c r="X877">
        <f>IF(B877="","",IF(P877="","Aberto","Fechado"))</f>
        <v/>
      </c>
    </row>
    <row r="878">
      <c r="C878" s="6" t="n"/>
      <c r="E878" s="7" t="n"/>
      <c r="F878" s="8" t="n"/>
      <c r="G878" s="8" t="n"/>
      <c r="H878" s="8" t="n"/>
      <c r="J878" s="7" t="n"/>
      <c r="K878" s="8" t="n"/>
      <c r="L878" s="7" t="n"/>
      <c r="M878" s="8" t="n"/>
      <c r="N878" s="7" t="n"/>
      <c r="O878" s="8" t="n"/>
      <c r="P878" s="6" t="n"/>
      <c r="Q878" s="8" t="n"/>
      <c r="S878" s="8">
        <f>IF(B878="","",E878*F878)</f>
        <v/>
      </c>
      <c r="T878" s="8">
        <f>IF(OR(B878="",N(G878)=0),"",ABS(F878-G878)*E878)</f>
        <v/>
      </c>
      <c r="U878" s="8">
        <f>IF(OR(B878="",P878=""),"",IF(D878="Venda",-1,1)*((N(J878)*N(K878)+N(L878)*N(M878)+N(N878)*N(O878))-(N(J878)+N(L878)+N(N878))*F878)-N(Q878))</f>
        <v/>
      </c>
      <c r="V878" s="9">
        <f>IF(OR(B878="",P878=""),"",U878/S878)</f>
        <v/>
      </c>
      <c r="W878">
        <f>IF(OR(B878="",P878=""),"",NETWORKDAYS(C878,P878)-1)</f>
        <v/>
      </c>
      <c r="X878">
        <f>IF(B878="","",IF(P878="","Aberto","Fechado"))</f>
        <v/>
      </c>
    </row>
    <row r="879">
      <c r="C879" s="6" t="n"/>
      <c r="E879" s="7" t="n"/>
      <c r="F879" s="8" t="n"/>
      <c r="G879" s="8" t="n"/>
      <c r="H879" s="8" t="n"/>
      <c r="J879" s="7" t="n"/>
      <c r="K879" s="8" t="n"/>
      <c r="L879" s="7" t="n"/>
      <c r="M879" s="8" t="n"/>
      <c r="N879" s="7" t="n"/>
      <c r="O879" s="8" t="n"/>
      <c r="P879" s="6" t="n"/>
      <c r="Q879" s="8" t="n"/>
      <c r="S879" s="8">
        <f>IF(B879="","",E879*F879)</f>
        <v/>
      </c>
      <c r="T879" s="8">
        <f>IF(OR(B879="",N(G879)=0),"",ABS(F879-G879)*E879)</f>
        <v/>
      </c>
      <c r="U879" s="8">
        <f>IF(OR(B879="",P879=""),"",IF(D879="Venda",-1,1)*((N(J879)*N(K879)+N(L879)*N(M879)+N(N879)*N(O879))-(N(J879)+N(L879)+N(N879))*F879)-N(Q879))</f>
        <v/>
      </c>
      <c r="V879" s="9">
        <f>IF(OR(B879="",P879=""),"",U879/S879)</f>
        <v/>
      </c>
      <c r="W879">
        <f>IF(OR(B879="",P879=""),"",NETWORKDAYS(C879,P879)-1)</f>
        <v/>
      </c>
      <c r="X879">
        <f>IF(B879="","",IF(P879="","Aberto","Fechado"))</f>
        <v/>
      </c>
    </row>
    <row r="880">
      <c r="C880" s="6" t="n"/>
      <c r="E880" s="7" t="n"/>
      <c r="F880" s="8" t="n"/>
      <c r="G880" s="8" t="n"/>
      <c r="H880" s="8" t="n"/>
      <c r="J880" s="7" t="n"/>
      <c r="K880" s="8" t="n"/>
      <c r="L880" s="7" t="n"/>
      <c r="M880" s="8" t="n"/>
      <c r="N880" s="7" t="n"/>
      <c r="O880" s="8" t="n"/>
      <c r="P880" s="6" t="n"/>
      <c r="Q880" s="8" t="n"/>
      <c r="S880" s="8">
        <f>IF(B880="","",E880*F880)</f>
        <v/>
      </c>
      <c r="T880" s="8">
        <f>IF(OR(B880="",N(G880)=0),"",ABS(F880-G880)*E880)</f>
        <v/>
      </c>
      <c r="U880" s="8">
        <f>IF(OR(B880="",P880=""),"",IF(D880="Venda",-1,1)*((N(J880)*N(K880)+N(L880)*N(M880)+N(N880)*N(O880))-(N(J880)+N(L880)+N(N880))*F880)-N(Q880))</f>
        <v/>
      </c>
      <c r="V880" s="9">
        <f>IF(OR(B880="",P880=""),"",U880/S880)</f>
        <v/>
      </c>
      <c r="W880">
        <f>IF(OR(B880="",P880=""),"",NETWORKDAYS(C880,P880)-1)</f>
        <v/>
      </c>
      <c r="X880">
        <f>IF(B880="","",IF(P880="","Aberto","Fechado"))</f>
        <v/>
      </c>
    </row>
    <row r="881">
      <c r="C881" s="6" t="n"/>
      <c r="E881" s="7" t="n"/>
      <c r="F881" s="8" t="n"/>
      <c r="G881" s="8" t="n"/>
      <c r="H881" s="8" t="n"/>
      <c r="J881" s="7" t="n"/>
      <c r="K881" s="8" t="n"/>
      <c r="L881" s="7" t="n"/>
      <c r="M881" s="8" t="n"/>
      <c r="N881" s="7" t="n"/>
      <c r="O881" s="8" t="n"/>
      <c r="P881" s="6" t="n"/>
      <c r="Q881" s="8" t="n"/>
      <c r="S881" s="8">
        <f>IF(B881="","",E881*F881)</f>
        <v/>
      </c>
      <c r="T881" s="8">
        <f>IF(OR(B881="",N(G881)=0),"",ABS(F881-G881)*E881)</f>
        <v/>
      </c>
      <c r="U881" s="8">
        <f>IF(OR(B881="",P881=""),"",IF(D881="Venda",-1,1)*((N(J881)*N(K881)+N(L881)*N(M881)+N(N881)*N(O881))-(N(J881)+N(L881)+N(N881))*F881)-N(Q881))</f>
        <v/>
      </c>
      <c r="V881" s="9">
        <f>IF(OR(B881="",P881=""),"",U881/S881)</f>
        <v/>
      </c>
      <c r="W881">
        <f>IF(OR(B881="",P881=""),"",NETWORKDAYS(C881,P881)-1)</f>
        <v/>
      </c>
      <c r="X881">
        <f>IF(B881="","",IF(P881="","Aberto","Fechado"))</f>
        <v/>
      </c>
    </row>
    <row r="882">
      <c r="C882" s="6" t="n"/>
      <c r="E882" s="7" t="n"/>
      <c r="F882" s="8" t="n"/>
      <c r="G882" s="8" t="n"/>
      <c r="H882" s="8" t="n"/>
      <c r="J882" s="7" t="n"/>
      <c r="K882" s="8" t="n"/>
      <c r="L882" s="7" t="n"/>
      <c r="M882" s="8" t="n"/>
      <c r="N882" s="7" t="n"/>
      <c r="O882" s="8" t="n"/>
      <c r="P882" s="6" t="n"/>
      <c r="Q882" s="8" t="n"/>
      <c r="S882" s="8">
        <f>IF(B882="","",E882*F882)</f>
        <v/>
      </c>
      <c r="T882" s="8">
        <f>IF(OR(B882="",N(G882)=0),"",ABS(F882-G882)*E882)</f>
        <v/>
      </c>
      <c r="U882" s="8">
        <f>IF(OR(B882="",P882=""),"",IF(D882="Venda",-1,1)*((N(J882)*N(K882)+N(L882)*N(M882)+N(N882)*N(O882))-(N(J882)+N(L882)+N(N882))*F882)-N(Q882))</f>
        <v/>
      </c>
      <c r="V882" s="9">
        <f>IF(OR(B882="",P882=""),"",U882/S882)</f>
        <v/>
      </c>
      <c r="W882">
        <f>IF(OR(B882="",P882=""),"",NETWORKDAYS(C882,P882)-1)</f>
        <v/>
      </c>
      <c r="X882">
        <f>IF(B882="","",IF(P882="","Aberto","Fechado"))</f>
        <v/>
      </c>
    </row>
    <row r="883">
      <c r="C883" s="6" t="n"/>
      <c r="E883" s="7" t="n"/>
      <c r="F883" s="8" t="n"/>
      <c r="G883" s="8" t="n"/>
      <c r="H883" s="8" t="n"/>
      <c r="J883" s="7" t="n"/>
      <c r="K883" s="8" t="n"/>
      <c r="L883" s="7" t="n"/>
      <c r="M883" s="8" t="n"/>
      <c r="N883" s="7" t="n"/>
      <c r="O883" s="8" t="n"/>
      <c r="P883" s="6" t="n"/>
      <c r="Q883" s="8" t="n"/>
      <c r="S883" s="8">
        <f>IF(B883="","",E883*F883)</f>
        <v/>
      </c>
      <c r="T883" s="8">
        <f>IF(OR(B883="",N(G883)=0),"",ABS(F883-G883)*E883)</f>
        <v/>
      </c>
      <c r="U883" s="8">
        <f>IF(OR(B883="",P883=""),"",IF(D883="Venda",-1,1)*((N(J883)*N(K883)+N(L883)*N(M883)+N(N883)*N(O883))-(N(J883)+N(L883)+N(N883))*F883)-N(Q883))</f>
        <v/>
      </c>
      <c r="V883" s="9">
        <f>IF(OR(B883="",P883=""),"",U883/S883)</f>
        <v/>
      </c>
      <c r="W883">
        <f>IF(OR(B883="",P883=""),"",NETWORKDAYS(C883,P883)-1)</f>
        <v/>
      </c>
      <c r="X883">
        <f>IF(B883="","",IF(P883="","Aberto","Fechado"))</f>
        <v/>
      </c>
    </row>
    <row r="884">
      <c r="C884" s="6" t="n"/>
      <c r="E884" s="7" t="n"/>
      <c r="F884" s="8" t="n"/>
      <c r="G884" s="8" t="n"/>
      <c r="H884" s="8" t="n"/>
      <c r="J884" s="7" t="n"/>
      <c r="K884" s="8" t="n"/>
      <c r="L884" s="7" t="n"/>
      <c r="M884" s="8" t="n"/>
      <c r="N884" s="7" t="n"/>
      <c r="O884" s="8" t="n"/>
      <c r="P884" s="6" t="n"/>
      <c r="Q884" s="8" t="n"/>
      <c r="S884" s="8">
        <f>IF(B884="","",E884*F884)</f>
        <v/>
      </c>
      <c r="T884" s="8">
        <f>IF(OR(B884="",N(G884)=0),"",ABS(F884-G884)*E884)</f>
        <v/>
      </c>
      <c r="U884" s="8">
        <f>IF(OR(B884="",P884=""),"",IF(D884="Venda",-1,1)*((N(J884)*N(K884)+N(L884)*N(M884)+N(N884)*N(O884))-(N(J884)+N(L884)+N(N884))*F884)-N(Q884))</f>
        <v/>
      </c>
      <c r="V884" s="9">
        <f>IF(OR(B884="",P884=""),"",U884/S884)</f>
        <v/>
      </c>
      <c r="W884">
        <f>IF(OR(B884="",P884=""),"",NETWORKDAYS(C884,P884)-1)</f>
        <v/>
      </c>
      <c r="X884">
        <f>IF(B884="","",IF(P884="","Aberto","Fechado"))</f>
        <v/>
      </c>
    </row>
    <row r="885">
      <c r="C885" s="6" t="n"/>
      <c r="E885" s="7" t="n"/>
      <c r="F885" s="8" t="n"/>
      <c r="G885" s="8" t="n"/>
      <c r="H885" s="8" t="n"/>
      <c r="J885" s="7" t="n"/>
      <c r="K885" s="8" t="n"/>
      <c r="L885" s="7" t="n"/>
      <c r="M885" s="8" t="n"/>
      <c r="N885" s="7" t="n"/>
      <c r="O885" s="8" t="n"/>
      <c r="P885" s="6" t="n"/>
      <c r="Q885" s="8" t="n"/>
      <c r="S885" s="8">
        <f>IF(B885="","",E885*F885)</f>
        <v/>
      </c>
      <c r="T885" s="8">
        <f>IF(OR(B885="",N(G885)=0),"",ABS(F885-G885)*E885)</f>
        <v/>
      </c>
      <c r="U885" s="8">
        <f>IF(OR(B885="",P885=""),"",IF(D885="Venda",-1,1)*((N(J885)*N(K885)+N(L885)*N(M885)+N(N885)*N(O885))-(N(J885)+N(L885)+N(N885))*F885)-N(Q885))</f>
        <v/>
      </c>
      <c r="V885" s="9">
        <f>IF(OR(B885="",P885=""),"",U885/S885)</f>
        <v/>
      </c>
      <c r="W885">
        <f>IF(OR(B885="",P885=""),"",NETWORKDAYS(C885,P885)-1)</f>
        <v/>
      </c>
      <c r="X885">
        <f>IF(B885="","",IF(P885="","Aberto","Fechado"))</f>
        <v/>
      </c>
    </row>
    <row r="886">
      <c r="C886" s="6" t="n"/>
      <c r="E886" s="7" t="n"/>
      <c r="F886" s="8" t="n"/>
      <c r="G886" s="8" t="n"/>
      <c r="H886" s="8" t="n"/>
      <c r="J886" s="7" t="n"/>
      <c r="K886" s="8" t="n"/>
      <c r="L886" s="7" t="n"/>
      <c r="M886" s="8" t="n"/>
      <c r="N886" s="7" t="n"/>
      <c r="O886" s="8" t="n"/>
      <c r="P886" s="6" t="n"/>
      <c r="Q886" s="8" t="n"/>
      <c r="S886" s="8">
        <f>IF(B886="","",E886*F886)</f>
        <v/>
      </c>
      <c r="T886" s="8">
        <f>IF(OR(B886="",N(G886)=0),"",ABS(F886-G886)*E886)</f>
        <v/>
      </c>
      <c r="U886" s="8">
        <f>IF(OR(B886="",P886=""),"",IF(D886="Venda",-1,1)*((N(J886)*N(K886)+N(L886)*N(M886)+N(N886)*N(O886))-(N(J886)+N(L886)+N(N886))*F886)-N(Q886))</f>
        <v/>
      </c>
      <c r="V886" s="9">
        <f>IF(OR(B886="",P886=""),"",U886/S886)</f>
        <v/>
      </c>
      <c r="W886">
        <f>IF(OR(B886="",P886=""),"",NETWORKDAYS(C886,P886)-1)</f>
        <v/>
      </c>
      <c r="X886">
        <f>IF(B886="","",IF(P886="","Aberto","Fechado"))</f>
        <v/>
      </c>
    </row>
    <row r="887">
      <c r="C887" s="6" t="n"/>
      <c r="E887" s="7" t="n"/>
      <c r="F887" s="8" t="n"/>
      <c r="G887" s="8" t="n"/>
      <c r="H887" s="8" t="n"/>
      <c r="J887" s="7" t="n"/>
      <c r="K887" s="8" t="n"/>
      <c r="L887" s="7" t="n"/>
      <c r="M887" s="8" t="n"/>
      <c r="N887" s="7" t="n"/>
      <c r="O887" s="8" t="n"/>
      <c r="P887" s="6" t="n"/>
      <c r="Q887" s="8" t="n"/>
      <c r="S887" s="8">
        <f>IF(B887="","",E887*F887)</f>
        <v/>
      </c>
      <c r="T887" s="8">
        <f>IF(OR(B887="",N(G887)=0),"",ABS(F887-G887)*E887)</f>
        <v/>
      </c>
      <c r="U887" s="8">
        <f>IF(OR(B887="",P887=""),"",IF(D887="Venda",-1,1)*((N(J887)*N(K887)+N(L887)*N(M887)+N(N887)*N(O887))-(N(J887)+N(L887)+N(N887))*F887)-N(Q887))</f>
        <v/>
      </c>
      <c r="V887" s="9">
        <f>IF(OR(B887="",P887=""),"",U887/S887)</f>
        <v/>
      </c>
      <c r="W887">
        <f>IF(OR(B887="",P887=""),"",NETWORKDAYS(C887,P887)-1)</f>
        <v/>
      </c>
      <c r="X887">
        <f>IF(B887="","",IF(P887="","Aberto","Fechado"))</f>
        <v/>
      </c>
    </row>
    <row r="888">
      <c r="C888" s="6" t="n"/>
      <c r="E888" s="7" t="n"/>
      <c r="F888" s="8" t="n"/>
      <c r="G888" s="8" t="n"/>
      <c r="H888" s="8" t="n"/>
      <c r="J888" s="7" t="n"/>
      <c r="K888" s="8" t="n"/>
      <c r="L888" s="7" t="n"/>
      <c r="M888" s="8" t="n"/>
      <c r="N888" s="7" t="n"/>
      <c r="O888" s="8" t="n"/>
      <c r="P888" s="6" t="n"/>
      <c r="Q888" s="8" t="n"/>
      <c r="S888" s="8">
        <f>IF(B888="","",E888*F888)</f>
        <v/>
      </c>
      <c r="T888" s="8">
        <f>IF(OR(B888="",N(G888)=0),"",ABS(F888-G888)*E888)</f>
        <v/>
      </c>
      <c r="U888" s="8">
        <f>IF(OR(B888="",P888=""),"",IF(D888="Venda",-1,1)*((N(J888)*N(K888)+N(L888)*N(M888)+N(N888)*N(O888))-(N(J888)+N(L888)+N(N888))*F888)-N(Q888))</f>
        <v/>
      </c>
      <c r="V888" s="9">
        <f>IF(OR(B888="",P888=""),"",U888/S888)</f>
        <v/>
      </c>
      <c r="W888">
        <f>IF(OR(B888="",P888=""),"",NETWORKDAYS(C888,P888)-1)</f>
        <v/>
      </c>
      <c r="X888">
        <f>IF(B888="","",IF(P888="","Aberto","Fechado"))</f>
        <v/>
      </c>
    </row>
    <row r="889">
      <c r="C889" s="6" t="n"/>
      <c r="E889" s="7" t="n"/>
      <c r="F889" s="8" t="n"/>
      <c r="G889" s="8" t="n"/>
      <c r="H889" s="8" t="n"/>
      <c r="J889" s="7" t="n"/>
      <c r="K889" s="8" t="n"/>
      <c r="L889" s="7" t="n"/>
      <c r="M889" s="8" t="n"/>
      <c r="N889" s="7" t="n"/>
      <c r="O889" s="8" t="n"/>
      <c r="P889" s="6" t="n"/>
      <c r="Q889" s="8" t="n"/>
      <c r="S889" s="8">
        <f>IF(B889="","",E889*F889)</f>
        <v/>
      </c>
      <c r="T889" s="8">
        <f>IF(OR(B889="",N(G889)=0),"",ABS(F889-G889)*E889)</f>
        <v/>
      </c>
      <c r="U889" s="8">
        <f>IF(OR(B889="",P889=""),"",IF(D889="Venda",-1,1)*((N(J889)*N(K889)+N(L889)*N(M889)+N(N889)*N(O889))-(N(J889)+N(L889)+N(N889))*F889)-N(Q889))</f>
        <v/>
      </c>
      <c r="V889" s="9">
        <f>IF(OR(B889="",P889=""),"",U889/S889)</f>
        <v/>
      </c>
      <c r="W889">
        <f>IF(OR(B889="",P889=""),"",NETWORKDAYS(C889,P889)-1)</f>
        <v/>
      </c>
      <c r="X889">
        <f>IF(B889="","",IF(P889="","Aberto","Fechado"))</f>
        <v/>
      </c>
    </row>
    <row r="890">
      <c r="C890" s="6" t="n"/>
      <c r="E890" s="7" t="n"/>
      <c r="F890" s="8" t="n"/>
      <c r="G890" s="8" t="n"/>
      <c r="H890" s="8" t="n"/>
      <c r="J890" s="7" t="n"/>
      <c r="K890" s="8" t="n"/>
      <c r="L890" s="7" t="n"/>
      <c r="M890" s="8" t="n"/>
      <c r="N890" s="7" t="n"/>
      <c r="O890" s="8" t="n"/>
      <c r="P890" s="6" t="n"/>
      <c r="Q890" s="8" t="n"/>
      <c r="S890" s="8">
        <f>IF(B890="","",E890*F890)</f>
        <v/>
      </c>
      <c r="T890" s="8">
        <f>IF(OR(B890="",N(G890)=0),"",ABS(F890-G890)*E890)</f>
        <v/>
      </c>
      <c r="U890" s="8">
        <f>IF(OR(B890="",P890=""),"",IF(D890="Venda",-1,1)*((N(J890)*N(K890)+N(L890)*N(M890)+N(N890)*N(O890))-(N(J890)+N(L890)+N(N890))*F890)-N(Q890))</f>
        <v/>
      </c>
      <c r="V890" s="9">
        <f>IF(OR(B890="",P890=""),"",U890/S890)</f>
        <v/>
      </c>
      <c r="W890">
        <f>IF(OR(B890="",P890=""),"",NETWORKDAYS(C890,P890)-1)</f>
        <v/>
      </c>
      <c r="X890">
        <f>IF(B890="","",IF(P890="","Aberto","Fechado"))</f>
        <v/>
      </c>
    </row>
    <row r="891">
      <c r="C891" s="6" t="n"/>
      <c r="E891" s="7" t="n"/>
      <c r="F891" s="8" t="n"/>
      <c r="G891" s="8" t="n"/>
      <c r="H891" s="8" t="n"/>
      <c r="J891" s="7" t="n"/>
      <c r="K891" s="8" t="n"/>
      <c r="L891" s="7" t="n"/>
      <c r="M891" s="8" t="n"/>
      <c r="N891" s="7" t="n"/>
      <c r="O891" s="8" t="n"/>
      <c r="P891" s="6" t="n"/>
      <c r="Q891" s="8" t="n"/>
      <c r="S891" s="8">
        <f>IF(B891="","",E891*F891)</f>
        <v/>
      </c>
      <c r="T891" s="8">
        <f>IF(OR(B891="",N(G891)=0),"",ABS(F891-G891)*E891)</f>
        <v/>
      </c>
      <c r="U891" s="8">
        <f>IF(OR(B891="",P891=""),"",IF(D891="Venda",-1,1)*((N(J891)*N(K891)+N(L891)*N(M891)+N(N891)*N(O891))-(N(J891)+N(L891)+N(N891))*F891)-N(Q891))</f>
        <v/>
      </c>
      <c r="V891" s="9">
        <f>IF(OR(B891="",P891=""),"",U891/S891)</f>
        <v/>
      </c>
      <c r="W891">
        <f>IF(OR(B891="",P891=""),"",NETWORKDAYS(C891,P891)-1)</f>
        <v/>
      </c>
      <c r="X891">
        <f>IF(B891="","",IF(P891="","Aberto","Fechado"))</f>
        <v/>
      </c>
    </row>
    <row r="892">
      <c r="C892" s="6" t="n"/>
      <c r="E892" s="7" t="n"/>
      <c r="F892" s="8" t="n"/>
      <c r="G892" s="8" t="n"/>
      <c r="H892" s="8" t="n"/>
      <c r="J892" s="7" t="n"/>
      <c r="K892" s="8" t="n"/>
      <c r="L892" s="7" t="n"/>
      <c r="M892" s="8" t="n"/>
      <c r="N892" s="7" t="n"/>
      <c r="O892" s="8" t="n"/>
      <c r="P892" s="6" t="n"/>
      <c r="Q892" s="8" t="n"/>
      <c r="S892" s="8">
        <f>IF(B892="","",E892*F892)</f>
        <v/>
      </c>
      <c r="T892" s="8">
        <f>IF(OR(B892="",N(G892)=0),"",ABS(F892-G892)*E892)</f>
        <v/>
      </c>
      <c r="U892" s="8">
        <f>IF(OR(B892="",P892=""),"",IF(D892="Venda",-1,1)*((N(J892)*N(K892)+N(L892)*N(M892)+N(N892)*N(O892))-(N(J892)+N(L892)+N(N892))*F892)-N(Q892))</f>
        <v/>
      </c>
      <c r="V892" s="9">
        <f>IF(OR(B892="",P892=""),"",U892/S892)</f>
        <v/>
      </c>
      <c r="W892">
        <f>IF(OR(B892="",P892=""),"",NETWORKDAYS(C892,P892)-1)</f>
        <v/>
      </c>
      <c r="X892">
        <f>IF(B892="","",IF(P892="","Aberto","Fechado"))</f>
        <v/>
      </c>
    </row>
    <row r="893">
      <c r="C893" s="6" t="n"/>
      <c r="E893" s="7" t="n"/>
      <c r="F893" s="8" t="n"/>
      <c r="G893" s="8" t="n"/>
      <c r="H893" s="8" t="n"/>
      <c r="J893" s="7" t="n"/>
      <c r="K893" s="8" t="n"/>
      <c r="L893" s="7" t="n"/>
      <c r="M893" s="8" t="n"/>
      <c r="N893" s="7" t="n"/>
      <c r="O893" s="8" t="n"/>
      <c r="P893" s="6" t="n"/>
      <c r="Q893" s="8" t="n"/>
      <c r="S893" s="8">
        <f>IF(B893="","",E893*F893)</f>
        <v/>
      </c>
      <c r="T893" s="8">
        <f>IF(OR(B893="",N(G893)=0),"",ABS(F893-G893)*E893)</f>
        <v/>
      </c>
      <c r="U893" s="8">
        <f>IF(OR(B893="",P893=""),"",IF(D893="Venda",-1,1)*((N(J893)*N(K893)+N(L893)*N(M893)+N(N893)*N(O893))-(N(J893)+N(L893)+N(N893))*F893)-N(Q893))</f>
        <v/>
      </c>
      <c r="V893" s="9">
        <f>IF(OR(B893="",P893=""),"",U893/S893)</f>
        <v/>
      </c>
      <c r="W893">
        <f>IF(OR(B893="",P893=""),"",NETWORKDAYS(C893,P893)-1)</f>
        <v/>
      </c>
      <c r="X893">
        <f>IF(B893="","",IF(P893="","Aberto","Fechado"))</f>
        <v/>
      </c>
    </row>
    <row r="894">
      <c r="C894" s="6" t="n"/>
      <c r="E894" s="7" t="n"/>
      <c r="F894" s="8" t="n"/>
      <c r="G894" s="8" t="n"/>
      <c r="H894" s="8" t="n"/>
      <c r="J894" s="7" t="n"/>
      <c r="K894" s="8" t="n"/>
      <c r="L894" s="7" t="n"/>
      <c r="M894" s="8" t="n"/>
      <c r="N894" s="7" t="n"/>
      <c r="O894" s="8" t="n"/>
      <c r="P894" s="6" t="n"/>
      <c r="Q894" s="8" t="n"/>
      <c r="S894" s="8">
        <f>IF(B894="","",E894*F894)</f>
        <v/>
      </c>
      <c r="T894" s="8">
        <f>IF(OR(B894="",N(G894)=0),"",ABS(F894-G894)*E894)</f>
        <v/>
      </c>
      <c r="U894" s="8">
        <f>IF(OR(B894="",P894=""),"",IF(D894="Venda",-1,1)*((N(J894)*N(K894)+N(L894)*N(M894)+N(N894)*N(O894))-(N(J894)+N(L894)+N(N894))*F894)-N(Q894))</f>
        <v/>
      </c>
      <c r="V894" s="9">
        <f>IF(OR(B894="",P894=""),"",U894/S894)</f>
        <v/>
      </c>
      <c r="W894">
        <f>IF(OR(B894="",P894=""),"",NETWORKDAYS(C894,P894)-1)</f>
        <v/>
      </c>
      <c r="X894">
        <f>IF(B894="","",IF(P894="","Aberto","Fechado"))</f>
        <v/>
      </c>
    </row>
    <row r="895">
      <c r="C895" s="6" t="n"/>
      <c r="E895" s="7" t="n"/>
      <c r="F895" s="8" t="n"/>
      <c r="G895" s="8" t="n"/>
      <c r="H895" s="8" t="n"/>
      <c r="J895" s="7" t="n"/>
      <c r="K895" s="8" t="n"/>
      <c r="L895" s="7" t="n"/>
      <c r="M895" s="8" t="n"/>
      <c r="N895" s="7" t="n"/>
      <c r="O895" s="8" t="n"/>
      <c r="P895" s="6" t="n"/>
      <c r="Q895" s="8" t="n"/>
      <c r="S895" s="8">
        <f>IF(B895="","",E895*F895)</f>
        <v/>
      </c>
      <c r="T895" s="8">
        <f>IF(OR(B895="",N(G895)=0),"",ABS(F895-G895)*E895)</f>
        <v/>
      </c>
      <c r="U895" s="8">
        <f>IF(OR(B895="",P895=""),"",IF(D895="Venda",-1,1)*((N(J895)*N(K895)+N(L895)*N(M895)+N(N895)*N(O895))-(N(J895)+N(L895)+N(N895))*F895)-N(Q895))</f>
        <v/>
      </c>
      <c r="V895" s="9">
        <f>IF(OR(B895="",P895=""),"",U895/S895)</f>
        <v/>
      </c>
      <c r="W895">
        <f>IF(OR(B895="",P895=""),"",NETWORKDAYS(C895,P895)-1)</f>
        <v/>
      </c>
      <c r="X895">
        <f>IF(B895="","",IF(P895="","Aberto","Fechado"))</f>
        <v/>
      </c>
    </row>
    <row r="896">
      <c r="C896" s="6" t="n"/>
      <c r="E896" s="7" t="n"/>
      <c r="F896" s="8" t="n"/>
      <c r="G896" s="8" t="n"/>
      <c r="H896" s="8" t="n"/>
      <c r="J896" s="7" t="n"/>
      <c r="K896" s="8" t="n"/>
      <c r="L896" s="7" t="n"/>
      <c r="M896" s="8" t="n"/>
      <c r="N896" s="7" t="n"/>
      <c r="O896" s="8" t="n"/>
      <c r="P896" s="6" t="n"/>
      <c r="Q896" s="8" t="n"/>
      <c r="S896" s="8">
        <f>IF(B896="","",E896*F896)</f>
        <v/>
      </c>
      <c r="T896" s="8">
        <f>IF(OR(B896="",N(G896)=0),"",ABS(F896-G896)*E896)</f>
        <v/>
      </c>
      <c r="U896" s="8">
        <f>IF(OR(B896="",P896=""),"",IF(D896="Venda",-1,1)*((N(J896)*N(K896)+N(L896)*N(M896)+N(N896)*N(O896))-(N(J896)+N(L896)+N(N896))*F896)-N(Q896))</f>
        <v/>
      </c>
      <c r="V896" s="9">
        <f>IF(OR(B896="",P896=""),"",U896/S896)</f>
        <v/>
      </c>
      <c r="W896">
        <f>IF(OR(B896="",P896=""),"",NETWORKDAYS(C896,P896)-1)</f>
        <v/>
      </c>
      <c r="X896">
        <f>IF(B896="","",IF(P896="","Aberto","Fechado"))</f>
        <v/>
      </c>
    </row>
    <row r="897">
      <c r="C897" s="6" t="n"/>
      <c r="E897" s="7" t="n"/>
      <c r="F897" s="8" t="n"/>
      <c r="G897" s="8" t="n"/>
      <c r="H897" s="8" t="n"/>
      <c r="J897" s="7" t="n"/>
      <c r="K897" s="8" t="n"/>
      <c r="L897" s="7" t="n"/>
      <c r="M897" s="8" t="n"/>
      <c r="N897" s="7" t="n"/>
      <c r="O897" s="8" t="n"/>
      <c r="P897" s="6" t="n"/>
      <c r="Q897" s="8" t="n"/>
      <c r="S897" s="8">
        <f>IF(B897="","",E897*F897)</f>
        <v/>
      </c>
      <c r="T897" s="8">
        <f>IF(OR(B897="",N(G897)=0),"",ABS(F897-G897)*E897)</f>
        <v/>
      </c>
      <c r="U897" s="8">
        <f>IF(OR(B897="",P897=""),"",IF(D897="Venda",-1,1)*((N(J897)*N(K897)+N(L897)*N(M897)+N(N897)*N(O897))-(N(J897)+N(L897)+N(N897))*F897)-N(Q897))</f>
        <v/>
      </c>
      <c r="V897" s="9">
        <f>IF(OR(B897="",P897=""),"",U897/S897)</f>
        <v/>
      </c>
      <c r="W897">
        <f>IF(OR(B897="",P897=""),"",NETWORKDAYS(C897,P897)-1)</f>
        <v/>
      </c>
      <c r="X897">
        <f>IF(B897="","",IF(P897="","Aberto","Fechado"))</f>
        <v/>
      </c>
    </row>
    <row r="898">
      <c r="C898" s="6" t="n"/>
      <c r="E898" s="7" t="n"/>
      <c r="F898" s="8" t="n"/>
      <c r="G898" s="8" t="n"/>
      <c r="H898" s="8" t="n"/>
      <c r="J898" s="7" t="n"/>
      <c r="K898" s="8" t="n"/>
      <c r="L898" s="7" t="n"/>
      <c r="M898" s="8" t="n"/>
      <c r="N898" s="7" t="n"/>
      <c r="O898" s="8" t="n"/>
      <c r="P898" s="6" t="n"/>
      <c r="Q898" s="8" t="n"/>
      <c r="S898" s="8">
        <f>IF(B898="","",E898*F898)</f>
        <v/>
      </c>
      <c r="T898" s="8">
        <f>IF(OR(B898="",N(G898)=0),"",ABS(F898-G898)*E898)</f>
        <v/>
      </c>
      <c r="U898" s="8">
        <f>IF(OR(B898="",P898=""),"",IF(D898="Venda",-1,1)*((N(J898)*N(K898)+N(L898)*N(M898)+N(N898)*N(O898))-(N(J898)+N(L898)+N(N898))*F898)-N(Q898))</f>
        <v/>
      </c>
      <c r="V898" s="9">
        <f>IF(OR(B898="",P898=""),"",U898/S898)</f>
        <v/>
      </c>
      <c r="W898">
        <f>IF(OR(B898="",P898=""),"",NETWORKDAYS(C898,P898)-1)</f>
        <v/>
      </c>
      <c r="X898">
        <f>IF(B898="","",IF(P898="","Aberto","Fechado"))</f>
        <v/>
      </c>
    </row>
    <row r="899">
      <c r="C899" s="6" t="n"/>
      <c r="E899" s="7" t="n"/>
      <c r="F899" s="8" t="n"/>
      <c r="G899" s="8" t="n"/>
      <c r="H899" s="8" t="n"/>
      <c r="J899" s="7" t="n"/>
      <c r="K899" s="8" t="n"/>
      <c r="L899" s="7" t="n"/>
      <c r="M899" s="8" t="n"/>
      <c r="N899" s="7" t="n"/>
      <c r="O899" s="8" t="n"/>
      <c r="P899" s="6" t="n"/>
      <c r="Q899" s="8" t="n"/>
      <c r="S899" s="8">
        <f>IF(B899="","",E899*F899)</f>
        <v/>
      </c>
      <c r="T899" s="8">
        <f>IF(OR(B899="",N(G899)=0),"",ABS(F899-G899)*E899)</f>
        <v/>
      </c>
      <c r="U899" s="8">
        <f>IF(OR(B899="",P899=""),"",IF(D899="Venda",-1,1)*((N(J899)*N(K899)+N(L899)*N(M899)+N(N899)*N(O899))-(N(J899)+N(L899)+N(N899))*F899)-N(Q899))</f>
        <v/>
      </c>
      <c r="V899" s="9">
        <f>IF(OR(B899="",P899=""),"",U899/S899)</f>
        <v/>
      </c>
      <c r="W899">
        <f>IF(OR(B899="",P899=""),"",NETWORKDAYS(C899,P899)-1)</f>
        <v/>
      </c>
      <c r="X899">
        <f>IF(B899="","",IF(P899="","Aberto","Fechado"))</f>
        <v/>
      </c>
    </row>
    <row r="900">
      <c r="C900" s="6" t="n"/>
      <c r="E900" s="7" t="n"/>
      <c r="F900" s="8" t="n"/>
      <c r="G900" s="8" t="n"/>
      <c r="H900" s="8" t="n"/>
      <c r="J900" s="7" t="n"/>
      <c r="K900" s="8" t="n"/>
      <c r="L900" s="7" t="n"/>
      <c r="M900" s="8" t="n"/>
      <c r="N900" s="7" t="n"/>
      <c r="O900" s="8" t="n"/>
      <c r="P900" s="6" t="n"/>
      <c r="Q900" s="8" t="n"/>
      <c r="S900" s="8">
        <f>IF(B900="","",E900*F900)</f>
        <v/>
      </c>
      <c r="T900" s="8">
        <f>IF(OR(B900="",N(G900)=0),"",ABS(F900-G900)*E900)</f>
        <v/>
      </c>
      <c r="U900" s="8">
        <f>IF(OR(B900="",P900=""),"",IF(D900="Venda",-1,1)*((N(J900)*N(K900)+N(L900)*N(M900)+N(N900)*N(O900))-(N(J900)+N(L900)+N(N900))*F900)-N(Q900))</f>
        <v/>
      </c>
      <c r="V900" s="9">
        <f>IF(OR(B900="",P900=""),"",U900/S900)</f>
        <v/>
      </c>
      <c r="W900">
        <f>IF(OR(B900="",P900=""),"",NETWORKDAYS(C900,P900)-1)</f>
        <v/>
      </c>
      <c r="X900">
        <f>IF(B900="","",IF(P900="","Aberto","Fechado"))</f>
        <v/>
      </c>
    </row>
    <row r="901">
      <c r="C901" s="6" t="n"/>
      <c r="E901" s="7" t="n"/>
      <c r="F901" s="8" t="n"/>
      <c r="G901" s="8" t="n"/>
      <c r="H901" s="8" t="n"/>
      <c r="J901" s="7" t="n"/>
      <c r="K901" s="8" t="n"/>
      <c r="L901" s="7" t="n"/>
      <c r="M901" s="8" t="n"/>
      <c r="N901" s="7" t="n"/>
      <c r="O901" s="8" t="n"/>
      <c r="P901" s="6" t="n"/>
      <c r="Q901" s="8" t="n"/>
      <c r="S901" s="8">
        <f>IF(B901="","",E901*F901)</f>
        <v/>
      </c>
      <c r="T901" s="8">
        <f>IF(OR(B901="",N(G901)=0),"",ABS(F901-G901)*E901)</f>
        <v/>
      </c>
      <c r="U901" s="8">
        <f>IF(OR(B901="",P901=""),"",IF(D901="Venda",-1,1)*((N(J901)*N(K901)+N(L901)*N(M901)+N(N901)*N(O901))-(N(J901)+N(L901)+N(N901))*F901)-N(Q901))</f>
        <v/>
      </c>
      <c r="V901" s="9">
        <f>IF(OR(B901="",P901=""),"",U901/S901)</f>
        <v/>
      </c>
      <c r="W901">
        <f>IF(OR(B901="",P901=""),"",NETWORKDAYS(C901,P901)-1)</f>
        <v/>
      </c>
      <c r="X901">
        <f>IF(B901="","",IF(P901="","Aberto","Fechado"))</f>
        <v/>
      </c>
    </row>
    <row r="902">
      <c r="C902" s="6" t="n"/>
      <c r="E902" s="7" t="n"/>
      <c r="F902" s="8" t="n"/>
      <c r="G902" s="8" t="n"/>
      <c r="H902" s="8" t="n"/>
      <c r="J902" s="7" t="n"/>
      <c r="K902" s="8" t="n"/>
      <c r="L902" s="7" t="n"/>
      <c r="M902" s="8" t="n"/>
      <c r="N902" s="7" t="n"/>
      <c r="O902" s="8" t="n"/>
      <c r="P902" s="6" t="n"/>
      <c r="Q902" s="8" t="n"/>
      <c r="S902" s="8">
        <f>IF(B902="","",E902*F902)</f>
        <v/>
      </c>
      <c r="T902" s="8">
        <f>IF(OR(B902="",N(G902)=0),"",ABS(F902-G902)*E902)</f>
        <v/>
      </c>
      <c r="U902" s="8">
        <f>IF(OR(B902="",P902=""),"",IF(D902="Venda",-1,1)*((N(J902)*N(K902)+N(L902)*N(M902)+N(N902)*N(O902))-(N(J902)+N(L902)+N(N902))*F902)-N(Q902))</f>
        <v/>
      </c>
      <c r="V902" s="9">
        <f>IF(OR(B902="",P902=""),"",U902/S902)</f>
        <v/>
      </c>
      <c r="W902">
        <f>IF(OR(B902="",P902=""),"",NETWORKDAYS(C902,P902)-1)</f>
        <v/>
      </c>
      <c r="X902">
        <f>IF(B902="","",IF(P902="","Aberto","Fechado"))</f>
        <v/>
      </c>
    </row>
    <row r="903">
      <c r="C903" s="6" t="n"/>
      <c r="E903" s="7" t="n"/>
      <c r="F903" s="8" t="n"/>
      <c r="G903" s="8" t="n"/>
      <c r="H903" s="8" t="n"/>
      <c r="J903" s="7" t="n"/>
      <c r="K903" s="8" t="n"/>
      <c r="L903" s="7" t="n"/>
      <c r="M903" s="8" t="n"/>
      <c r="N903" s="7" t="n"/>
      <c r="O903" s="8" t="n"/>
      <c r="P903" s="6" t="n"/>
      <c r="Q903" s="8" t="n"/>
      <c r="S903" s="8">
        <f>IF(B903="","",E903*F903)</f>
        <v/>
      </c>
      <c r="T903" s="8">
        <f>IF(OR(B903="",N(G903)=0),"",ABS(F903-G903)*E903)</f>
        <v/>
      </c>
      <c r="U903" s="8">
        <f>IF(OR(B903="",P903=""),"",IF(D903="Venda",-1,1)*((N(J903)*N(K903)+N(L903)*N(M903)+N(N903)*N(O903))-(N(J903)+N(L903)+N(N903))*F903)-N(Q903))</f>
        <v/>
      </c>
      <c r="V903" s="9">
        <f>IF(OR(B903="",P903=""),"",U903/S903)</f>
        <v/>
      </c>
      <c r="W903">
        <f>IF(OR(B903="",P903=""),"",NETWORKDAYS(C903,P903)-1)</f>
        <v/>
      </c>
      <c r="X903">
        <f>IF(B903="","",IF(P903="","Aberto","Fechado"))</f>
        <v/>
      </c>
    </row>
    <row r="904">
      <c r="C904" s="6" t="n"/>
      <c r="E904" s="7" t="n"/>
      <c r="F904" s="8" t="n"/>
      <c r="G904" s="8" t="n"/>
      <c r="H904" s="8" t="n"/>
      <c r="J904" s="7" t="n"/>
      <c r="K904" s="8" t="n"/>
      <c r="L904" s="7" t="n"/>
      <c r="M904" s="8" t="n"/>
      <c r="N904" s="7" t="n"/>
      <c r="O904" s="8" t="n"/>
      <c r="P904" s="6" t="n"/>
      <c r="Q904" s="8" t="n"/>
      <c r="S904" s="8">
        <f>IF(B904="","",E904*F904)</f>
        <v/>
      </c>
      <c r="T904" s="8">
        <f>IF(OR(B904="",N(G904)=0),"",ABS(F904-G904)*E904)</f>
        <v/>
      </c>
      <c r="U904" s="8">
        <f>IF(OR(B904="",P904=""),"",IF(D904="Venda",-1,1)*((N(J904)*N(K904)+N(L904)*N(M904)+N(N904)*N(O904))-(N(J904)+N(L904)+N(N904))*F904)-N(Q904))</f>
        <v/>
      </c>
      <c r="V904" s="9">
        <f>IF(OR(B904="",P904=""),"",U904/S904)</f>
        <v/>
      </c>
      <c r="W904">
        <f>IF(OR(B904="",P904=""),"",NETWORKDAYS(C904,P904)-1)</f>
        <v/>
      </c>
      <c r="X904">
        <f>IF(B904="","",IF(P904="","Aberto","Fechado"))</f>
        <v/>
      </c>
    </row>
    <row r="905">
      <c r="C905" s="6" t="n"/>
      <c r="E905" s="7" t="n"/>
      <c r="F905" s="8" t="n"/>
      <c r="G905" s="8" t="n"/>
      <c r="H905" s="8" t="n"/>
      <c r="J905" s="7" t="n"/>
      <c r="K905" s="8" t="n"/>
      <c r="L905" s="7" t="n"/>
      <c r="M905" s="8" t="n"/>
      <c r="N905" s="7" t="n"/>
      <c r="O905" s="8" t="n"/>
      <c r="P905" s="6" t="n"/>
      <c r="Q905" s="8" t="n"/>
      <c r="S905" s="8">
        <f>IF(B905="","",E905*F905)</f>
        <v/>
      </c>
      <c r="T905" s="8">
        <f>IF(OR(B905="",N(G905)=0),"",ABS(F905-G905)*E905)</f>
        <v/>
      </c>
      <c r="U905" s="8">
        <f>IF(OR(B905="",P905=""),"",IF(D905="Venda",-1,1)*((N(J905)*N(K905)+N(L905)*N(M905)+N(N905)*N(O905))-(N(J905)+N(L905)+N(N905))*F905)-N(Q905))</f>
        <v/>
      </c>
      <c r="V905" s="9">
        <f>IF(OR(B905="",P905=""),"",U905/S905)</f>
        <v/>
      </c>
      <c r="W905">
        <f>IF(OR(B905="",P905=""),"",NETWORKDAYS(C905,P905)-1)</f>
        <v/>
      </c>
      <c r="X905">
        <f>IF(B905="","",IF(P905="","Aberto","Fechado"))</f>
        <v/>
      </c>
    </row>
    <row r="906">
      <c r="C906" s="6" t="n"/>
      <c r="E906" s="7" t="n"/>
      <c r="F906" s="8" t="n"/>
      <c r="G906" s="8" t="n"/>
      <c r="H906" s="8" t="n"/>
      <c r="J906" s="7" t="n"/>
      <c r="K906" s="8" t="n"/>
      <c r="L906" s="7" t="n"/>
      <c r="M906" s="8" t="n"/>
      <c r="N906" s="7" t="n"/>
      <c r="O906" s="8" t="n"/>
      <c r="P906" s="6" t="n"/>
      <c r="Q906" s="8" t="n"/>
      <c r="S906" s="8">
        <f>IF(B906="","",E906*F906)</f>
        <v/>
      </c>
      <c r="T906" s="8">
        <f>IF(OR(B906="",N(G906)=0),"",ABS(F906-G906)*E906)</f>
        <v/>
      </c>
      <c r="U906" s="8">
        <f>IF(OR(B906="",P906=""),"",IF(D906="Venda",-1,1)*((N(J906)*N(K906)+N(L906)*N(M906)+N(N906)*N(O906))-(N(J906)+N(L906)+N(N906))*F906)-N(Q906))</f>
        <v/>
      </c>
      <c r="V906" s="9">
        <f>IF(OR(B906="",P906=""),"",U906/S906)</f>
        <v/>
      </c>
      <c r="W906">
        <f>IF(OR(B906="",P906=""),"",NETWORKDAYS(C906,P906)-1)</f>
        <v/>
      </c>
      <c r="X906">
        <f>IF(B906="","",IF(P906="","Aberto","Fechado"))</f>
        <v/>
      </c>
    </row>
    <row r="907">
      <c r="C907" s="6" t="n"/>
      <c r="E907" s="7" t="n"/>
      <c r="F907" s="8" t="n"/>
      <c r="G907" s="8" t="n"/>
      <c r="H907" s="8" t="n"/>
      <c r="J907" s="7" t="n"/>
      <c r="K907" s="8" t="n"/>
      <c r="L907" s="7" t="n"/>
      <c r="M907" s="8" t="n"/>
      <c r="N907" s="7" t="n"/>
      <c r="O907" s="8" t="n"/>
      <c r="P907" s="6" t="n"/>
      <c r="Q907" s="8" t="n"/>
      <c r="S907" s="8">
        <f>IF(B907="","",E907*F907)</f>
        <v/>
      </c>
      <c r="T907" s="8">
        <f>IF(OR(B907="",N(G907)=0),"",ABS(F907-G907)*E907)</f>
        <v/>
      </c>
      <c r="U907" s="8">
        <f>IF(OR(B907="",P907=""),"",IF(D907="Venda",-1,1)*((N(J907)*N(K907)+N(L907)*N(M907)+N(N907)*N(O907))-(N(J907)+N(L907)+N(N907))*F907)-N(Q907))</f>
        <v/>
      </c>
      <c r="V907" s="9">
        <f>IF(OR(B907="",P907=""),"",U907/S907)</f>
        <v/>
      </c>
      <c r="W907">
        <f>IF(OR(B907="",P907=""),"",NETWORKDAYS(C907,P907)-1)</f>
        <v/>
      </c>
      <c r="X907">
        <f>IF(B907="","",IF(P907="","Aberto","Fechado"))</f>
        <v/>
      </c>
    </row>
    <row r="908">
      <c r="C908" s="6" t="n"/>
      <c r="E908" s="7" t="n"/>
      <c r="F908" s="8" t="n"/>
      <c r="G908" s="8" t="n"/>
      <c r="H908" s="8" t="n"/>
      <c r="J908" s="7" t="n"/>
      <c r="K908" s="8" t="n"/>
      <c r="L908" s="7" t="n"/>
      <c r="M908" s="8" t="n"/>
      <c r="N908" s="7" t="n"/>
      <c r="O908" s="8" t="n"/>
      <c r="P908" s="6" t="n"/>
      <c r="Q908" s="8" t="n"/>
      <c r="S908" s="8">
        <f>IF(B908="","",E908*F908)</f>
        <v/>
      </c>
      <c r="T908" s="8">
        <f>IF(OR(B908="",N(G908)=0),"",ABS(F908-G908)*E908)</f>
        <v/>
      </c>
      <c r="U908" s="8">
        <f>IF(OR(B908="",P908=""),"",IF(D908="Venda",-1,1)*((N(J908)*N(K908)+N(L908)*N(M908)+N(N908)*N(O908))-(N(J908)+N(L908)+N(N908))*F908)-N(Q908))</f>
        <v/>
      </c>
      <c r="V908" s="9">
        <f>IF(OR(B908="",P908=""),"",U908/S908)</f>
        <v/>
      </c>
      <c r="W908">
        <f>IF(OR(B908="",P908=""),"",NETWORKDAYS(C908,P908)-1)</f>
        <v/>
      </c>
      <c r="X908">
        <f>IF(B908="","",IF(P908="","Aberto","Fechado"))</f>
        <v/>
      </c>
    </row>
    <row r="909">
      <c r="C909" s="6" t="n"/>
      <c r="E909" s="7" t="n"/>
      <c r="F909" s="8" t="n"/>
      <c r="G909" s="8" t="n"/>
      <c r="H909" s="8" t="n"/>
      <c r="J909" s="7" t="n"/>
      <c r="K909" s="8" t="n"/>
      <c r="L909" s="7" t="n"/>
      <c r="M909" s="8" t="n"/>
      <c r="N909" s="7" t="n"/>
      <c r="O909" s="8" t="n"/>
      <c r="P909" s="6" t="n"/>
      <c r="Q909" s="8" t="n"/>
      <c r="S909" s="8">
        <f>IF(B909="","",E909*F909)</f>
        <v/>
      </c>
      <c r="T909" s="8">
        <f>IF(OR(B909="",N(G909)=0),"",ABS(F909-G909)*E909)</f>
        <v/>
      </c>
      <c r="U909" s="8">
        <f>IF(OR(B909="",P909=""),"",IF(D909="Venda",-1,1)*((N(J909)*N(K909)+N(L909)*N(M909)+N(N909)*N(O909))-(N(J909)+N(L909)+N(N909))*F909)-N(Q909))</f>
        <v/>
      </c>
      <c r="V909" s="9">
        <f>IF(OR(B909="",P909=""),"",U909/S909)</f>
        <v/>
      </c>
      <c r="W909">
        <f>IF(OR(B909="",P909=""),"",NETWORKDAYS(C909,P909)-1)</f>
        <v/>
      </c>
      <c r="X909">
        <f>IF(B909="","",IF(P909="","Aberto","Fechado"))</f>
        <v/>
      </c>
    </row>
    <row r="910">
      <c r="C910" s="6" t="n"/>
      <c r="E910" s="7" t="n"/>
      <c r="F910" s="8" t="n"/>
      <c r="G910" s="8" t="n"/>
      <c r="H910" s="8" t="n"/>
      <c r="J910" s="7" t="n"/>
      <c r="K910" s="8" t="n"/>
      <c r="L910" s="7" t="n"/>
      <c r="M910" s="8" t="n"/>
      <c r="N910" s="7" t="n"/>
      <c r="O910" s="8" t="n"/>
      <c r="P910" s="6" t="n"/>
      <c r="Q910" s="8" t="n"/>
      <c r="S910" s="8">
        <f>IF(B910="","",E910*F910)</f>
        <v/>
      </c>
      <c r="T910" s="8">
        <f>IF(OR(B910="",N(G910)=0),"",ABS(F910-G910)*E910)</f>
        <v/>
      </c>
      <c r="U910" s="8">
        <f>IF(OR(B910="",P910=""),"",IF(D910="Venda",-1,1)*((N(J910)*N(K910)+N(L910)*N(M910)+N(N910)*N(O910))-(N(J910)+N(L910)+N(N910))*F910)-N(Q910))</f>
        <v/>
      </c>
      <c r="V910" s="9">
        <f>IF(OR(B910="",P910=""),"",U910/S910)</f>
        <v/>
      </c>
      <c r="W910">
        <f>IF(OR(B910="",P910=""),"",NETWORKDAYS(C910,P910)-1)</f>
        <v/>
      </c>
      <c r="X910">
        <f>IF(B910="","",IF(P910="","Aberto","Fechado"))</f>
        <v/>
      </c>
    </row>
    <row r="911">
      <c r="C911" s="6" t="n"/>
      <c r="E911" s="7" t="n"/>
      <c r="F911" s="8" t="n"/>
      <c r="G911" s="8" t="n"/>
      <c r="H911" s="8" t="n"/>
      <c r="J911" s="7" t="n"/>
      <c r="K911" s="8" t="n"/>
      <c r="L911" s="7" t="n"/>
      <c r="M911" s="8" t="n"/>
      <c r="N911" s="7" t="n"/>
      <c r="O911" s="8" t="n"/>
      <c r="P911" s="6" t="n"/>
      <c r="Q911" s="8" t="n"/>
      <c r="S911" s="8">
        <f>IF(B911="","",E911*F911)</f>
        <v/>
      </c>
      <c r="T911" s="8">
        <f>IF(OR(B911="",N(G911)=0),"",ABS(F911-G911)*E911)</f>
        <v/>
      </c>
      <c r="U911" s="8">
        <f>IF(OR(B911="",P911=""),"",IF(D911="Venda",-1,1)*((N(J911)*N(K911)+N(L911)*N(M911)+N(N911)*N(O911))-(N(J911)+N(L911)+N(N911))*F911)-N(Q911))</f>
        <v/>
      </c>
      <c r="V911" s="9">
        <f>IF(OR(B911="",P911=""),"",U911/S911)</f>
        <v/>
      </c>
      <c r="W911">
        <f>IF(OR(B911="",P911=""),"",NETWORKDAYS(C911,P911)-1)</f>
        <v/>
      </c>
      <c r="X911">
        <f>IF(B911="","",IF(P911="","Aberto","Fechado"))</f>
        <v/>
      </c>
    </row>
    <row r="912">
      <c r="C912" s="6" t="n"/>
      <c r="E912" s="7" t="n"/>
      <c r="F912" s="8" t="n"/>
      <c r="G912" s="8" t="n"/>
      <c r="H912" s="8" t="n"/>
      <c r="J912" s="7" t="n"/>
      <c r="K912" s="8" t="n"/>
      <c r="L912" s="7" t="n"/>
      <c r="M912" s="8" t="n"/>
      <c r="N912" s="7" t="n"/>
      <c r="O912" s="8" t="n"/>
      <c r="P912" s="6" t="n"/>
      <c r="Q912" s="8" t="n"/>
      <c r="S912" s="8">
        <f>IF(B912="","",E912*F912)</f>
        <v/>
      </c>
      <c r="T912" s="8">
        <f>IF(OR(B912="",N(G912)=0),"",ABS(F912-G912)*E912)</f>
        <v/>
      </c>
      <c r="U912" s="8">
        <f>IF(OR(B912="",P912=""),"",IF(D912="Venda",-1,1)*((N(J912)*N(K912)+N(L912)*N(M912)+N(N912)*N(O912))-(N(J912)+N(L912)+N(N912))*F912)-N(Q912))</f>
        <v/>
      </c>
      <c r="V912" s="9">
        <f>IF(OR(B912="",P912=""),"",U912/S912)</f>
        <v/>
      </c>
      <c r="W912">
        <f>IF(OR(B912="",P912=""),"",NETWORKDAYS(C912,P912)-1)</f>
        <v/>
      </c>
      <c r="X912">
        <f>IF(B912="","",IF(P912="","Aberto","Fechado"))</f>
        <v/>
      </c>
    </row>
    <row r="913">
      <c r="C913" s="6" t="n"/>
      <c r="E913" s="7" t="n"/>
      <c r="F913" s="8" t="n"/>
      <c r="G913" s="8" t="n"/>
      <c r="H913" s="8" t="n"/>
      <c r="J913" s="7" t="n"/>
      <c r="K913" s="8" t="n"/>
      <c r="L913" s="7" t="n"/>
      <c r="M913" s="8" t="n"/>
      <c r="N913" s="7" t="n"/>
      <c r="O913" s="8" t="n"/>
      <c r="P913" s="6" t="n"/>
      <c r="Q913" s="8" t="n"/>
      <c r="S913" s="8">
        <f>IF(B913="","",E913*F913)</f>
        <v/>
      </c>
      <c r="T913" s="8">
        <f>IF(OR(B913="",N(G913)=0),"",ABS(F913-G913)*E913)</f>
        <v/>
      </c>
      <c r="U913" s="8">
        <f>IF(OR(B913="",P913=""),"",IF(D913="Venda",-1,1)*((N(J913)*N(K913)+N(L913)*N(M913)+N(N913)*N(O913))-(N(J913)+N(L913)+N(N913))*F913)-N(Q913))</f>
        <v/>
      </c>
      <c r="V913" s="9">
        <f>IF(OR(B913="",P913=""),"",U913/S913)</f>
        <v/>
      </c>
      <c r="W913">
        <f>IF(OR(B913="",P913=""),"",NETWORKDAYS(C913,P913)-1)</f>
        <v/>
      </c>
      <c r="X913">
        <f>IF(B913="","",IF(P913="","Aberto","Fechado"))</f>
        <v/>
      </c>
    </row>
    <row r="914">
      <c r="C914" s="6" t="n"/>
      <c r="E914" s="7" t="n"/>
      <c r="F914" s="8" t="n"/>
      <c r="G914" s="8" t="n"/>
      <c r="H914" s="8" t="n"/>
      <c r="J914" s="7" t="n"/>
      <c r="K914" s="8" t="n"/>
      <c r="L914" s="7" t="n"/>
      <c r="M914" s="8" t="n"/>
      <c r="N914" s="7" t="n"/>
      <c r="O914" s="8" t="n"/>
      <c r="P914" s="6" t="n"/>
      <c r="Q914" s="8" t="n"/>
      <c r="S914" s="8">
        <f>IF(B914="","",E914*F914)</f>
        <v/>
      </c>
      <c r="T914" s="8">
        <f>IF(OR(B914="",N(G914)=0),"",ABS(F914-G914)*E914)</f>
        <v/>
      </c>
      <c r="U914" s="8">
        <f>IF(OR(B914="",P914=""),"",IF(D914="Venda",-1,1)*((N(J914)*N(K914)+N(L914)*N(M914)+N(N914)*N(O914))-(N(J914)+N(L914)+N(N914))*F914)-N(Q914))</f>
        <v/>
      </c>
      <c r="V914" s="9">
        <f>IF(OR(B914="",P914=""),"",U914/S914)</f>
        <v/>
      </c>
      <c r="W914">
        <f>IF(OR(B914="",P914=""),"",NETWORKDAYS(C914,P914)-1)</f>
        <v/>
      </c>
      <c r="X914">
        <f>IF(B914="","",IF(P914="","Aberto","Fechado"))</f>
        <v/>
      </c>
    </row>
    <row r="915">
      <c r="C915" s="6" t="n"/>
      <c r="E915" s="7" t="n"/>
      <c r="F915" s="8" t="n"/>
      <c r="G915" s="8" t="n"/>
      <c r="H915" s="8" t="n"/>
      <c r="J915" s="7" t="n"/>
      <c r="K915" s="8" t="n"/>
      <c r="L915" s="7" t="n"/>
      <c r="M915" s="8" t="n"/>
      <c r="N915" s="7" t="n"/>
      <c r="O915" s="8" t="n"/>
      <c r="P915" s="6" t="n"/>
      <c r="Q915" s="8" t="n"/>
      <c r="S915" s="8">
        <f>IF(B915="","",E915*F915)</f>
        <v/>
      </c>
      <c r="T915" s="8">
        <f>IF(OR(B915="",N(G915)=0),"",ABS(F915-G915)*E915)</f>
        <v/>
      </c>
      <c r="U915" s="8">
        <f>IF(OR(B915="",P915=""),"",IF(D915="Venda",-1,1)*((N(J915)*N(K915)+N(L915)*N(M915)+N(N915)*N(O915))-(N(J915)+N(L915)+N(N915))*F915)-N(Q915))</f>
        <v/>
      </c>
      <c r="V915" s="9">
        <f>IF(OR(B915="",P915=""),"",U915/S915)</f>
        <v/>
      </c>
      <c r="W915">
        <f>IF(OR(B915="",P915=""),"",NETWORKDAYS(C915,P915)-1)</f>
        <v/>
      </c>
      <c r="X915">
        <f>IF(B915="","",IF(P915="","Aberto","Fechado"))</f>
        <v/>
      </c>
    </row>
    <row r="916">
      <c r="C916" s="6" t="n"/>
      <c r="E916" s="7" t="n"/>
      <c r="F916" s="8" t="n"/>
      <c r="G916" s="8" t="n"/>
      <c r="H916" s="8" t="n"/>
      <c r="J916" s="7" t="n"/>
      <c r="K916" s="8" t="n"/>
      <c r="L916" s="7" t="n"/>
      <c r="M916" s="8" t="n"/>
      <c r="N916" s="7" t="n"/>
      <c r="O916" s="8" t="n"/>
      <c r="P916" s="6" t="n"/>
      <c r="Q916" s="8" t="n"/>
      <c r="S916" s="8">
        <f>IF(B916="","",E916*F916)</f>
        <v/>
      </c>
      <c r="T916" s="8">
        <f>IF(OR(B916="",N(G916)=0),"",ABS(F916-G916)*E916)</f>
        <v/>
      </c>
      <c r="U916" s="8">
        <f>IF(OR(B916="",P916=""),"",IF(D916="Venda",-1,1)*((N(J916)*N(K916)+N(L916)*N(M916)+N(N916)*N(O916))-(N(J916)+N(L916)+N(N916))*F916)-N(Q916))</f>
        <v/>
      </c>
      <c r="V916" s="9">
        <f>IF(OR(B916="",P916=""),"",U916/S916)</f>
        <v/>
      </c>
      <c r="W916">
        <f>IF(OR(B916="",P916=""),"",NETWORKDAYS(C916,P916)-1)</f>
        <v/>
      </c>
      <c r="X916">
        <f>IF(B916="","",IF(P916="","Aberto","Fechado"))</f>
        <v/>
      </c>
    </row>
    <row r="917">
      <c r="C917" s="6" t="n"/>
      <c r="E917" s="7" t="n"/>
      <c r="F917" s="8" t="n"/>
      <c r="G917" s="8" t="n"/>
      <c r="H917" s="8" t="n"/>
      <c r="J917" s="7" t="n"/>
      <c r="K917" s="8" t="n"/>
      <c r="L917" s="7" t="n"/>
      <c r="M917" s="8" t="n"/>
      <c r="N917" s="7" t="n"/>
      <c r="O917" s="8" t="n"/>
      <c r="P917" s="6" t="n"/>
      <c r="Q917" s="8" t="n"/>
      <c r="S917" s="8">
        <f>IF(B917="","",E917*F917)</f>
        <v/>
      </c>
      <c r="T917" s="8">
        <f>IF(OR(B917="",N(G917)=0),"",ABS(F917-G917)*E917)</f>
        <v/>
      </c>
      <c r="U917" s="8">
        <f>IF(OR(B917="",P917=""),"",IF(D917="Venda",-1,1)*((N(J917)*N(K917)+N(L917)*N(M917)+N(N917)*N(O917))-(N(J917)+N(L917)+N(N917))*F917)-N(Q917))</f>
        <v/>
      </c>
      <c r="V917" s="9">
        <f>IF(OR(B917="",P917=""),"",U917/S917)</f>
        <v/>
      </c>
      <c r="W917">
        <f>IF(OR(B917="",P917=""),"",NETWORKDAYS(C917,P917)-1)</f>
        <v/>
      </c>
      <c r="X917">
        <f>IF(B917="","",IF(P917="","Aberto","Fechado"))</f>
        <v/>
      </c>
    </row>
    <row r="918">
      <c r="C918" s="6" t="n"/>
      <c r="E918" s="7" t="n"/>
      <c r="F918" s="8" t="n"/>
      <c r="G918" s="8" t="n"/>
      <c r="H918" s="8" t="n"/>
      <c r="J918" s="7" t="n"/>
      <c r="K918" s="8" t="n"/>
      <c r="L918" s="7" t="n"/>
      <c r="M918" s="8" t="n"/>
      <c r="N918" s="7" t="n"/>
      <c r="O918" s="8" t="n"/>
      <c r="P918" s="6" t="n"/>
      <c r="Q918" s="8" t="n"/>
      <c r="S918" s="8">
        <f>IF(B918="","",E918*F918)</f>
        <v/>
      </c>
      <c r="T918" s="8">
        <f>IF(OR(B918="",N(G918)=0),"",ABS(F918-G918)*E918)</f>
        <v/>
      </c>
      <c r="U918" s="8">
        <f>IF(OR(B918="",P918=""),"",IF(D918="Venda",-1,1)*((N(J918)*N(K918)+N(L918)*N(M918)+N(N918)*N(O918))-(N(J918)+N(L918)+N(N918))*F918)-N(Q918))</f>
        <v/>
      </c>
      <c r="V918" s="9">
        <f>IF(OR(B918="",P918=""),"",U918/S918)</f>
        <v/>
      </c>
      <c r="W918">
        <f>IF(OR(B918="",P918=""),"",NETWORKDAYS(C918,P918)-1)</f>
        <v/>
      </c>
      <c r="X918">
        <f>IF(B918="","",IF(P918="","Aberto","Fechado"))</f>
        <v/>
      </c>
    </row>
    <row r="919">
      <c r="C919" s="6" t="n"/>
      <c r="E919" s="7" t="n"/>
      <c r="F919" s="8" t="n"/>
      <c r="G919" s="8" t="n"/>
      <c r="H919" s="8" t="n"/>
      <c r="J919" s="7" t="n"/>
      <c r="K919" s="8" t="n"/>
      <c r="L919" s="7" t="n"/>
      <c r="M919" s="8" t="n"/>
      <c r="N919" s="7" t="n"/>
      <c r="O919" s="8" t="n"/>
      <c r="P919" s="6" t="n"/>
      <c r="Q919" s="8" t="n"/>
      <c r="S919" s="8">
        <f>IF(B919="","",E919*F919)</f>
        <v/>
      </c>
      <c r="T919" s="8">
        <f>IF(OR(B919="",N(G919)=0),"",ABS(F919-G919)*E919)</f>
        <v/>
      </c>
      <c r="U919" s="8">
        <f>IF(OR(B919="",P919=""),"",IF(D919="Venda",-1,1)*((N(J919)*N(K919)+N(L919)*N(M919)+N(N919)*N(O919))-(N(J919)+N(L919)+N(N919))*F919)-N(Q919))</f>
        <v/>
      </c>
      <c r="V919" s="9">
        <f>IF(OR(B919="",P919=""),"",U919/S919)</f>
        <v/>
      </c>
      <c r="W919">
        <f>IF(OR(B919="",P919=""),"",NETWORKDAYS(C919,P919)-1)</f>
        <v/>
      </c>
      <c r="X919">
        <f>IF(B919="","",IF(P919="","Aberto","Fechado"))</f>
        <v/>
      </c>
    </row>
    <row r="920">
      <c r="C920" s="6" t="n"/>
      <c r="E920" s="7" t="n"/>
      <c r="F920" s="8" t="n"/>
      <c r="G920" s="8" t="n"/>
      <c r="H920" s="8" t="n"/>
      <c r="J920" s="7" t="n"/>
      <c r="K920" s="8" t="n"/>
      <c r="L920" s="7" t="n"/>
      <c r="M920" s="8" t="n"/>
      <c r="N920" s="7" t="n"/>
      <c r="O920" s="8" t="n"/>
      <c r="P920" s="6" t="n"/>
      <c r="Q920" s="8" t="n"/>
      <c r="S920" s="8">
        <f>IF(B920="","",E920*F920)</f>
        <v/>
      </c>
      <c r="T920" s="8">
        <f>IF(OR(B920="",N(G920)=0),"",ABS(F920-G920)*E920)</f>
        <v/>
      </c>
      <c r="U920" s="8">
        <f>IF(OR(B920="",P920=""),"",IF(D920="Venda",-1,1)*((N(J920)*N(K920)+N(L920)*N(M920)+N(N920)*N(O920))-(N(J920)+N(L920)+N(N920))*F920)-N(Q920))</f>
        <v/>
      </c>
      <c r="V920" s="9">
        <f>IF(OR(B920="",P920=""),"",U920/S920)</f>
        <v/>
      </c>
      <c r="W920">
        <f>IF(OR(B920="",P920=""),"",NETWORKDAYS(C920,P920)-1)</f>
        <v/>
      </c>
      <c r="X920">
        <f>IF(B920="","",IF(P920="","Aberto","Fechado"))</f>
        <v/>
      </c>
    </row>
    <row r="921">
      <c r="C921" s="6" t="n"/>
      <c r="E921" s="7" t="n"/>
      <c r="F921" s="8" t="n"/>
      <c r="G921" s="8" t="n"/>
      <c r="H921" s="8" t="n"/>
      <c r="J921" s="7" t="n"/>
      <c r="K921" s="8" t="n"/>
      <c r="L921" s="7" t="n"/>
      <c r="M921" s="8" t="n"/>
      <c r="N921" s="7" t="n"/>
      <c r="O921" s="8" t="n"/>
      <c r="P921" s="6" t="n"/>
      <c r="Q921" s="8" t="n"/>
      <c r="S921" s="8">
        <f>IF(B921="","",E921*F921)</f>
        <v/>
      </c>
      <c r="T921" s="8">
        <f>IF(OR(B921="",N(G921)=0),"",ABS(F921-G921)*E921)</f>
        <v/>
      </c>
      <c r="U921" s="8">
        <f>IF(OR(B921="",P921=""),"",IF(D921="Venda",-1,1)*((N(J921)*N(K921)+N(L921)*N(M921)+N(N921)*N(O921))-(N(J921)+N(L921)+N(N921))*F921)-N(Q921))</f>
        <v/>
      </c>
      <c r="V921" s="9">
        <f>IF(OR(B921="",P921=""),"",U921/S921)</f>
        <v/>
      </c>
      <c r="W921">
        <f>IF(OR(B921="",P921=""),"",NETWORKDAYS(C921,P921)-1)</f>
        <v/>
      </c>
      <c r="X921">
        <f>IF(B921="","",IF(P921="","Aberto","Fechado"))</f>
        <v/>
      </c>
    </row>
    <row r="922">
      <c r="C922" s="6" t="n"/>
      <c r="E922" s="7" t="n"/>
      <c r="F922" s="8" t="n"/>
      <c r="G922" s="8" t="n"/>
      <c r="H922" s="8" t="n"/>
      <c r="J922" s="7" t="n"/>
      <c r="K922" s="8" t="n"/>
      <c r="L922" s="7" t="n"/>
      <c r="M922" s="8" t="n"/>
      <c r="N922" s="7" t="n"/>
      <c r="O922" s="8" t="n"/>
      <c r="P922" s="6" t="n"/>
      <c r="Q922" s="8" t="n"/>
      <c r="S922" s="8">
        <f>IF(B922="","",E922*F922)</f>
        <v/>
      </c>
      <c r="T922" s="8">
        <f>IF(OR(B922="",N(G922)=0),"",ABS(F922-G922)*E922)</f>
        <v/>
      </c>
      <c r="U922" s="8">
        <f>IF(OR(B922="",P922=""),"",IF(D922="Venda",-1,1)*((N(J922)*N(K922)+N(L922)*N(M922)+N(N922)*N(O922))-(N(J922)+N(L922)+N(N922))*F922)-N(Q922))</f>
        <v/>
      </c>
      <c r="V922" s="9">
        <f>IF(OR(B922="",P922=""),"",U922/S922)</f>
        <v/>
      </c>
      <c r="W922">
        <f>IF(OR(B922="",P922=""),"",NETWORKDAYS(C922,P922)-1)</f>
        <v/>
      </c>
      <c r="X922">
        <f>IF(B922="","",IF(P922="","Aberto","Fechado"))</f>
        <v/>
      </c>
    </row>
    <row r="923">
      <c r="C923" s="6" t="n"/>
      <c r="E923" s="7" t="n"/>
      <c r="F923" s="8" t="n"/>
      <c r="G923" s="8" t="n"/>
      <c r="H923" s="8" t="n"/>
      <c r="J923" s="7" t="n"/>
      <c r="K923" s="8" t="n"/>
      <c r="L923" s="7" t="n"/>
      <c r="M923" s="8" t="n"/>
      <c r="N923" s="7" t="n"/>
      <c r="O923" s="8" t="n"/>
      <c r="P923" s="6" t="n"/>
      <c r="Q923" s="8" t="n"/>
      <c r="S923" s="8">
        <f>IF(B923="","",E923*F923)</f>
        <v/>
      </c>
      <c r="T923" s="8">
        <f>IF(OR(B923="",N(G923)=0),"",ABS(F923-G923)*E923)</f>
        <v/>
      </c>
      <c r="U923" s="8">
        <f>IF(OR(B923="",P923=""),"",IF(D923="Venda",-1,1)*((N(J923)*N(K923)+N(L923)*N(M923)+N(N923)*N(O923))-(N(J923)+N(L923)+N(N923))*F923)-N(Q923))</f>
        <v/>
      </c>
      <c r="V923" s="9">
        <f>IF(OR(B923="",P923=""),"",U923/S923)</f>
        <v/>
      </c>
      <c r="W923">
        <f>IF(OR(B923="",P923=""),"",NETWORKDAYS(C923,P923)-1)</f>
        <v/>
      </c>
      <c r="X923">
        <f>IF(B923="","",IF(P923="","Aberto","Fechado"))</f>
        <v/>
      </c>
    </row>
    <row r="924">
      <c r="C924" s="6" t="n"/>
      <c r="E924" s="7" t="n"/>
      <c r="F924" s="8" t="n"/>
      <c r="G924" s="8" t="n"/>
      <c r="H924" s="8" t="n"/>
      <c r="J924" s="7" t="n"/>
      <c r="K924" s="8" t="n"/>
      <c r="L924" s="7" t="n"/>
      <c r="M924" s="8" t="n"/>
      <c r="N924" s="7" t="n"/>
      <c r="O924" s="8" t="n"/>
      <c r="P924" s="6" t="n"/>
      <c r="Q924" s="8" t="n"/>
      <c r="S924" s="8">
        <f>IF(B924="","",E924*F924)</f>
        <v/>
      </c>
      <c r="T924" s="8">
        <f>IF(OR(B924="",N(G924)=0),"",ABS(F924-G924)*E924)</f>
        <v/>
      </c>
      <c r="U924" s="8">
        <f>IF(OR(B924="",P924=""),"",IF(D924="Venda",-1,1)*((N(J924)*N(K924)+N(L924)*N(M924)+N(N924)*N(O924))-(N(J924)+N(L924)+N(N924))*F924)-N(Q924))</f>
        <v/>
      </c>
      <c r="V924" s="9">
        <f>IF(OR(B924="",P924=""),"",U924/S924)</f>
        <v/>
      </c>
      <c r="W924">
        <f>IF(OR(B924="",P924=""),"",NETWORKDAYS(C924,P924)-1)</f>
        <v/>
      </c>
      <c r="X924">
        <f>IF(B924="","",IF(P924="","Aberto","Fechado"))</f>
        <v/>
      </c>
    </row>
    <row r="925">
      <c r="C925" s="6" t="n"/>
      <c r="E925" s="7" t="n"/>
      <c r="F925" s="8" t="n"/>
      <c r="G925" s="8" t="n"/>
      <c r="H925" s="8" t="n"/>
      <c r="J925" s="7" t="n"/>
      <c r="K925" s="8" t="n"/>
      <c r="L925" s="7" t="n"/>
      <c r="M925" s="8" t="n"/>
      <c r="N925" s="7" t="n"/>
      <c r="O925" s="8" t="n"/>
      <c r="P925" s="6" t="n"/>
      <c r="Q925" s="8" t="n"/>
      <c r="S925" s="8">
        <f>IF(B925="","",E925*F925)</f>
        <v/>
      </c>
      <c r="T925" s="8">
        <f>IF(OR(B925="",N(G925)=0),"",ABS(F925-G925)*E925)</f>
        <v/>
      </c>
      <c r="U925" s="8">
        <f>IF(OR(B925="",P925=""),"",IF(D925="Venda",-1,1)*((N(J925)*N(K925)+N(L925)*N(M925)+N(N925)*N(O925))-(N(J925)+N(L925)+N(N925))*F925)-N(Q925))</f>
        <v/>
      </c>
      <c r="V925" s="9">
        <f>IF(OR(B925="",P925=""),"",U925/S925)</f>
        <v/>
      </c>
      <c r="W925">
        <f>IF(OR(B925="",P925=""),"",NETWORKDAYS(C925,P925)-1)</f>
        <v/>
      </c>
      <c r="X925">
        <f>IF(B925="","",IF(P925="","Aberto","Fechado"))</f>
        <v/>
      </c>
    </row>
    <row r="926">
      <c r="C926" s="6" t="n"/>
      <c r="E926" s="7" t="n"/>
      <c r="F926" s="8" t="n"/>
      <c r="G926" s="8" t="n"/>
      <c r="H926" s="8" t="n"/>
      <c r="J926" s="7" t="n"/>
      <c r="K926" s="8" t="n"/>
      <c r="L926" s="7" t="n"/>
      <c r="M926" s="8" t="n"/>
      <c r="N926" s="7" t="n"/>
      <c r="O926" s="8" t="n"/>
      <c r="P926" s="6" t="n"/>
      <c r="Q926" s="8" t="n"/>
      <c r="S926" s="8">
        <f>IF(B926="","",E926*F926)</f>
        <v/>
      </c>
      <c r="T926" s="8">
        <f>IF(OR(B926="",N(G926)=0),"",ABS(F926-G926)*E926)</f>
        <v/>
      </c>
      <c r="U926" s="8">
        <f>IF(OR(B926="",P926=""),"",IF(D926="Venda",-1,1)*((N(J926)*N(K926)+N(L926)*N(M926)+N(N926)*N(O926))-(N(J926)+N(L926)+N(N926))*F926)-N(Q926))</f>
        <v/>
      </c>
      <c r="V926" s="9">
        <f>IF(OR(B926="",P926=""),"",U926/S926)</f>
        <v/>
      </c>
      <c r="W926">
        <f>IF(OR(B926="",P926=""),"",NETWORKDAYS(C926,P926)-1)</f>
        <v/>
      </c>
      <c r="X926">
        <f>IF(B926="","",IF(P926="","Aberto","Fechado"))</f>
        <v/>
      </c>
    </row>
    <row r="927">
      <c r="C927" s="6" t="n"/>
      <c r="E927" s="7" t="n"/>
      <c r="F927" s="8" t="n"/>
      <c r="G927" s="8" t="n"/>
      <c r="H927" s="8" t="n"/>
      <c r="J927" s="7" t="n"/>
      <c r="K927" s="8" t="n"/>
      <c r="L927" s="7" t="n"/>
      <c r="M927" s="8" t="n"/>
      <c r="N927" s="7" t="n"/>
      <c r="O927" s="8" t="n"/>
      <c r="P927" s="6" t="n"/>
      <c r="Q927" s="8" t="n"/>
      <c r="S927" s="8">
        <f>IF(B927="","",E927*F927)</f>
        <v/>
      </c>
      <c r="T927" s="8">
        <f>IF(OR(B927="",N(G927)=0),"",ABS(F927-G927)*E927)</f>
        <v/>
      </c>
      <c r="U927" s="8">
        <f>IF(OR(B927="",P927=""),"",IF(D927="Venda",-1,1)*((N(J927)*N(K927)+N(L927)*N(M927)+N(N927)*N(O927))-(N(J927)+N(L927)+N(N927))*F927)-N(Q927))</f>
        <v/>
      </c>
      <c r="V927" s="9">
        <f>IF(OR(B927="",P927=""),"",U927/S927)</f>
        <v/>
      </c>
      <c r="W927">
        <f>IF(OR(B927="",P927=""),"",NETWORKDAYS(C927,P927)-1)</f>
        <v/>
      </c>
      <c r="X927">
        <f>IF(B927="","",IF(P927="","Aberto","Fechado"))</f>
        <v/>
      </c>
    </row>
    <row r="928">
      <c r="C928" s="6" t="n"/>
      <c r="E928" s="7" t="n"/>
      <c r="F928" s="8" t="n"/>
      <c r="G928" s="8" t="n"/>
      <c r="H928" s="8" t="n"/>
      <c r="J928" s="7" t="n"/>
      <c r="K928" s="8" t="n"/>
      <c r="L928" s="7" t="n"/>
      <c r="M928" s="8" t="n"/>
      <c r="N928" s="7" t="n"/>
      <c r="O928" s="8" t="n"/>
      <c r="P928" s="6" t="n"/>
      <c r="Q928" s="8" t="n"/>
      <c r="S928" s="8">
        <f>IF(B928="","",E928*F928)</f>
        <v/>
      </c>
      <c r="T928" s="8">
        <f>IF(OR(B928="",N(G928)=0),"",ABS(F928-G928)*E928)</f>
        <v/>
      </c>
      <c r="U928" s="8">
        <f>IF(OR(B928="",P928=""),"",IF(D928="Venda",-1,1)*((N(J928)*N(K928)+N(L928)*N(M928)+N(N928)*N(O928))-(N(J928)+N(L928)+N(N928))*F928)-N(Q928))</f>
        <v/>
      </c>
      <c r="V928" s="9">
        <f>IF(OR(B928="",P928=""),"",U928/S928)</f>
        <v/>
      </c>
      <c r="W928">
        <f>IF(OR(B928="",P928=""),"",NETWORKDAYS(C928,P928)-1)</f>
        <v/>
      </c>
      <c r="X928">
        <f>IF(B928="","",IF(P928="","Aberto","Fechado"))</f>
        <v/>
      </c>
    </row>
    <row r="929">
      <c r="C929" s="6" t="n"/>
      <c r="E929" s="7" t="n"/>
      <c r="F929" s="8" t="n"/>
      <c r="G929" s="8" t="n"/>
      <c r="H929" s="8" t="n"/>
      <c r="J929" s="7" t="n"/>
      <c r="K929" s="8" t="n"/>
      <c r="L929" s="7" t="n"/>
      <c r="M929" s="8" t="n"/>
      <c r="N929" s="7" t="n"/>
      <c r="O929" s="8" t="n"/>
      <c r="P929" s="6" t="n"/>
      <c r="Q929" s="8" t="n"/>
      <c r="S929" s="8">
        <f>IF(B929="","",E929*F929)</f>
        <v/>
      </c>
      <c r="T929" s="8">
        <f>IF(OR(B929="",N(G929)=0),"",ABS(F929-G929)*E929)</f>
        <v/>
      </c>
      <c r="U929" s="8">
        <f>IF(OR(B929="",P929=""),"",IF(D929="Venda",-1,1)*((N(J929)*N(K929)+N(L929)*N(M929)+N(N929)*N(O929))-(N(J929)+N(L929)+N(N929))*F929)-N(Q929))</f>
        <v/>
      </c>
      <c r="V929" s="9">
        <f>IF(OR(B929="",P929=""),"",U929/S929)</f>
        <v/>
      </c>
      <c r="W929">
        <f>IF(OR(B929="",P929=""),"",NETWORKDAYS(C929,P929)-1)</f>
        <v/>
      </c>
      <c r="X929">
        <f>IF(B929="","",IF(P929="","Aberto","Fechado"))</f>
        <v/>
      </c>
    </row>
    <row r="930">
      <c r="C930" s="6" t="n"/>
      <c r="E930" s="7" t="n"/>
      <c r="F930" s="8" t="n"/>
      <c r="G930" s="8" t="n"/>
      <c r="H930" s="8" t="n"/>
      <c r="J930" s="7" t="n"/>
      <c r="K930" s="8" t="n"/>
      <c r="L930" s="7" t="n"/>
      <c r="M930" s="8" t="n"/>
      <c r="N930" s="7" t="n"/>
      <c r="O930" s="8" t="n"/>
      <c r="P930" s="6" t="n"/>
      <c r="Q930" s="8" t="n"/>
      <c r="S930" s="8">
        <f>IF(B930="","",E930*F930)</f>
        <v/>
      </c>
      <c r="T930" s="8">
        <f>IF(OR(B930="",N(G930)=0),"",ABS(F930-G930)*E930)</f>
        <v/>
      </c>
      <c r="U930" s="8">
        <f>IF(OR(B930="",P930=""),"",IF(D930="Venda",-1,1)*((N(J930)*N(K930)+N(L930)*N(M930)+N(N930)*N(O930))-(N(J930)+N(L930)+N(N930))*F930)-N(Q930))</f>
        <v/>
      </c>
      <c r="V930" s="9">
        <f>IF(OR(B930="",P930=""),"",U930/S930)</f>
        <v/>
      </c>
      <c r="W930">
        <f>IF(OR(B930="",P930=""),"",NETWORKDAYS(C930,P930)-1)</f>
        <v/>
      </c>
      <c r="X930">
        <f>IF(B930="","",IF(P930="","Aberto","Fechado"))</f>
        <v/>
      </c>
    </row>
    <row r="931">
      <c r="C931" s="6" t="n"/>
      <c r="E931" s="7" t="n"/>
      <c r="F931" s="8" t="n"/>
      <c r="G931" s="8" t="n"/>
      <c r="H931" s="8" t="n"/>
      <c r="J931" s="7" t="n"/>
      <c r="K931" s="8" t="n"/>
      <c r="L931" s="7" t="n"/>
      <c r="M931" s="8" t="n"/>
      <c r="N931" s="7" t="n"/>
      <c r="O931" s="8" t="n"/>
      <c r="P931" s="6" t="n"/>
      <c r="Q931" s="8" t="n"/>
      <c r="S931" s="8">
        <f>IF(B931="","",E931*F931)</f>
        <v/>
      </c>
      <c r="T931" s="8">
        <f>IF(OR(B931="",N(G931)=0),"",ABS(F931-G931)*E931)</f>
        <v/>
      </c>
      <c r="U931" s="8">
        <f>IF(OR(B931="",P931=""),"",IF(D931="Venda",-1,1)*((N(J931)*N(K931)+N(L931)*N(M931)+N(N931)*N(O931))-(N(J931)+N(L931)+N(N931))*F931)-N(Q931))</f>
        <v/>
      </c>
      <c r="V931" s="9">
        <f>IF(OR(B931="",P931=""),"",U931/S931)</f>
        <v/>
      </c>
      <c r="W931">
        <f>IF(OR(B931="",P931=""),"",NETWORKDAYS(C931,P931)-1)</f>
        <v/>
      </c>
      <c r="X931">
        <f>IF(B931="","",IF(P931="","Aberto","Fechado"))</f>
        <v/>
      </c>
    </row>
    <row r="932">
      <c r="C932" s="6" t="n"/>
      <c r="E932" s="7" t="n"/>
      <c r="F932" s="8" t="n"/>
      <c r="G932" s="8" t="n"/>
      <c r="H932" s="8" t="n"/>
      <c r="J932" s="7" t="n"/>
      <c r="K932" s="8" t="n"/>
      <c r="L932" s="7" t="n"/>
      <c r="M932" s="8" t="n"/>
      <c r="N932" s="7" t="n"/>
      <c r="O932" s="8" t="n"/>
      <c r="P932" s="6" t="n"/>
      <c r="Q932" s="8" t="n"/>
      <c r="S932" s="8">
        <f>IF(B932="","",E932*F932)</f>
        <v/>
      </c>
      <c r="T932" s="8">
        <f>IF(OR(B932="",N(G932)=0),"",ABS(F932-G932)*E932)</f>
        <v/>
      </c>
      <c r="U932" s="8">
        <f>IF(OR(B932="",P932=""),"",IF(D932="Venda",-1,1)*((N(J932)*N(K932)+N(L932)*N(M932)+N(N932)*N(O932))-(N(J932)+N(L932)+N(N932))*F932)-N(Q932))</f>
        <v/>
      </c>
      <c r="V932" s="9">
        <f>IF(OR(B932="",P932=""),"",U932/S932)</f>
        <v/>
      </c>
      <c r="W932">
        <f>IF(OR(B932="",P932=""),"",NETWORKDAYS(C932,P932)-1)</f>
        <v/>
      </c>
      <c r="X932">
        <f>IF(B932="","",IF(P932="","Aberto","Fechado"))</f>
        <v/>
      </c>
    </row>
    <row r="933">
      <c r="C933" s="6" t="n"/>
      <c r="E933" s="7" t="n"/>
      <c r="F933" s="8" t="n"/>
      <c r="G933" s="8" t="n"/>
      <c r="H933" s="8" t="n"/>
      <c r="J933" s="7" t="n"/>
      <c r="K933" s="8" t="n"/>
      <c r="L933" s="7" t="n"/>
      <c r="M933" s="8" t="n"/>
      <c r="N933" s="7" t="n"/>
      <c r="O933" s="8" t="n"/>
      <c r="P933" s="6" t="n"/>
      <c r="Q933" s="8" t="n"/>
      <c r="S933" s="8">
        <f>IF(B933="","",E933*F933)</f>
        <v/>
      </c>
      <c r="T933" s="8">
        <f>IF(OR(B933="",N(G933)=0),"",ABS(F933-G933)*E933)</f>
        <v/>
      </c>
      <c r="U933" s="8">
        <f>IF(OR(B933="",P933=""),"",IF(D933="Venda",-1,1)*((N(J933)*N(K933)+N(L933)*N(M933)+N(N933)*N(O933))-(N(J933)+N(L933)+N(N933))*F933)-N(Q933))</f>
        <v/>
      </c>
      <c r="V933" s="9">
        <f>IF(OR(B933="",P933=""),"",U933/S933)</f>
        <v/>
      </c>
      <c r="W933">
        <f>IF(OR(B933="",P933=""),"",NETWORKDAYS(C933,P933)-1)</f>
        <v/>
      </c>
      <c r="X933">
        <f>IF(B933="","",IF(P933="","Aberto","Fechado"))</f>
        <v/>
      </c>
    </row>
    <row r="934">
      <c r="C934" s="6" t="n"/>
      <c r="E934" s="7" t="n"/>
      <c r="F934" s="8" t="n"/>
      <c r="G934" s="8" t="n"/>
      <c r="H934" s="8" t="n"/>
      <c r="J934" s="7" t="n"/>
      <c r="K934" s="8" t="n"/>
      <c r="L934" s="7" t="n"/>
      <c r="M934" s="8" t="n"/>
      <c r="N934" s="7" t="n"/>
      <c r="O934" s="8" t="n"/>
      <c r="P934" s="6" t="n"/>
      <c r="Q934" s="8" t="n"/>
      <c r="S934" s="8">
        <f>IF(B934="","",E934*F934)</f>
        <v/>
      </c>
      <c r="T934" s="8">
        <f>IF(OR(B934="",N(G934)=0),"",ABS(F934-G934)*E934)</f>
        <v/>
      </c>
      <c r="U934" s="8">
        <f>IF(OR(B934="",P934=""),"",IF(D934="Venda",-1,1)*((N(J934)*N(K934)+N(L934)*N(M934)+N(N934)*N(O934))-(N(J934)+N(L934)+N(N934))*F934)-N(Q934))</f>
        <v/>
      </c>
      <c r="V934" s="9">
        <f>IF(OR(B934="",P934=""),"",U934/S934)</f>
        <v/>
      </c>
      <c r="W934">
        <f>IF(OR(B934="",P934=""),"",NETWORKDAYS(C934,P934)-1)</f>
        <v/>
      </c>
      <c r="X934">
        <f>IF(B934="","",IF(P934="","Aberto","Fechado"))</f>
        <v/>
      </c>
    </row>
    <row r="935">
      <c r="C935" s="6" t="n"/>
      <c r="E935" s="7" t="n"/>
      <c r="F935" s="8" t="n"/>
      <c r="G935" s="8" t="n"/>
      <c r="H935" s="8" t="n"/>
      <c r="J935" s="7" t="n"/>
      <c r="K935" s="8" t="n"/>
      <c r="L935" s="7" t="n"/>
      <c r="M935" s="8" t="n"/>
      <c r="N935" s="7" t="n"/>
      <c r="O935" s="8" t="n"/>
      <c r="P935" s="6" t="n"/>
      <c r="Q935" s="8" t="n"/>
      <c r="S935" s="8">
        <f>IF(B935="","",E935*F935)</f>
        <v/>
      </c>
      <c r="T935" s="8">
        <f>IF(OR(B935="",N(G935)=0),"",ABS(F935-G935)*E935)</f>
        <v/>
      </c>
      <c r="U935" s="8">
        <f>IF(OR(B935="",P935=""),"",IF(D935="Venda",-1,1)*((N(J935)*N(K935)+N(L935)*N(M935)+N(N935)*N(O935))-(N(J935)+N(L935)+N(N935))*F935)-N(Q935))</f>
        <v/>
      </c>
      <c r="V935" s="9">
        <f>IF(OR(B935="",P935=""),"",U935/S935)</f>
        <v/>
      </c>
      <c r="W935">
        <f>IF(OR(B935="",P935=""),"",NETWORKDAYS(C935,P935)-1)</f>
        <v/>
      </c>
      <c r="X935">
        <f>IF(B935="","",IF(P935="","Aberto","Fechado"))</f>
        <v/>
      </c>
    </row>
    <row r="936">
      <c r="C936" s="6" t="n"/>
      <c r="E936" s="7" t="n"/>
      <c r="F936" s="8" t="n"/>
      <c r="G936" s="8" t="n"/>
      <c r="H936" s="8" t="n"/>
      <c r="J936" s="7" t="n"/>
      <c r="K936" s="8" t="n"/>
      <c r="L936" s="7" t="n"/>
      <c r="M936" s="8" t="n"/>
      <c r="N936" s="7" t="n"/>
      <c r="O936" s="8" t="n"/>
      <c r="P936" s="6" t="n"/>
      <c r="Q936" s="8" t="n"/>
      <c r="S936" s="8">
        <f>IF(B936="","",E936*F936)</f>
        <v/>
      </c>
      <c r="T936" s="8">
        <f>IF(OR(B936="",N(G936)=0),"",ABS(F936-G936)*E936)</f>
        <v/>
      </c>
      <c r="U936" s="8">
        <f>IF(OR(B936="",P936=""),"",IF(D936="Venda",-1,1)*((N(J936)*N(K936)+N(L936)*N(M936)+N(N936)*N(O936))-(N(J936)+N(L936)+N(N936))*F936)-N(Q936))</f>
        <v/>
      </c>
      <c r="V936" s="9">
        <f>IF(OR(B936="",P936=""),"",U936/S936)</f>
        <v/>
      </c>
      <c r="W936">
        <f>IF(OR(B936="",P936=""),"",NETWORKDAYS(C936,P936)-1)</f>
        <v/>
      </c>
      <c r="X936">
        <f>IF(B936="","",IF(P936="","Aberto","Fechado"))</f>
        <v/>
      </c>
    </row>
    <row r="937">
      <c r="C937" s="6" t="n"/>
      <c r="E937" s="7" t="n"/>
      <c r="F937" s="8" t="n"/>
      <c r="G937" s="8" t="n"/>
      <c r="H937" s="8" t="n"/>
      <c r="J937" s="7" t="n"/>
      <c r="K937" s="8" t="n"/>
      <c r="L937" s="7" t="n"/>
      <c r="M937" s="8" t="n"/>
      <c r="N937" s="7" t="n"/>
      <c r="O937" s="8" t="n"/>
      <c r="P937" s="6" t="n"/>
      <c r="Q937" s="8" t="n"/>
      <c r="S937" s="8">
        <f>IF(B937="","",E937*F937)</f>
        <v/>
      </c>
      <c r="T937" s="8">
        <f>IF(OR(B937="",N(G937)=0),"",ABS(F937-G937)*E937)</f>
        <v/>
      </c>
      <c r="U937" s="8">
        <f>IF(OR(B937="",P937=""),"",IF(D937="Venda",-1,1)*((N(J937)*N(K937)+N(L937)*N(M937)+N(N937)*N(O937))-(N(J937)+N(L937)+N(N937))*F937)-N(Q937))</f>
        <v/>
      </c>
      <c r="V937" s="9">
        <f>IF(OR(B937="",P937=""),"",U937/S937)</f>
        <v/>
      </c>
      <c r="W937">
        <f>IF(OR(B937="",P937=""),"",NETWORKDAYS(C937,P937)-1)</f>
        <v/>
      </c>
      <c r="X937">
        <f>IF(B937="","",IF(P937="","Aberto","Fechado"))</f>
        <v/>
      </c>
    </row>
    <row r="938">
      <c r="C938" s="6" t="n"/>
      <c r="E938" s="7" t="n"/>
      <c r="F938" s="8" t="n"/>
      <c r="G938" s="8" t="n"/>
      <c r="H938" s="8" t="n"/>
      <c r="J938" s="7" t="n"/>
      <c r="K938" s="8" t="n"/>
      <c r="L938" s="7" t="n"/>
      <c r="M938" s="8" t="n"/>
      <c r="N938" s="7" t="n"/>
      <c r="O938" s="8" t="n"/>
      <c r="P938" s="6" t="n"/>
      <c r="Q938" s="8" t="n"/>
      <c r="S938" s="8">
        <f>IF(B938="","",E938*F938)</f>
        <v/>
      </c>
      <c r="T938" s="8">
        <f>IF(OR(B938="",N(G938)=0),"",ABS(F938-G938)*E938)</f>
        <v/>
      </c>
      <c r="U938" s="8">
        <f>IF(OR(B938="",P938=""),"",IF(D938="Venda",-1,1)*((N(J938)*N(K938)+N(L938)*N(M938)+N(N938)*N(O938))-(N(J938)+N(L938)+N(N938))*F938)-N(Q938))</f>
        <v/>
      </c>
      <c r="V938" s="9">
        <f>IF(OR(B938="",P938=""),"",U938/S938)</f>
        <v/>
      </c>
      <c r="W938">
        <f>IF(OR(B938="",P938=""),"",NETWORKDAYS(C938,P938)-1)</f>
        <v/>
      </c>
      <c r="X938">
        <f>IF(B938="","",IF(P938="","Aberto","Fechado"))</f>
        <v/>
      </c>
    </row>
    <row r="939">
      <c r="C939" s="6" t="n"/>
      <c r="E939" s="7" t="n"/>
      <c r="F939" s="8" t="n"/>
      <c r="G939" s="8" t="n"/>
      <c r="H939" s="8" t="n"/>
      <c r="J939" s="7" t="n"/>
      <c r="K939" s="8" t="n"/>
      <c r="L939" s="7" t="n"/>
      <c r="M939" s="8" t="n"/>
      <c r="N939" s="7" t="n"/>
      <c r="O939" s="8" t="n"/>
      <c r="P939" s="6" t="n"/>
      <c r="Q939" s="8" t="n"/>
      <c r="S939" s="8">
        <f>IF(B939="","",E939*F939)</f>
        <v/>
      </c>
      <c r="T939" s="8">
        <f>IF(OR(B939="",N(G939)=0),"",ABS(F939-G939)*E939)</f>
        <v/>
      </c>
      <c r="U939" s="8">
        <f>IF(OR(B939="",P939=""),"",IF(D939="Venda",-1,1)*((N(J939)*N(K939)+N(L939)*N(M939)+N(N939)*N(O939))-(N(J939)+N(L939)+N(N939))*F939)-N(Q939))</f>
        <v/>
      </c>
      <c r="V939" s="9">
        <f>IF(OR(B939="",P939=""),"",U939/S939)</f>
        <v/>
      </c>
      <c r="W939">
        <f>IF(OR(B939="",P939=""),"",NETWORKDAYS(C939,P939)-1)</f>
        <v/>
      </c>
      <c r="X939">
        <f>IF(B939="","",IF(P939="","Aberto","Fechado"))</f>
        <v/>
      </c>
    </row>
    <row r="940">
      <c r="C940" s="6" t="n"/>
      <c r="E940" s="7" t="n"/>
      <c r="F940" s="8" t="n"/>
      <c r="G940" s="8" t="n"/>
      <c r="H940" s="8" t="n"/>
      <c r="J940" s="7" t="n"/>
      <c r="K940" s="8" t="n"/>
      <c r="L940" s="7" t="n"/>
      <c r="M940" s="8" t="n"/>
      <c r="N940" s="7" t="n"/>
      <c r="O940" s="8" t="n"/>
      <c r="P940" s="6" t="n"/>
      <c r="Q940" s="8" t="n"/>
      <c r="S940" s="8">
        <f>IF(B940="","",E940*F940)</f>
        <v/>
      </c>
      <c r="T940" s="8">
        <f>IF(OR(B940="",N(G940)=0),"",ABS(F940-G940)*E940)</f>
        <v/>
      </c>
      <c r="U940" s="8">
        <f>IF(OR(B940="",P940=""),"",IF(D940="Venda",-1,1)*((N(J940)*N(K940)+N(L940)*N(M940)+N(N940)*N(O940))-(N(J940)+N(L940)+N(N940))*F940)-N(Q940))</f>
        <v/>
      </c>
      <c r="V940" s="9">
        <f>IF(OR(B940="",P940=""),"",U940/S940)</f>
        <v/>
      </c>
      <c r="W940">
        <f>IF(OR(B940="",P940=""),"",NETWORKDAYS(C940,P940)-1)</f>
        <v/>
      </c>
      <c r="X940">
        <f>IF(B940="","",IF(P940="","Aberto","Fechado"))</f>
        <v/>
      </c>
    </row>
    <row r="941">
      <c r="C941" s="6" t="n"/>
      <c r="E941" s="7" t="n"/>
      <c r="F941" s="8" t="n"/>
      <c r="G941" s="8" t="n"/>
      <c r="H941" s="8" t="n"/>
      <c r="J941" s="7" t="n"/>
      <c r="K941" s="8" t="n"/>
      <c r="L941" s="7" t="n"/>
      <c r="M941" s="8" t="n"/>
      <c r="N941" s="7" t="n"/>
      <c r="O941" s="8" t="n"/>
      <c r="P941" s="6" t="n"/>
      <c r="Q941" s="8" t="n"/>
      <c r="S941" s="8">
        <f>IF(B941="","",E941*F941)</f>
        <v/>
      </c>
      <c r="T941" s="8">
        <f>IF(OR(B941="",N(G941)=0),"",ABS(F941-G941)*E941)</f>
        <v/>
      </c>
      <c r="U941" s="8">
        <f>IF(OR(B941="",P941=""),"",IF(D941="Venda",-1,1)*((N(J941)*N(K941)+N(L941)*N(M941)+N(N941)*N(O941))-(N(J941)+N(L941)+N(N941))*F941)-N(Q941))</f>
        <v/>
      </c>
      <c r="V941" s="9">
        <f>IF(OR(B941="",P941=""),"",U941/S941)</f>
        <v/>
      </c>
      <c r="W941">
        <f>IF(OR(B941="",P941=""),"",NETWORKDAYS(C941,P941)-1)</f>
        <v/>
      </c>
      <c r="X941">
        <f>IF(B941="","",IF(P941="","Aberto","Fechado"))</f>
        <v/>
      </c>
    </row>
    <row r="942">
      <c r="C942" s="6" t="n"/>
      <c r="E942" s="7" t="n"/>
      <c r="F942" s="8" t="n"/>
      <c r="G942" s="8" t="n"/>
      <c r="H942" s="8" t="n"/>
      <c r="J942" s="7" t="n"/>
      <c r="K942" s="8" t="n"/>
      <c r="L942" s="7" t="n"/>
      <c r="M942" s="8" t="n"/>
      <c r="N942" s="7" t="n"/>
      <c r="O942" s="8" t="n"/>
      <c r="P942" s="6" t="n"/>
      <c r="Q942" s="8" t="n"/>
      <c r="S942" s="8">
        <f>IF(B942="","",E942*F942)</f>
        <v/>
      </c>
      <c r="T942" s="8">
        <f>IF(OR(B942="",N(G942)=0),"",ABS(F942-G942)*E942)</f>
        <v/>
      </c>
      <c r="U942" s="8">
        <f>IF(OR(B942="",P942=""),"",IF(D942="Venda",-1,1)*((N(J942)*N(K942)+N(L942)*N(M942)+N(N942)*N(O942))-(N(J942)+N(L942)+N(N942))*F942)-N(Q942))</f>
        <v/>
      </c>
      <c r="V942" s="9">
        <f>IF(OR(B942="",P942=""),"",U942/S942)</f>
        <v/>
      </c>
      <c r="W942">
        <f>IF(OR(B942="",P942=""),"",NETWORKDAYS(C942,P942)-1)</f>
        <v/>
      </c>
      <c r="X942">
        <f>IF(B942="","",IF(P942="","Aberto","Fechado"))</f>
        <v/>
      </c>
    </row>
    <row r="943">
      <c r="C943" s="6" t="n"/>
      <c r="E943" s="7" t="n"/>
      <c r="F943" s="8" t="n"/>
      <c r="G943" s="8" t="n"/>
      <c r="H943" s="8" t="n"/>
      <c r="J943" s="7" t="n"/>
      <c r="K943" s="8" t="n"/>
      <c r="L943" s="7" t="n"/>
      <c r="M943" s="8" t="n"/>
      <c r="N943" s="7" t="n"/>
      <c r="O943" s="8" t="n"/>
      <c r="P943" s="6" t="n"/>
      <c r="Q943" s="8" t="n"/>
      <c r="S943" s="8">
        <f>IF(B943="","",E943*F943)</f>
        <v/>
      </c>
      <c r="T943" s="8">
        <f>IF(OR(B943="",N(G943)=0),"",ABS(F943-G943)*E943)</f>
        <v/>
      </c>
      <c r="U943" s="8">
        <f>IF(OR(B943="",P943=""),"",IF(D943="Venda",-1,1)*((N(J943)*N(K943)+N(L943)*N(M943)+N(N943)*N(O943))-(N(J943)+N(L943)+N(N943))*F943)-N(Q943))</f>
        <v/>
      </c>
      <c r="V943" s="9">
        <f>IF(OR(B943="",P943=""),"",U943/S943)</f>
        <v/>
      </c>
      <c r="W943">
        <f>IF(OR(B943="",P943=""),"",NETWORKDAYS(C943,P943)-1)</f>
        <v/>
      </c>
      <c r="X943">
        <f>IF(B943="","",IF(P943="","Aberto","Fechado"))</f>
        <v/>
      </c>
    </row>
    <row r="944">
      <c r="C944" s="6" t="n"/>
      <c r="E944" s="7" t="n"/>
      <c r="F944" s="8" t="n"/>
      <c r="G944" s="8" t="n"/>
      <c r="H944" s="8" t="n"/>
      <c r="J944" s="7" t="n"/>
      <c r="K944" s="8" t="n"/>
      <c r="L944" s="7" t="n"/>
      <c r="M944" s="8" t="n"/>
      <c r="N944" s="7" t="n"/>
      <c r="O944" s="8" t="n"/>
      <c r="P944" s="6" t="n"/>
      <c r="Q944" s="8" t="n"/>
      <c r="S944" s="8">
        <f>IF(B944="","",E944*F944)</f>
        <v/>
      </c>
      <c r="T944" s="8">
        <f>IF(OR(B944="",N(G944)=0),"",ABS(F944-G944)*E944)</f>
        <v/>
      </c>
      <c r="U944" s="8">
        <f>IF(OR(B944="",P944=""),"",IF(D944="Venda",-1,1)*((N(J944)*N(K944)+N(L944)*N(M944)+N(N944)*N(O944))-(N(J944)+N(L944)+N(N944))*F944)-N(Q944))</f>
        <v/>
      </c>
      <c r="V944" s="9">
        <f>IF(OR(B944="",P944=""),"",U944/S944)</f>
        <v/>
      </c>
      <c r="W944">
        <f>IF(OR(B944="",P944=""),"",NETWORKDAYS(C944,P944)-1)</f>
        <v/>
      </c>
      <c r="X944">
        <f>IF(B944="","",IF(P944="","Aberto","Fechado"))</f>
        <v/>
      </c>
    </row>
    <row r="945">
      <c r="C945" s="6" t="n"/>
      <c r="E945" s="7" t="n"/>
      <c r="F945" s="8" t="n"/>
      <c r="G945" s="8" t="n"/>
      <c r="H945" s="8" t="n"/>
      <c r="J945" s="7" t="n"/>
      <c r="K945" s="8" t="n"/>
      <c r="L945" s="7" t="n"/>
      <c r="M945" s="8" t="n"/>
      <c r="N945" s="7" t="n"/>
      <c r="O945" s="8" t="n"/>
      <c r="P945" s="6" t="n"/>
      <c r="Q945" s="8" t="n"/>
      <c r="S945" s="8">
        <f>IF(B945="","",E945*F945)</f>
        <v/>
      </c>
      <c r="T945" s="8">
        <f>IF(OR(B945="",N(G945)=0),"",ABS(F945-G945)*E945)</f>
        <v/>
      </c>
      <c r="U945" s="8">
        <f>IF(OR(B945="",P945=""),"",IF(D945="Venda",-1,1)*((N(J945)*N(K945)+N(L945)*N(M945)+N(N945)*N(O945))-(N(J945)+N(L945)+N(N945))*F945)-N(Q945))</f>
        <v/>
      </c>
      <c r="V945" s="9">
        <f>IF(OR(B945="",P945=""),"",U945/S945)</f>
        <v/>
      </c>
      <c r="W945">
        <f>IF(OR(B945="",P945=""),"",NETWORKDAYS(C945,P945)-1)</f>
        <v/>
      </c>
      <c r="X945">
        <f>IF(B945="","",IF(P945="","Aberto","Fechado"))</f>
        <v/>
      </c>
    </row>
    <row r="946">
      <c r="C946" s="6" t="n"/>
      <c r="E946" s="7" t="n"/>
      <c r="F946" s="8" t="n"/>
      <c r="G946" s="8" t="n"/>
      <c r="H946" s="8" t="n"/>
      <c r="J946" s="7" t="n"/>
      <c r="K946" s="8" t="n"/>
      <c r="L946" s="7" t="n"/>
      <c r="M946" s="8" t="n"/>
      <c r="N946" s="7" t="n"/>
      <c r="O946" s="8" t="n"/>
      <c r="P946" s="6" t="n"/>
      <c r="Q946" s="8" t="n"/>
      <c r="S946" s="8">
        <f>IF(B946="","",E946*F946)</f>
        <v/>
      </c>
      <c r="T946" s="8">
        <f>IF(OR(B946="",N(G946)=0),"",ABS(F946-G946)*E946)</f>
        <v/>
      </c>
      <c r="U946" s="8">
        <f>IF(OR(B946="",P946=""),"",IF(D946="Venda",-1,1)*((N(J946)*N(K946)+N(L946)*N(M946)+N(N946)*N(O946))-(N(J946)+N(L946)+N(N946))*F946)-N(Q946))</f>
        <v/>
      </c>
      <c r="V946" s="9">
        <f>IF(OR(B946="",P946=""),"",U946/S946)</f>
        <v/>
      </c>
      <c r="W946">
        <f>IF(OR(B946="",P946=""),"",NETWORKDAYS(C946,P946)-1)</f>
        <v/>
      </c>
      <c r="X946">
        <f>IF(B946="","",IF(P946="","Aberto","Fechado"))</f>
        <v/>
      </c>
    </row>
    <row r="947">
      <c r="C947" s="6" t="n"/>
      <c r="E947" s="7" t="n"/>
      <c r="F947" s="8" t="n"/>
      <c r="G947" s="8" t="n"/>
      <c r="H947" s="8" t="n"/>
      <c r="J947" s="7" t="n"/>
      <c r="K947" s="8" t="n"/>
      <c r="L947" s="7" t="n"/>
      <c r="M947" s="8" t="n"/>
      <c r="N947" s="7" t="n"/>
      <c r="O947" s="8" t="n"/>
      <c r="P947" s="6" t="n"/>
      <c r="Q947" s="8" t="n"/>
      <c r="S947" s="8">
        <f>IF(B947="","",E947*F947)</f>
        <v/>
      </c>
      <c r="T947" s="8">
        <f>IF(OR(B947="",N(G947)=0),"",ABS(F947-G947)*E947)</f>
        <v/>
      </c>
      <c r="U947" s="8">
        <f>IF(OR(B947="",P947=""),"",IF(D947="Venda",-1,1)*((N(J947)*N(K947)+N(L947)*N(M947)+N(N947)*N(O947))-(N(J947)+N(L947)+N(N947))*F947)-N(Q947))</f>
        <v/>
      </c>
      <c r="V947" s="9">
        <f>IF(OR(B947="",P947=""),"",U947/S947)</f>
        <v/>
      </c>
      <c r="W947">
        <f>IF(OR(B947="",P947=""),"",NETWORKDAYS(C947,P947)-1)</f>
        <v/>
      </c>
      <c r="X947">
        <f>IF(B947="","",IF(P947="","Aberto","Fechado"))</f>
        <v/>
      </c>
    </row>
    <row r="948">
      <c r="C948" s="6" t="n"/>
      <c r="E948" s="7" t="n"/>
      <c r="F948" s="8" t="n"/>
      <c r="G948" s="8" t="n"/>
      <c r="H948" s="8" t="n"/>
      <c r="J948" s="7" t="n"/>
      <c r="K948" s="8" t="n"/>
      <c r="L948" s="7" t="n"/>
      <c r="M948" s="8" t="n"/>
      <c r="N948" s="7" t="n"/>
      <c r="O948" s="8" t="n"/>
      <c r="P948" s="6" t="n"/>
      <c r="Q948" s="8" t="n"/>
      <c r="S948" s="8">
        <f>IF(B948="","",E948*F948)</f>
        <v/>
      </c>
      <c r="T948" s="8">
        <f>IF(OR(B948="",N(G948)=0),"",ABS(F948-G948)*E948)</f>
        <v/>
      </c>
      <c r="U948" s="8">
        <f>IF(OR(B948="",P948=""),"",IF(D948="Venda",-1,1)*((N(J948)*N(K948)+N(L948)*N(M948)+N(N948)*N(O948))-(N(J948)+N(L948)+N(N948))*F948)-N(Q948))</f>
        <v/>
      </c>
      <c r="V948" s="9">
        <f>IF(OR(B948="",P948=""),"",U948/S948)</f>
        <v/>
      </c>
      <c r="W948">
        <f>IF(OR(B948="",P948=""),"",NETWORKDAYS(C948,P948)-1)</f>
        <v/>
      </c>
      <c r="X948">
        <f>IF(B948="","",IF(P948="","Aberto","Fechado"))</f>
        <v/>
      </c>
    </row>
    <row r="949">
      <c r="C949" s="6" t="n"/>
      <c r="E949" s="7" t="n"/>
      <c r="F949" s="8" t="n"/>
      <c r="G949" s="8" t="n"/>
      <c r="H949" s="8" t="n"/>
      <c r="J949" s="7" t="n"/>
      <c r="K949" s="8" t="n"/>
      <c r="L949" s="7" t="n"/>
      <c r="M949" s="8" t="n"/>
      <c r="N949" s="7" t="n"/>
      <c r="O949" s="8" t="n"/>
      <c r="P949" s="6" t="n"/>
      <c r="Q949" s="8" t="n"/>
      <c r="S949" s="8">
        <f>IF(B949="","",E949*F949)</f>
        <v/>
      </c>
      <c r="T949" s="8">
        <f>IF(OR(B949="",N(G949)=0),"",ABS(F949-G949)*E949)</f>
        <v/>
      </c>
      <c r="U949" s="8">
        <f>IF(OR(B949="",P949=""),"",IF(D949="Venda",-1,1)*((N(J949)*N(K949)+N(L949)*N(M949)+N(N949)*N(O949))-(N(J949)+N(L949)+N(N949))*F949)-N(Q949))</f>
        <v/>
      </c>
      <c r="V949" s="9">
        <f>IF(OR(B949="",P949=""),"",U949/S949)</f>
        <v/>
      </c>
      <c r="W949">
        <f>IF(OR(B949="",P949=""),"",NETWORKDAYS(C949,P949)-1)</f>
        <v/>
      </c>
      <c r="X949">
        <f>IF(B949="","",IF(P949="","Aberto","Fechado"))</f>
        <v/>
      </c>
    </row>
    <row r="950">
      <c r="C950" s="6" t="n"/>
      <c r="E950" s="7" t="n"/>
      <c r="F950" s="8" t="n"/>
      <c r="G950" s="8" t="n"/>
      <c r="H950" s="8" t="n"/>
      <c r="J950" s="7" t="n"/>
      <c r="K950" s="8" t="n"/>
      <c r="L950" s="7" t="n"/>
      <c r="M950" s="8" t="n"/>
      <c r="N950" s="7" t="n"/>
      <c r="O950" s="8" t="n"/>
      <c r="P950" s="6" t="n"/>
      <c r="Q950" s="8" t="n"/>
      <c r="S950" s="8">
        <f>IF(B950="","",E950*F950)</f>
        <v/>
      </c>
      <c r="T950" s="8">
        <f>IF(OR(B950="",N(G950)=0),"",ABS(F950-G950)*E950)</f>
        <v/>
      </c>
      <c r="U950" s="8">
        <f>IF(OR(B950="",P950=""),"",IF(D950="Venda",-1,1)*((N(J950)*N(K950)+N(L950)*N(M950)+N(N950)*N(O950))-(N(J950)+N(L950)+N(N950))*F950)-N(Q950))</f>
        <v/>
      </c>
      <c r="V950" s="9">
        <f>IF(OR(B950="",P950=""),"",U950/S950)</f>
        <v/>
      </c>
      <c r="W950">
        <f>IF(OR(B950="",P950=""),"",NETWORKDAYS(C950,P950)-1)</f>
        <v/>
      </c>
      <c r="X950">
        <f>IF(B950="","",IF(P950="","Aberto","Fechado"))</f>
        <v/>
      </c>
    </row>
    <row r="951">
      <c r="C951" s="6" t="n"/>
      <c r="E951" s="7" t="n"/>
      <c r="F951" s="8" t="n"/>
      <c r="G951" s="8" t="n"/>
      <c r="H951" s="8" t="n"/>
      <c r="J951" s="7" t="n"/>
      <c r="K951" s="8" t="n"/>
      <c r="L951" s="7" t="n"/>
      <c r="M951" s="8" t="n"/>
      <c r="N951" s="7" t="n"/>
      <c r="O951" s="8" t="n"/>
      <c r="P951" s="6" t="n"/>
      <c r="Q951" s="8" t="n"/>
      <c r="S951" s="8">
        <f>IF(B951="","",E951*F951)</f>
        <v/>
      </c>
      <c r="T951" s="8">
        <f>IF(OR(B951="",N(G951)=0),"",ABS(F951-G951)*E951)</f>
        <v/>
      </c>
      <c r="U951" s="8">
        <f>IF(OR(B951="",P951=""),"",IF(D951="Venda",-1,1)*((N(J951)*N(K951)+N(L951)*N(M951)+N(N951)*N(O951))-(N(J951)+N(L951)+N(N951))*F951)-N(Q951))</f>
        <v/>
      </c>
      <c r="V951" s="9">
        <f>IF(OR(B951="",P951=""),"",U951/S951)</f>
        <v/>
      </c>
      <c r="W951">
        <f>IF(OR(B951="",P951=""),"",NETWORKDAYS(C951,P951)-1)</f>
        <v/>
      </c>
      <c r="X951">
        <f>IF(B951="","",IF(P951="","Aberto","Fechado"))</f>
        <v/>
      </c>
    </row>
    <row r="952">
      <c r="C952" s="6" t="n"/>
      <c r="E952" s="7" t="n"/>
      <c r="F952" s="8" t="n"/>
      <c r="G952" s="8" t="n"/>
      <c r="H952" s="8" t="n"/>
      <c r="J952" s="7" t="n"/>
      <c r="K952" s="8" t="n"/>
      <c r="L952" s="7" t="n"/>
      <c r="M952" s="8" t="n"/>
      <c r="N952" s="7" t="n"/>
      <c r="O952" s="8" t="n"/>
      <c r="P952" s="6" t="n"/>
      <c r="Q952" s="8" t="n"/>
      <c r="S952" s="8">
        <f>IF(B952="","",E952*F952)</f>
        <v/>
      </c>
      <c r="T952" s="8">
        <f>IF(OR(B952="",N(G952)=0),"",ABS(F952-G952)*E952)</f>
        <v/>
      </c>
      <c r="U952" s="8">
        <f>IF(OR(B952="",P952=""),"",IF(D952="Venda",-1,1)*((N(J952)*N(K952)+N(L952)*N(M952)+N(N952)*N(O952))-(N(J952)+N(L952)+N(N952))*F952)-N(Q952))</f>
        <v/>
      </c>
      <c r="V952" s="9">
        <f>IF(OR(B952="",P952=""),"",U952/S952)</f>
        <v/>
      </c>
      <c r="W952">
        <f>IF(OR(B952="",P952=""),"",NETWORKDAYS(C952,P952)-1)</f>
        <v/>
      </c>
      <c r="X952">
        <f>IF(B952="","",IF(P952="","Aberto","Fechado"))</f>
        <v/>
      </c>
    </row>
    <row r="953">
      <c r="C953" s="6" t="n"/>
      <c r="E953" s="7" t="n"/>
      <c r="F953" s="8" t="n"/>
      <c r="G953" s="8" t="n"/>
      <c r="H953" s="8" t="n"/>
      <c r="J953" s="7" t="n"/>
      <c r="K953" s="8" t="n"/>
      <c r="L953" s="7" t="n"/>
      <c r="M953" s="8" t="n"/>
      <c r="N953" s="7" t="n"/>
      <c r="O953" s="8" t="n"/>
      <c r="P953" s="6" t="n"/>
      <c r="Q953" s="8" t="n"/>
      <c r="S953" s="8">
        <f>IF(B953="","",E953*F953)</f>
        <v/>
      </c>
      <c r="T953" s="8">
        <f>IF(OR(B953="",N(G953)=0),"",ABS(F953-G953)*E953)</f>
        <v/>
      </c>
      <c r="U953" s="8">
        <f>IF(OR(B953="",P953=""),"",IF(D953="Venda",-1,1)*((N(J953)*N(K953)+N(L953)*N(M953)+N(N953)*N(O953))-(N(J953)+N(L953)+N(N953))*F953)-N(Q953))</f>
        <v/>
      </c>
      <c r="V953" s="9">
        <f>IF(OR(B953="",P953=""),"",U953/S953)</f>
        <v/>
      </c>
      <c r="W953">
        <f>IF(OR(B953="",P953=""),"",NETWORKDAYS(C953,P953)-1)</f>
        <v/>
      </c>
      <c r="X953">
        <f>IF(B953="","",IF(P953="","Aberto","Fechado"))</f>
        <v/>
      </c>
    </row>
    <row r="954">
      <c r="C954" s="6" t="n"/>
      <c r="E954" s="7" t="n"/>
      <c r="F954" s="8" t="n"/>
      <c r="G954" s="8" t="n"/>
      <c r="H954" s="8" t="n"/>
      <c r="J954" s="7" t="n"/>
      <c r="K954" s="8" t="n"/>
      <c r="L954" s="7" t="n"/>
      <c r="M954" s="8" t="n"/>
      <c r="N954" s="7" t="n"/>
      <c r="O954" s="8" t="n"/>
      <c r="P954" s="6" t="n"/>
      <c r="Q954" s="8" t="n"/>
      <c r="S954" s="8">
        <f>IF(B954="","",E954*F954)</f>
        <v/>
      </c>
      <c r="T954" s="8">
        <f>IF(OR(B954="",N(G954)=0),"",ABS(F954-G954)*E954)</f>
        <v/>
      </c>
      <c r="U954" s="8">
        <f>IF(OR(B954="",P954=""),"",IF(D954="Venda",-1,1)*((N(J954)*N(K954)+N(L954)*N(M954)+N(N954)*N(O954))-(N(J954)+N(L954)+N(N954))*F954)-N(Q954))</f>
        <v/>
      </c>
      <c r="V954" s="9">
        <f>IF(OR(B954="",P954=""),"",U954/S954)</f>
        <v/>
      </c>
      <c r="W954">
        <f>IF(OR(B954="",P954=""),"",NETWORKDAYS(C954,P954)-1)</f>
        <v/>
      </c>
      <c r="X954">
        <f>IF(B954="","",IF(P954="","Aberto","Fechado"))</f>
        <v/>
      </c>
    </row>
    <row r="955">
      <c r="C955" s="6" t="n"/>
      <c r="E955" s="7" t="n"/>
      <c r="F955" s="8" t="n"/>
      <c r="G955" s="8" t="n"/>
      <c r="H955" s="8" t="n"/>
      <c r="J955" s="7" t="n"/>
      <c r="K955" s="8" t="n"/>
      <c r="L955" s="7" t="n"/>
      <c r="M955" s="8" t="n"/>
      <c r="N955" s="7" t="n"/>
      <c r="O955" s="8" t="n"/>
      <c r="P955" s="6" t="n"/>
      <c r="Q955" s="8" t="n"/>
      <c r="S955" s="8">
        <f>IF(B955="","",E955*F955)</f>
        <v/>
      </c>
      <c r="T955" s="8">
        <f>IF(OR(B955="",N(G955)=0),"",ABS(F955-G955)*E955)</f>
        <v/>
      </c>
      <c r="U955" s="8">
        <f>IF(OR(B955="",P955=""),"",IF(D955="Venda",-1,1)*((N(J955)*N(K955)+N(L955)*N(M955)+N(N955)*N(O955))-(N(J955)+N(L955)+N(N955))*F955)-N(Q955))</f>
        <v/>
      </c>
      <c r="V955" s="9">
        <f>IF(OR(B955="",P955=""),"",U955/S955)</f>
        <v/>
      </c>
      <c r="W955">
        <f>IF(OR(B955="",P955=""),"",NETWORKDAYS(C955,P955)-1)</f>
        <v/>
      </c>
      <c r="X955">
        <f>IF(B955="","",IF(P955="","Aberto","Fechado"))</f>
        <v/>
      </c>
    </row>
    <row r="956">
      <c r="C956" s="6" t="n"/>
      <c r="E956" s="7" t="n"/>
      <c r="F956" s="8" t="n"/>
      <c r="G956" s="8" t="n"/>
      <c r="H956" s="8" t="n"/>
      <c r="J956" s="7" t="n"/>
      <c r="K956" s="8" t="n"/>
      <c r="L956" s="7" t="n"/>
      <c r="M956" s="8" t="n"/>
      <c r="N956" s="7" t="n"/>
      <c r="O956" s="8" t="n"/>
      <c r="P956" s="6" t="n"/>
      <c r="Q956" s="8" t="n"/>
      <c r="S956" s="8">
        <f>IF(B956="","",E956*F956)</f>
        <v/>
      </c>
      <c r="T956" s="8">
        <f>IF(OR(B956="",N(G956)=0),"",ABS(F956-G956)*E956)</f>
        <v/>
      </c>
      <c r="U956" s="8">
        <f>IF(OR(B956="",P956=""),"",IF(D956="Venda",-1,1)*((N(J956)*N(K956)+N(L956)*N(M956)+N(N956)*N(O956))-(N(J956)+N(L956)+N(N956))*F956)-N(Q956))</f>
        <v/>
      </c>
      <c r="V956" s="9">
        <f>IF(OR(B956="",P956=""),"",U956/S956)</f>
        <v/>
      </c>
      <c r="W956">
        <f>IF(OR(B956="",P956=""),"",NETWORKDAYS(C956,P956)-1)</f>
        <v/>
      </c>
      <c r="X956">
        <f>IF(B956="","",IF(P956="","Aberto","Fechado"))</f>
        <v/>
      </c>
    </row>
    <row r="957">
      <c r="C957" s="6" t="n"/>
      <c r="E957" s="7" t="n"/>
      <c r="F957" s="8" t="n"/>
      <c r="G957" s="8" t="n"/>
      <c r="H957" s="8" t="n"/>
      <c r="J957" s="7" t="n"/>
      <c r="K957" s="8" t="n"/>
      <c r="L957" s="7" t="n"/>
      <c r="M957" s="8" t="n"/>
      <c r="N957" s="7" t="n"/>
      <c r="O957" s="8" t="n"/>
      <c r="P957" s="6" t="n"/>
      <c r="Q957" s="8" t="n"/>
      <c r="S957" s="8">
        <f>IF(B957="","",E957*F957)</f>
        <v/>
      </c>
      <c r="T957" s="8">
        <f>IF(OR(B957="",N(G957)=0),"",ABS(F957-G957)*E957)</f>
        <v/>
      </c>
      <c r="U957" s="8">
        <f>IF(OR(B957="",P957=""),"",IF(D957="Venda",-1,1)*((N(J957)*N(K957)+N(L957)*N(M957)+N(N957)*N(O957))-(N(J957)+N(L957)+N(N957))*F957)-N(Q957))</f>
        <v/>
      </c>
      <c r="V957" s="9">
        <f>IF(OR(B957="",P957=""),"",U957/S957)</f>
        <v/>
      </c>
      <c r="W957">
        <f>IF(OR(B957="",P957=""),"",NETWORKDAYS(C957,P957)-1)</f>
        <v/>
      </c>
      <c r="X957">
        <f>IF(B957="","",IF(P957="","Aberto","Fechado"))</f>
        <v/>
      </c>
    </row>
    <row r="958">
      <c r="C958" s="6" t="n"/>
      <c r="E958" s="7" t="n"/>
      <c r="F958" s="8" t="n"/>
      <c r="G958" s="8" t="n"/>
      <c r="H958" s="8" t="n"/>
      <c r="J958" s="7" t="n"/>
      <c r="K958" s="8" t="n"/>
      <c r="L958" s="7" t="n"/>
      <c r="M958" s="8" t="n"/>
      <c r="N958" s="7" t="n"/>
      <c r="O958" s="8" t="n"/>
      <c r="P958" s="6" t="n"/>
      <c r="Q958" s="8" t="n"/>
      <c r="S958" s="8">
        <f>IF(B958="","",E958*F958)</f>
        <v/>
      </c>
      <c r="T958" s="8">
        <f>IF(OR(B958="",N(G958)=0),"",ABS(F958-G958)*E958)</f>
        <v/>
      </c>
      <c r="U958" s="8">
        <f>IF(OR(B958="",P958=""),"",IF(D958="Venda",-1,1)*((N(J958)*N(K958)+N(L958)*N(M958)+N(N958)*N(O958))-(N(J958)+N(L958)+N(N958))*F958)-N(Q958))</f>
        <v/>
      </c>
      <c r="V958" s="9">
        <f>IF(OR(B958="",P958=""),"",U958/S958)</f>
        <v/>
      </c>
      <c r="W958">
        <f>IF(OR(B958="",P958=""),"",NETWORKDAYS(C958,P958)-1)</f>
        <v/>
      </c>
      <c r="X958">
        <f>IF(B958="","",IF(P958="","Aberto","Fechado"))</f>
        <v/>
      </c>
    </row>
    <row r="959">
      <c r="C959" s="6" t="n"/>
      <c r="E959" s="7" t="n"/>
      <c r="F959" s="8" t="n"/>
      <c r="G959" s="8" t="n"/>
      <c r="H959" s="8" t="n"/>
      <c r="J959" s="7" t="n"/>
      <c r="K959" s="8" t="n"/>
      <c r="L959" s="7" t="n"/>
      <c r="M959" s="8" t="n"/>
      <c r="N959" s="7" t="n"/>
      <c r="O959" s="8" t="n"/>
      <c r="P959" s="6" t="n"/>
      <c r="Q959" s="8" t="n"/>
      <c r="S959" s="8">
        <f>IF(B959="","",E959*F959)</f>
        <v/>
      </c>
      <c r="T959" s="8">
        <f>IF(OR(B959="",N(G959)=0),"",ABS(F959-G959)*E959)</f>
        <v/>
      </c>
      <c r="U959" s="8">
        <f>IF(OR(B959="",P959=""),"",IF(D959="Venda",-1,1)*((N(J959)*N(K959)+N(L959)*N(M959)+N(N959)*N(O959))-(N(J959)+N(L959)+N(N959))*F959)-N(Q959))</f>
        <v/>
      </c>
      <c r="V959" s="9">
        <f>IF(OR(B959="",P959=""),"",U959/S959)</f>
        <v/>
      </c>
      <c r="W959">
        <f>IF(OR(B959="",P959=""),"",NETWORKDAYS(C959,P959)-1)</f>
        <v/>
      </c>
      <c r="X959">
        <f>IF(B959="","",IF(P959="","Aberto","Fechado"))</f>
        <v/>
      </c>
    </row>
    <row r="960">
      <c r="C960" s="6" t="n"/>
      <c r="E960" s="7" t="n"/>
      <c r="F960" s="8" t="n"/>
      <c r="G960" s="8" t="n"/>
      <c r="H960" s="8" t="n"/>
      <c r="J960" s="7" t="n"/>
      <c r="K960" s="8" t="n"/>
      <c r="L960" s="7" t="n"/>
      <c r="M960" s="8" t="n"/>
      <c r="N960" s="7" t="n"/>
      <c r="O960" s="8" t="n"/>
      <c r="P960" s="6" t="n"/>
      <c r="Q960" s="8" t="n"/>
      <c r="S960" s="8">
        <f>IF(B960="","",E960*F960)</f>
        <v/>
      </c>
      <c r="T960" s="8">
        <f>IF(OR(B960="",N(G960)=0),"",ABS(F960-G960)*E960)</f>
        <v/>
      </c>
      <c r="U960" s="8">
        <f>IF(OR(B960="",P960=""),"",IF(D960="Venda",-1,1)*((N(J960)*N(K960)+N(L960)*N(M960)+N(N960)*N(O960))-(N(J960)+N(L960)+N(N960))*F960)-N(Q960))</f>
        <v/>
      </c>
      <c r="V960" s="9">
        <f>IF(OR(B960="",P960=""),"",U960/S960)</f>
        <v/>
      </c>
      <c r="W960">
        <f>IF(OR(B960="",P960=""),"",NETWORKDAYS(C960,P960)-1)</f>
        <v/>
      </c>
      <c r="X960">
        <f>IF(B960="","",IF(P960="","Aberto","Fechado"))</f>
        <v/>
      </c>
    </row>
    <row r="961">
      <c r="C961" s="6" t="n"/>
      <c r="E961" s="7" t="n"/>
      <c r="F961" s="8" t="n"/>
      <c r="G961" s="8" t="n"/>
      <c r="H961" s="8" t="n"/>
      <c r="J961" s="7" t="n"/>
      <c r="K961" s="8" t="n"/>
      <c r="L961" s="7" t="n"/>
      <c r="M961" s="8" t="n"/>
      <c r="N961" s="7" t="n"/>
      <c r="O961" s="8" t="n"/>
      <c r="P961" s="6" t="n"/>
      <c r="Q961" s="8" t="n"/>
      <c r="S961" s="8">
        <f>IF(B961="","",E961*F961)</f>
        <v/>
      </c>
      <c r="T961" s="8">
        <f>IF(OR(B961="",N(G961)=0),"",ABS(F961-G961)*E961)</f>
        <v/>
      </c>
      <c r="U961" s="8">
        <f>IF(OR(B961="",P961=""),"",IF(D961="Venda",-1,1)*((N(J961)*N(K961)+N(L961)*N(M961)+N(N961)*N(O961))-(N(J961)+N(L961)+N(N961))*F961)-N(Q961))</f>
        <v/>
      </c>
      <c r="V961" s="9">
        <f>IF(OR(B961="",P961=""),"",U961/S961)</f>
        <v/>
      </c>
      <c r="W961">
        <f>IF(OR(B961="",P961=""),"",NETWORKDAYS(C961,P961)-1)</f>
        <v/>
      </c>
      <c r="X961">
        <f>IF(B961="","",IF(P961="","Aberto","Fechado"))</f>
        <v/>
      </c>
    </row>
    <row r="962">
      <c r="C962" s="6" t="n"/>
      <c r="E962" s="7" t="n"/>
      <c r="F962" s="8" t="n"/>
      <c r="G962" s="8" t="n"/>
      <c r="H962" s="8" t="n"/>
      <c r="J962" s="7" t="n"/>
      <c r="K962" s="8" t="n"/>
      <c r="L962" s="7" t="n"/>
      <c r="M962" s="8" t="n"/>
      <c r="N962" s="7" t="n"/>
      <c r="O962" s="8" t="n"/>
      <c r="P962" s="6" t="n"/>
      <c r="Q962" s="8" t="n"/>
      <c r="S962" s="8">
        <f>IF(B962="","",E962*F962)</f>
        <v/>
      </c>
      <c r="T962" s="8">
        <f>IF(OR(B962="",N(G962)=0),"",ABS(F962-G962)*E962)</f>
        <v/>
      </c>
      <c r="U962" s="8">
        <f>IF(OR(B962="",P962=""),"",IF(D962="Venda",-1,1)*((N(J962)*N(K962)+N(L962)*N(M962)+N(N962)*N(O962))-(N(J962)+N(L962)+N(N962))*F962)-N(Q962))</f>
        <v/>
      </c>
      <c r="V962" s="9">
        <f>IF(OR(B962="",P962=""),"",U962/S962)</f>
        <v/>
      </c>
      <c r="W962">
        <f>IF(OR(B962="",P962=""),"",NETWORKDAYS(C962,P962)-1)</f>
        <v/>
      </c>
      <c r="X962">
        <f>IF(B962="","",IF(P962="","Aberto","Fechado"))</f>
        <v/>
      </c>
    </row>
    <row r="963">
      <c r="C963" s="6" t="n"/>
      <c r="E963" s="7" t="n"/>
      <c r="F963" s="8" t="n"/>
      <c r="G963" s="8" t="n"/>
      <c r="H963" s="8" t="n"/>
      <c r="J963" s="7" t="n"/>
      <c r="K963" s="8" t="n"/>
      <c r="L963" s="7" t="n"/>
      <c r="M963" s="8" t="n"/>
      <c r="N963" s="7" t="n"/>
      <c r="O963" s="8" t="n"/>
      <c r="P963" s="6" t="n"/>
      <c r="Q963" s="8" t="n"/>
      <c r="S963" s="8">
        <f>IF(B963="","",E963*F963)</f>
        <v/>
      </c>
      <c r="T963" s="8">
        <f>IF(OR(B963="",N(G963)=0),"",ABS(F963-G963)*E963)</f>
        <v/>
      </c>
      <c r="U963" s="8">
        <f>IF(OR(B963="",P963=""),"",IF(D963="Venda",-1,1)*((N(J963)*N(K963)+N(L963)*N(M963)+N(N963)*N(O963))-(N(J963)+N(L963)+N(N963))*F963)-N(Q963))</f>
        <v/>
      </c>
      <c r="V963" s="9">
        <f>IF(OR(B963="",P963=""),"",U963/S963)</f>
        <v/>
      </c>
      <c r="W963">
        <f>IF(OR(B963="",P963=""),"",NETWORKDAYS(C963,P963)-1)</f>
        <v/>
      </c>
      <c r="X963">
        <f>IF(B963="","",IF(P963="","Aberto","Fechado"))</f>
        <v/>
      </c>
    </row>
    <row r="964">
      <c r="C964" s="6" t="n"/>
      <c r="E964" s="7" t="n"/>
      <c r="F964" s="8" t="n"/>
      <c r="G964" s="8" t="n"/>
      <c r="H964" s="8" t="n"/>
      <c r="J964" s="7" t="n"/>
      <c r="K964" s="8" t="n"/>
      <c r="L964" s="7" t="n"/>
      <c r="M964" s="8" t="n"/>
      <c r="N964" s="7" t="n"/>
      <c r="O964" s="8" t="n"/>
      <c r="P964" s="6" t="n"/>
      <c r="Q964" s="8" t="n"/>
      <c r="S964" s="8">
        <f>IF(B964="","",E964*F964)</f>
        <v/>
      </c>
      <c r="T964" s="8">
        <f>IF(OR(B964="",N(G964)=0),"",ABS(F964-G964)*E964)</f>
        <v/>
      </c>
      <c r="U964" s="8">
        <f>IF(OR(B964="",P964=""),"",IF(D964="Venda",-1,1)*((N(J964)*N(K964)+N(L964)*N(M964)+N(N964)*N(O964))-(N(J964)+N(L964)+N(N964))*F964)-N(Q964))</f>
        <v/>
      </c>
      <c r="V964" s="9">
        <f>IF(OR(B964="",P964=""),"",U964/S964)</f>
        <v/>
      </c>
      <c r="W964">
        <f>IF(OR(B964="",P964=""),"",NETWORKDAYS(C964,P964)-1)</f>
        <v/>
      </c>
      <c r="X964">
        <f>IF(B964="","",IF(P964="","Aberto","Fechado"))</f>
        <v/>
      </c>
    </row>
    <row r="965">
      <c r="C965" s="6" t="n"/>
      <c r="E965" s="7" t="n"/>
      <c r="F965" s="8" t="n"/>
      <c r="G965" s="8" t="n"/>
      <c r="H965" s="8" t="n"/>
      <c r="J965" s="7" t="n"/>
      <c r="K965" s="8" t="n"/>
      <c r="L965" s="7" t="n"/>
      <c r="M965" s="8" t="n"/>
      <c r="N965" s="7" t="n"/>
      <c r="O965" s="8" t="n"/>
      <c r="P965" s="6" t="n"/>
      <c r="Q965" s="8" t="n"/>
      <c r="S965" s="8">
        <f>IF(B965="","",E965*F965)</f>
        <v/>
      </c>
      <c r="T965" s="8">
        <f>IF(OR(B965="",N(G965)=0),"",ABS(F965-G965)*E965)</f>
        <v/>
      </c>
      <c r="U965" s="8">
        <f>IF(OR(B965="",P965=""),"",IF(D965="Venda",-1,1)*((N(J965)*N(K965)+N(L965)*N(M965)+N(N965)*N(O965))-(N(J965)+N(L965)+N(N965))*F965)-N(Q965))</f>
        <v/>
      </c>
      <c r="V965" s="9">
        <f>IF(OR(B965="",P965=""),"",U965/S965)</f>
        <v/>
      </c>
      <c r="W965">
        <f>IF(OR(B965="",P965=""),"",NETWORKDAYS(C965,P965)-1)</f>
        <v/>
      </c>
      <c r="X965">
        <f>IF(B965="","",IF(P965="","Aberto","Fechado"))</f>
        <v/>
      </c>
    </row>
    <row r="966">
      <c r="C966" s="6" t="n"/>
      <c r="E966" s="7" t="n"/>
      <c r="F966" s="8" t="n"/>
      <c r="G966" s="8" t="n"/>
      <c r="H966" s="8" t="n"/>
      <c r="J966" s="7" t="n"/>
      <c r="K966" s="8" t="n"/>
      <c r="L966" s="7" t="n"/>
      <c r="M966" s="8" t="n"/>
      <c r="N966" s="7" t="n"/>
      <c r="O966" s="8" t="n"/>
      <c r="P966" s="6" t="n"/>
      <c r="Q966" s="8" t="n"/>
      <c r="S966" s="8">
        <f>IF(B966="","",E966*F966)</f>
        <v/>
      </c>
      <c r="T966" s="8">
        <f>IF(OR(B966="",N(G966)=0),"",ABS(F966-G966)*E966)</f>
        <v/>
      </c>
      <c r="U966" s="8">
        <f>IF(OR(B966="",P966=""),"",IF(D966="Venda",-1,1)*((N(J966)*N(K966)+N(L966)*N(M966)+N(N966)*N(O966))-(N(J966)+N(L966)+N(N966))*F966)-N(Q966))</f>
        <v/>
      </c>
      <c r="V966" s="9">
        <f>IF(OR(B966="",P966=""),"",U966/S966)</f>
        <v/>
      </c>
      <c r="W966">
        <f>IF(OR(B966="",P966=""),"",NETWORKDAYS(C966,P966)-1)</f>
        <v/>
      </c>
      <c r="X966">
        <f>IF(B966="","",IF(P966="","Aberto","Fechado"))</f>
        <v/>
      </c>
    </row>
    <row r="967">
      <c r="C967" s="6" t="n"/>
      <c r="E967" s="7" t="n"/>
      <c r="F967" s="8" t="n"/>
      <c r="G967" s="8" t="n"/>
      <c r="H967" s="8" t="n"/>
      <c r="J967" s="7" t="n"/>
      <c r="K967" s="8" t="n"/>
      <c r="L967" s="7" t="n"/>
      <c r="M967" s="8" t="n"/>
      <c r="N967" s="7" t="n"/>
      <c r="O967" s="8" t="n"/>
      <c r="P967" s="6" t="n"/>
      <c r="Q967" s="8" t="n"/>
      <c r="S967" s="8">
        <f>IF(B967="","",E967*F967)</f>
        <v/>
      </c>
      <c r="T967" s="8">
        <f>IF(OR(B967="",N(G967)=0),"",ABS(F967-G967)*E967)</f>
        <v/>
      </c>
      <c r="U967" s="8">
        <f>IF(OR(B967="",P967=""),"",IF(D967="Venda",-1,1)*((N(J967)*N(K967)+N(L967)*N(M967)+N(N967)*N(O967))-(N(J967)+N(L967)+N(N967))*F967)-N(Q967))</f>
        <v/>
      </c>
      <c r="V967" s="9">
        <f>IF(OR(B967="",P967=""),"",U967/S967)</f>
        <v/>
      </c>
      <c r="W967">
        <f>IF(OR(B967="",P967=""),"",NETWORKDAYS(C967,P967)-1)</f>
        <v/>
      </c>
      <c r="X967">
        <f>IF(B967="","",IF(P967="","Aberto","Fechado"))</f>
        <v/>
      </c>
    </row>
    <row r="968">
      <c r="C968" s="6" t="n"/>
      <c r="E968" s="7" t="n"/>
      <c r="F968" s="8" t="n"/>
      <c r="G968" s="8" t="n"/>
      <c r="H968" s="8" t="n"/>
      <c r="J968" s="7" t="n"/>
      <c r="K968" s="8" t="n"/>
      <c r="L968" s="7" t="n"/>
      <c r="M968" s="8" t="n"/>
      <c r="N968" s="7" t="n"/>
      <c r="O968" s="8" t="n"/>
      <c r="P968" s="6" t="n"/>
      <c r="Q968" s="8" t="n"/>
      <c r="S968" s="8">
        <f>IF(B968="","",E968*F968)</f>
        <v/>
      </c>
      <c r="T968" s="8">
        <f>IF(OR(B968="",N(G968)=0),"",ABS(F968-G968)*E968)</f>
        <v/>
      </c>
      <c r="U968" s="8">
        <f>IF(OR(B968="",P968=""),"",IF(D968="Venda",-1,1)*((N(J968)*N(K968)+N(L968)*N(M968)+N(N968)*N(O968))-(N(J968)+N(L968)+N(N968))*F968)-N(Q968))</f>
        <v/>
      </c>
      <c r="V968" s="9">
        <f>IF(OR(B968="",P968=""),"",U968/S968)</f>
        <v/>
      </c>
      <c r="W968">
        <f>IF(OR(B968="",P968=""),"",NETWORKDAYS(C968,P968)-1)</f>
        <v/>
      </c>
      <c r="X968">
        <f>IF(B968="","",IF(P968="","Aberto","Fechado"))</f>
        <v/>
      </c>
    </row>
    <row r="969">
      <c r="C969" s="6" t="n"/>
      <c r="E969" s="7" t="n"/>
      <c r="F969" s="8" t="n"/>
      <c r="G969" s="8" t="n"/>
      <c r="H969" s="8" t="n"/>
      <c r="J969" s="7" t="n"/>
      <c r="K969" s="8" t="n"/>
      <c r="L969" s="7" t="n"/>
      <c r="M969" s="8" t="n"/>
      <c r="N969" s="7" t="n"/>
      <c r="O969" s="8" t="n"/>
      <c r="P969" s="6" t="n"/>
      <c r="Q969" s="8" t="n"/>
      <c r="S969" s="8">
        <f>IF(B969="","",E969*F969)</f>
        <v/>
      </c>
      <c r="T969" s="8">
        <f>IF(OR(B969="",N(G969)=0),"",ABS(F969-G969)*E969)</f>
        <v/>
      </c>
      <c r="U969" s="8">
        <f>IF(OR(B969="",P969=""),"",IF(D969="Venda",-1,1)*((N(J969)*N(K969)+N(L969)*N(M969)+N(N969)*N(O969))-(N(J969)+N(L969)+N(N969))*F969)-N(Q969))</f>
        <v/>
      </c>
      <c r="V969" s="9">
        <f>IF(OR(B969="",P969=""),"",U969/S969)</f>
        <v/>
      </c>
      <c r="W969">
        <f>IF(OR(B969="",P969=""),"",NETWORKDAYS(C969,P969)-1)</f>
        <v/>
      </c>
      <c r="X969">
        <f>IF(B969="","",IF(P969="","Aberto","Fechado"))</f>
        <v/>
      </c>
    </row>
    <row r="970">
      <c r="C970" s="6" t="n"/>
      <c r="E970" s="7" t="n"/>
      <c r="F970" s="8" t="n"/>
      <c r="G970" s="8" t="n"/>
      <c r="H970" s="8" t="n"/>
      <c r="J970" s="7" t="n"/>
      <c r="K970" s="8" t="n"/>
      <c r="L970" s="7" t="n"/>
      <c r="M970" s="8" t="n"/>
      <c r="N970" s="7" t="n"/>
      <c r="O970" s="8" t="n"/>
      <c r="P970" s="6" t="n"/>
      <c r="Q970" s="8" t="n"/>
      <c r="S970" s="8">
        <f>IF(B970="","",E970*F970)</f>
        <v/>
      </c>
      <c r="T970" s="8">
        <f>IF(OR(B970="",N(G970)=0),"",ABS(F970-G970)*E970)</f>
        <v/>
      </c>
      <c r="U970" s="8">
        <f>IF(OR(B970="",P970=""),"",IF(D970="Venda",-1,1)*((N(J970)*N(K970)+N(L970)*N(M970)+N(N970)*N(O970))-(N(J970)+N(L970)+N(N970))*F970)-N(Q970))</f>
        <v/>
      </c>
      <c r="V970" s="9">
        <f>IF(OR(B970="",P970=""),"",U970/S970)</f>
        <v/>
      </c>
      <c r="W970">
        <f>IF(OR(B970="",P970=""),"",NETWORKDAYS(C970,P970)-1)</f>
        <v/>
      </c>
      <c r="X970">
        <f>IF(B970="","",IF(P970="","Aberto","Fechado"))</f>
        <v/>
      </c>
    </row>
    <row r="971">
      <c r="C971" s="6" t="n"/>
      <c r="E971" s="7" t="n"/>
      <c r="F971" s="8" t="n"/>
      <c r="G971" s="8" t="n"/>
      <c r="H971" s="8" t="n"/>
      <c r="J971" s="7" t="n"/>
      <c r="K971" s="8" t="n"/>
      <c r="L971" s="7" t="n"/>
      <c r="M971" s="8" t="n"/>
      <c r="N971" s="7" t="n"/>
      <c r="O971" s="8" t="n"/>
      <c r="P971" s="6" t="n"/>
      <c r="Q971" s="8" t="n"/>
      <c r="S971" s="8">
        <f>IF(B971="","",E971*F971)</f>
        <v/>
      </c>
      <c r="T971" s="8">
        <f>IF(OR(B971="",N(G971)=0),"",ABS(F971-G971)*E971)</f>
        <v/>
      </c>
      <c r="U971" s="8">
        <f>IF(OR(B971="",P971=""),"",IF(D971="Venda",-1,1)*((N(J971)*N(K971)+N(L971)*N(M971)+N(N971)*N(O971))-(N(J971)+N(L971)+N(N971))*F971)-N(Q971))</f>
        <v/>
      </c>
      <c r="V971" s="9">
        <f>IF(OR(B971="",P971=""),"",U971/S971)</f>
        <v/>
      </c>
      <c r="W971">
        <f>IF(OR(B971="",P971=""),"",NETWORKDAYS(C971,P971)-1)</f>
        <v/>
      </c>
      <c r="X971">
        <f>IF(B971="","",IF(P971="","Aberto","Fechado"))</f>
        <v/>
      </c>
    </row>
    <row r="972">
      <c r="C972" s="6" t="n"/>
      <c r="E972" s="7" t="n"/>
      <c r="F972" s="8" t="n"/>
      <c r="G972" s="8" t="n"/>
      <c r="H972" s="8" t="n"/>
      <c r="J972" s="7" t="n"/>
      <c r="K972" s="8" t="n"/>
      <c r="L972" s="7" t="n"/>
      <c r="M972" s="8" t="n"/>
      <c r="N972" s="7" t="n"/>
      <c r="O972" s="8" t="n"/>
      <c r="P972" s="6" t="n"/>
      <c r="Q972" s="8" t="n"/>
      <c r="S972" s="8">
        <f>IF(B972="","",E972*F972)</f>
        <v/>
      </c>
      <c r="T972" s="8">
        <f>IF(OR(B972="",N(G972)=0),"",ABS(F972-G972)*E972)</f>
        <v/>
      </c>
      <c r="U972" s="8">
        <f>IF(OR(B972="",P972=""),"",IF(D972="Venda",-1,1)*((N(J972)*N(K972)+N(L972)*N(M972)+N(N972)*N(O972))-(N(J972)+N(L972)+N(N972))*F972)-N(Q972))</f>
        <v/>
      </c>
      <c r="V972" s="9">
        <f>IF(OR(B972="",P972=""),"",U972/S972)</f>
        <v/>
      </c>
      <c r="W972">
        <f>IF(OR(B972="",P972=""),"",NETWORKDAYS(C972,P972)-1)</f>
        <v/>
      </c>
      <c r="X972">
        <f>IF(B972="","",IF(P972="","Aberto","Fechado"))</f>
        <v/>
      </c>
    </row>
    <row r="973">
      <c r="C973" s="6" t="n"/>
      <c r="E973" s="7" t="n"/>
      <c r="F973" s="8" t="n"/>
      <c r="G973" s="8" t="n"/>
      <c r="H973" s="8" t="n"/>
      <c r="J973" s="7" t="n"/>
      <c r="K973" s="8" t="n"/>
      <c r="L973" s="7" t="n"/>
      <c r="M973" s="8" t="n"/>
      <c r="N973" s="7" t="n"/>
      <c r="O973" s="8" t="n"/>
      <c r="P973" s="6" t="n"/>
      <c r="Q973" s="8" t="n"/>
      <c r="S973" s="8">
        <f>IF(B973="","",E973*F973)</f>
        <v/>
      </c>
      <c r="T973" s="8">
        <f>IF(OR(B973="",N(G973)=0),"",ABS(F973-G973)*E973)</f>
        <v/>
      </c>
      <c r="U973" s="8">
        <f>IF(OR(B973="",P973=""),"",IF(D973="Venda",-1,1)*((N(J973)*N(K973)+N(L973)*N(M973)+N(N973)*N(O973))-(N(J973)+N(L973)+N(N973))*F973)-N(Q973))</f>
        <v/>
      </c>
      <c r="V973" s="9">
        <f>IF(OR(B973="",P973=""),"",U973/S973)</f>
        <v/>
      </c>
      <c r="W973">
        <f>IF(OR(B973="",P973=""),"",NETWORKDAYS(C973,P973)-1)</f>
        <v/>
      </c>
      <c r="X973">
        <f>IF(B973="","",IF(P973="","Aberto","Fechado"))</f>
        <v/>
      </c>
    </row>
    <row r="974">
      <c r="C974" s="6" t="n"/>
      <c r="E974" s="7" t="n"/>
      <c r="F974" s="8" t="n"/>
      <c r="G974" s="8" t="n"/>
      <c r="H974" s="8" t="n"/>
      <c r="J974" s="7" t="n"/>
      <c r="K974" s="8" t="n"/>
      <c r="L974" s="7" t="n"/>
      <c r="M974" s="8" t="n"/>
      <c r="N974" s="7" t="n"/>
      <c r="O974" s="8" t="n"/>
      <c r="P974" s="6" t="n"/>
      <c r="Q974" s="8" t="n"/>
      <c r="S974" s="8">
        <f>IF(B974="","",E974*F974)</f>
        <v/>
      </c>
      <c r="T974" s="8">
        <f>IF(OR(B974="",N(G974)=0),"",ABS(F974-G974)*E974)</f>
        <v/>
      </c>
      <c r="U974" s="8">
        <f>IF(OR(B974="",P974=""),"",IF(D974="Venda",-1,1)*((N(J974)*N(K974)+N(L974)*N(M974)+N(N974)*N(O974))-(N(J974)+N(L974)+N(N974))*F974)-N(Q974))</f>
        <v/>
      </c>
      <c r="V974" s="9">
        <f>IF(OR(B974="",P974=""),"",U974/S974)</f>
        <v/>
      </c>
      <c r="W974">
        <f>IF(OR(B974="",P974=""),"",NETWORKDAYS(C974,P974)-1)</f>
        <v/>
      </c>
      <c r="X974">
        <f>IF(B974="","",IF(P974="","Aberto","Fechado"))</f>
        <v/>
      </c>
    </row>
    <row r="975">
      <c r="C975" s="6" t="n"/>
      <c r="E975" s="7" t="n"/>
      <c r="F975" s="8" t="n"/>
      <c r="G975" s="8" t="n"/>
      <c r="H975" s="8" t="n"/>
      <c r="J975" s="7" t="n"/>
      <c r="K975" s="8" t="n"/>
      <c r="L975" s="7" t="n"/>
      <c r="M975" s="8" t="n"/>
      <c r="N975" s="7" t="n"/>
      <c r="O975" s="8" t="n"/>
      <c r="P975" s="6" t="n"/>
      <c r="Q975" s="8" t="n"/>
      <c r="S975" s="8">
        <f>IF(B975="","",E975*F975)</f>
        <v/>
      </c>
      <c r="T975" s="8">
        <f>IF(OR(B975="",N(G975)=0),"",ABS(F975-G975)*E975)</f>
        <v/>
      </c>
      <c r="U975" s="8">
        <f>IF(OR(B975="",P975=""),"",IF(D975="Venda",-1,1)*((N(J975)*N(K975)+N(L975)*N(M975)+N(N975)*N(O975))-(N(J975)+N(L975)+N(N975))*F975)-N(Q975))</f>
        <v/>
      </c>
      <c r="V975" s="9">
        <f>IF(OR(B975="",P975=""),"",U975/S975)</f>
        <v/>
      </c>
      <c r="W975">
        <f>IF(OR(B975="",P975=""),"",NETWORKDAYS(C975,P975)-1)</f>
        <v/>
      </c>
      <c r="X975">
        <f>IF(B975="","",IF(P975="","Aberto","Fechado"))</f>
        <v/>
      </c>
    </row>
    <row r="976">
      <c r="C976" s="6" t="n"/>
      <c r="E976" s="7" t="n"/>
      <c r="F976" s="8" t="n"/>
      <c r="G976" s="8" t="n"/>
      <c r="H976" s="8" t="n"/>
      <c r="J976" s="7" t="n"/>
      <c r="K976" s="8" t="n"/>
      <c r="L976" s="7" t="n"/>
      <c r="M976" s="8" t="n"/>
      <c r="N976" s="7" t="n"/>
      <c r="O976" s="8" t="n"/>
      <c r="P976" s="6" t="n"/>
      <c r="Q976" s="8" t="n"/>
      <c r="S976" s="8">
        <f>IF(B976="","",E976*F976)</f>
        <v/>
      </c>
      <c r="T976" s="8">
        <f>IF(OR(B976="",N(G976)=0),"",ABS(F976-G976)*E976)</f>
        <v/>
      </c>
      <c r="U976" s="8">
        <f>IF(OR(B976="",P976=""),"",IF(D976="Venda",-1,1)*((N(J976)*N(K976)+N(L976)*N(M976)+N(N976)*N(O976))-(N(J976)+N(L976)+N(N976))*F976)-N(Q976))</f>
        <v/>
      </c>
      <c r="V976" s="9">
        <f>IF(OR(B976="",P976=""),"",U976/S976)</f>
        <v/>
      </c>
      <c r="W976">
        <f>IF(OR(B976="",P976=""),"",NETWORKDAYS(C976,P976)-1)</f>
        <v/>
      </c>
      <c r="X976">
        <f>IF(B976="","",IF(P976="","Aberto","Fechado"))</f>
        <v/>
      </c>
    </row>
    <row r="977">
      <c r="C977" s="6" t="n"/>
      <c r="E977" s="7" t="n"/>
      <c r="F977" s="8" t="n"/>
      <c r="G977" s="8" t="n"/>
      <c r="H977" s="8" t="n"/>
      <c r="J977" s="7" t="n"/>
      <c r="K977" s="8" t="n"/>
      <c r="L977" s="7" t="n"/>
      <c r="M977" s="8" t="n"/>
      <c r="N977" s="7" t="n"/>
      <c r="O977" s="8" t="n"/>
      <c r="P977" s="6" t="n"/>
      <c r="Q977" s="8" t="n"/>
      <c r="S977" s="8">
        <f>IF(B977="","",E977*F977)</f>
        <v/>
      </c>
      <c r="T977" s="8">
        <f>IF(OR(B977="",N(G977)=0),"",ABS(F977-G977)*E977)</f>
        <v/>
      </c>
      <c r="U977" s="8">
        <f>IF(OR(B977="",P977=""),"",IF(D977="Venda",-1,1)*((N(J977)*N(K977)+N(L977)*N(M977)+N(N977)*N(O977))-(N(J977)+N(L977)+N(N977))*F977)-N(Q977))</f>
        <v/>
      </c>
      <c r="V977" s="9">
        <f>IF(OR(B977="",P977=""),"",U977/S977)</f>
        <v/>
      </c>
      <c r="W977">
        <f>IF(OR(B977="",P977=""),"",NETWORKDAYS(C977,P977)-1)</f>
        <v/>
      </c>
      <c r="X977">
        <f>IF(B977="","",IF(P977="","Aberto","Fechado"))</f>
        <v/>
      </c>
    </row>
    <row r="978">
      <c r="C978" s="6" t="n"/>
      <c r="E978" s="7" t="n"/>
      <c r="F978" s="8" t="n"/>
      <c r="G978" s="8" t="n"/>
      <c r="H978" s="8" t="n"/>
      <c r="J978" s="7" t="n"/>
      <c r="K978" s="8" t="n"/>
      <c r="L978" s="7" t="n"/>
      <c r="M978" s="8" t="n"/>
      <c r="N978" s="7" t="n"/>
      <c r="O978" s="8" t="n"/>
      <c r="P978" s="6" t="n"/>
      <c r="Q978" s="8" t="n"/>
      <c r="S978" s="8">
        <f>IF(B978="","",E978*F978)</f>
        <v/>
      </c>
      <c r="T978" s="8">
        <f>IF(OR(B978="",N(G978)=0),"",ABS(F978-G978)*E978)</f>
        <v/>
      </c>
      <c r="U978" s="8">
        <f>IF(OR(B978="",P978=""),"",IF(D978="Venda",-1,1)*((N(J978)*N(K978)+N(L978)*N(M978)+N(N978)*N(O978))-(N(J978)+N(L978)+N(N978))*F978)-N(Q978))</f>
        <v/>
      </c>
      <c r="V978" s="9">
        <f>IF(OR(B978="",P978=""),"",U978/S978)</f>
        <v/>
      </c>
      <c r="W978">
        <f>IF(OR(B978="",P978=""),"",NETWORKDAYS(C978,P978)-1)</f>
        <v/>
      </c>
      <c r="X978">
        <f>IF(B978="","",IF(P978="","Aberto","Fechado"))</f>
        <v/>
      </c>
    </row>
    <row r="979">
      <c r="C979" s="6" t="n"/>
      <c r="E979" s="7" t="n"/>
      <c r="F979" s="8" t="n"/>
      <c r="G979" s="8" t="n"/>
      <c r="H979" s="8" t="n"/>
      <c r="J979" s="7" t="n"/>
      <c r="K979" s="8" t="n"/>
      <c r="L979" s="7" t="n"/>
      <c r="M979" s="8" t="n"/>
      <c r="N979" s="7" t="n"/>
      <c r="O979" s="8" t="n"/>
      <c r="P979" s="6" t="n"/>
      <c r="Q979" s="8" t="n"/>
      <c r="S979" s="8">
        <f>IF(B979="","",E979*F979)</f>
        <v/>
      </c>
      <c r="T979" s="8">
        <f>IF(OR(B979="",N(G979)=0),"",ABS(F979-G979)*E979)</f>
        <v/>
      </c>
      <c r="U979" s="8">
        <f>IF(OR(B979="",P979=""),"",IF(D979="Venda",-1,1)*((N(J979)*N(K979)+N(L979)*N(M979)+N(N979)*N(O979))-(N(J979)+N(L979)+N(N979))*F979)-N(Q979))</f>
        <v/>
      </c>
      <c r="V979" s="9">
        <f>IF(OR(B979="",P979=""),"",U979/S979)</f>
        <v/>
      </c>
      <c r="W979">
        <f>IF(OR(B979="",P979=""),"",NETWORKDAYS(C979,P979)-1)</f>
        <v/>
      </c>
      <c r="X979">
        <f>IF(B979="","",IF(P979="","Aberto","Fechado"))</f>
        <v/>
      </c>
    </row>
    <row r="980">
      <c r="C980" s="6" t="n"/>
      <c r="E980" s="7" t="n"/>
      <c r="F980" s="8" t="n"/>
      <c r="G980" s="8" t="n"/>
      <c r="H980" s="8" t="n"/>
      <c r="J980" s="7" t="n"/>
      <c r="K980" s="8" t="n"/>
      <c r="L980" s="7" t="n"/>
      <c r="M980" s="8" t="n"/>
      <c r="N980" s="7" t="n"/>
      <c r="O980" s="8" t="n"/>
      <c r="P980" s="6" t="n"/>
      <c r="Q980" s="8" t="n"/>
      <c r="S980" s="8">
        <f>IF(B980="","",E980*F980)</f>
        <v/>
      </c>
      <c r="T980" s="8">
        <f>IF(OR(B980="",N(G980)=0),"",ABS(F980-G980)*E980)</f>
        <v/>
      </c>
      <c r="U980" s="8">
        <f>IF(OR(B980="",P980=""),"",IF(D980="Venda",-1,1)*((N(J980)*N(K980)+N(L980)*N(M980)+N(N980)*N(O980))-(N(J980)+N(L980)+N(N980))*F980)-N(Q980))</f>
        <v/>
      </c>
      <c r="V980" s="9">
        <f>IF(OR(B980="",P980=""),"",U980/S980)</f>
        <v/>
      </c>
      <c r="W980">
        <f>IF(OR(B980="",P980=""),"",NETWORKDAYS(C980,P980)-1)</f>
        <v/>
      </c>
      <c r="X980">
        <f>IF(B980="","",IF(P980="","Aberto","Fechado"))</f>
        <v/>
      </c>
    </row>
    <row r="981">
      <c r="C981" s="6" t="n"/>
      <c r="E981" s="7" t="n"/>
      <c r="F981" s="8" t="n"/>
      <c r="G981" s="8" t="n"/>
      <c r="H981" s="8" t="n"/>
      <c r="J981" s="7" t="n"/>
      <c r="K981" s="8" t="n"/>
      <c r="L981" s="7" t="n"/>
      <c r="M981" s="8" t="n"/>
      <c r="N981" s="7" t="n"/>
      <c r="O981" s="8" t="n"/>
      <c r="P981" s="6" t="n"/>
      <c r="Q981" s="8" t="n"/>
      <c r="S981" s="8">
        <f>IF(B981="","",E981*F981)</f>
        <v/>
      </c>
      <c r="T981" s="8">
        <f>IF(OR(B981="",N(G981)=0),"",ABS(F981-G981)*E981)</f>
        <v/>
      </c>
      <c r="U981" s="8">
        <f>IF(OR(B981="",P981=""),"",IF(D981="Venda",-1,1)*((N(J981)*N(K981)+N(L981)*N(M981)+N(N981)*N(O981))-(N(J981)+N(L981)+N(N981))*F981)-N(Q981))</f>
        <v/>
      </c>
      <c r="V981" s="9">
        <f>IF(OR(B981="",P981=""),"",U981/S981)</f>
        <v/>
      </c>
      <c r="W981">
        <f>IF(OR(B981="",P981=""),"",NETWORKDAYS(C981,P981)-1)</f>
        <v/>
      </c>
      <c r="X981">
        <f>IF(B981="","",IF(P981="","Aberto","Fechado"))</f>
        <v/>
      </c>
    </row>
    <row r="982">
      <c r="C982" s="6" t="n"/>
      <c r="E982" s="7" t="n"/>
      <c r="F982" s="8" t="n"/>
      <c r="G982" s="8" t="n"/>
      <c r="H982" s="8" t="n"/>
      <c r="J982" s="7" t="n"/>
      <c r="K982" s="8" t="n"/>
      <c r="L982" s="7" t="n"/>
      <c r="M982" s="8" t="n"/>
      <c r="N982" s="7" t="n"/>
      <c r="O982" s="8" t="n"/>
      <c r="P982" s="6" t="n"/>
      <c r="Q982" s="8" t="n"/>
      <c r="S982" s="8">
        <f>IF(B982="","",E982*F982)</f>
        <v/>
      </c>
      <c r="T982" s="8">
        <f>IF(OR(B982="",N(G982)=0),"",ABS(F982-G982)*E982)</f>
        <v/>
      </c>
      <c r="U982" s="8">
        <f>IF(OR(B982="",P982=""),"",IF(D982="Venda",-1,1)*((N(J982)*N(K982)+N(L982)*N(M982)+N(N982)*N(O982))-(N(J982)+N(L982)+N(N982))*F982)-N(Q982))</f>
        <v/>
      </c>
      <c r="V982" s="9">
        <f>IF(OR(B982="",P982=""),"",U982/S982)</f>
        <v/>
      </c>
      <c r="W982">
        <f>IF(OR(B982="",P982=""),"",NETWORKDAYS(C982,P982)-1)</f>
        <v/>
      </c>
      <c r="X982">
        <f>IF(B982="","",IF(P982="","Aberto","Fechado"))</f>
        <v/>
      </c>
    </row>
    <row r="983">
      <c r="C983" s="6" t="n"/>
      <c r="E983" s="7" t="n"/>
      <c r="F983" s="8" t="n"/>
      <c r="G983" s="8" t="n"/>
      <c r="H983" s="8" t="n"/>
      <c r="J983" s="7" t="n"/>
      <c r="K983" s="8" t="n"/>
      <c r="L983" s="7" t="n"/>
      <c r="M983" s="8" t="n"/>
      <c r="N983" s="7" t="n"/>
      <c r="O983" s="8" t="n"/>
      <c r="P983" s="6" t="n"/>
      <c r="Q983" s="8" t="n"/>
      <c r="S983" s="8">
        <f>IF(B983="","",E983*F983)</f>
        <v/>
      </c>
      <c r="T983" s="8">
        <f>IF(OR(B983="",N(G983)=0),"",ABS(F983-G983)*E983)</f>
        <v/>
      </c>
      <c r="U983" s="8">
        <f>IF(OR(B983="",P983=""),"",IF(D983="Venda",-1,1)*((N(J983)*N(K983)+N(L983)*N(M983)+N(N983)*N(O983))-(N(J983)+N(L983)+N(N983))*F983)-N(Q983))</f>
        <v/>
      </c>
      <c r="V983" s="9">
        <f>IF(OR(B983="",P983=""),"",U983/S983)</f>
        <v/>
      </c>
      <c r="W983">
        <f>IF(OR(B983="",P983=""),"",NETWORKDAYS(C983,P983)-1)</f>
        <v/>
      </c>
      <c r="X983">
        <f>IF(B983="","",IF(P983="","Aberto","Fechado"))</f>
        <v/>
      </c>
    </row>
    <row r="984">
      <c r="C984" s="6" t="n"/>
      <c r="E984" s="7" t="n"/>
      <c r="F984" s="8" t="n"/>
      <c r="G984" s="8" t="n"/>
      <c r="H984" s="8" t="n"/>
      <c r="J984" s="7" t="n"/>
      <c r="K984" s="8" t="n"/>
      <c r="L984" s="7" t="n"/>
      <c r="M984" s="8" t="n"/>
      <c r="N984" s="7" t="n"/>
      <c r="O984" s="8" t="n"/>
      <c r="P984" s="6" t="n"/>
      <c r="Q984" s="8" t="n"/>
      <c r="S984" s="8">
        <f>IF(B984="","",E984*F984)</f>
        <v/>
      </c>
      <c r="T984" s="8">
        <f>IF(OR(B984="",N(G984)=0),"",ABS(F984-G984)*E984)</f>
        <v/>
      </c>
      <c r="U984" s="8">
        <f>IF(OR(B984="",P984=""),"",IF(D984="Venda",-1,1)*((N(J984)*N(K984)+N(L984)*N(M984)+N(N984)*N(O984))-(N(J984)+N(L984)+N(N984))*F984)-N(Q984))</f>
        <v/>
      </c>
      <c r="V984" s="9">
        <f>IF(OR(B984="",P984=""),"",U984/S984)</f>
        <v/>
      </c>
      <c r="W984">
        <f>IF(OR(B984="",P984=""),"",NETWORKDAYS(C984,P984)-1)</f>
        <v/>
      </c>
      <c r="X984">
        <f>IF(B984="","",IF(P984="","Aberto","Fechado"))</f>
        <v/>
      </c>
    </row>
    <row r="985">
      <c r="C985" s="6" t="n"/>
      <c r="E985" s="7" t="n"/>
      <c r="F985" s="8" t="n"/>
      <c r="G985" s="8" t="n"/>
      <c r="H985" s="8" t="n"/>
      <c r="J985" s="7" t="n"/>
      <c r="K985" s="8" t="n"/>
      <c r="L985" s="7" t="n"/>
      <c r="M985" s="8" t="n"/>
      <c r="N985" s="7" t="n"/>
      <c r="O985" s="8" t="n"/>
      <c r="P985" s="6" t="n"/>
      <c r="Q985" s="8" t="n"/>
      <c r="S985" s="8">
        <f>IF(B985="","",E985*F985)</f>
        <v/>
      </c>
      <c r="T985" s="8">
        <f>IF(OR(B985="",N(G985)=0),"",ABS(F985-G985)*E985)</f>
        <v/>
      </c>
      <c r="U985" s="8">
        <f>IF(OR(B985="",P985=""),"",IF(D985="Venda",-1,1)*((N(J985)*N(K985)+N(L985)*N(M985)+N(N985)*N(O985))-(N(J985)+N(L985)+N(N985))*F985)-N(Q985))</f>
        <v/>
      </c>
      <c r="V985" s="9">
        <f>IF(OR(B985="",P985=""),"",U985/S985)</f>
        <v/>
      </c>
      <c r="W985">
        <f>IF(OR(B985="",P985=""),"",NETWORKDAYS(C985,P985)-1)</f>
        <v/>
      </c>
      <c r="X985">
        <f>IF(B985="","",IF(P985="","Aberto","Fechado"))</f>
        <v/>
      </c>
    </row>
    <row r="986">
      <c r="C986" s="6" t="n"/>
      <c r="E986" s="7" t="n"/>
      <c r="F986" s="8" t="n"/>
      <c r="G986" s="8" t="n"/>
      <c r="H986" s="8" t="n"/>
      <c r="J986" s="7" t="n"/>
      <c r="K986" s="8" t="n"/>
      <c r="L986" s="7" t="n"/>
      <c r="M986" s="8" t="n"/>
      <c r="N986" s="7" t="n"/>
      <c r="O986" s="8" t="n"/>
      <c r="P986" s="6" t="n"/>
      <c r="Q986" s="8" t="n"/>
      <c r="S986" s="8">
        <f>IF(B986="","",E986*F986)</f>
        <v/>
      </c>
      <c r="T986" s="8">
        <f>IF(OR(B986="",N(G986)=0),"",ABS(F986-G986)*E986)</f>
        <v/>
      </c>
      <c r="U986" s="8">
        <f>IF(OR(B986="",P986=""),"",IF(D986="Venda",-1,1)*((N(J986)*N(K986)+N(L986)*N(M986)+N(N986)*N(O986))-(N(J986)+N(L986)+N(N986))*F986)-N(Q986))</f>
        <v/>
      </c>
      <c r="V986" s="9">
        <f>IF(OR(B986="",P986=""),"",U986/S986)</f>
        <v/>
      </c>
      <c r="W986">
        <f>IF(OR(B986="",P986=""),"",NETWORKDAYS(C986,P986)-1)</f>
        <v/>
      </c>
      <c r="X986">
        <f>IF(B986="","",IF(P986="","Aberto","Fechado"))</f>
        <v/>
      </c>
    </row>
    <row r="987">
      <c r="C987" s="6" t="n"/>
      <c r="E987" s="7" t="n"/>
      <c r="F987" s="8" t="n"/>
      <c r="G987" s="8" t="n"/>
      <c r="H987" s="8" t="n"/>
      <c r="J987" s="7" t="n"/>
      <c r="K987" s="8" t="n"/>
      <c r="L987" s="7" t="n"/>
      <c r="M987" s="8" t="n"/>
      <c r="N987" s="7" t="n"/>
      <c r="O987" s="8" t="n"/>
      <c r="P987" s="6" t="n"/>
      <c r="Q987" s="8" t="n"/>
      <c r="S987" s="8">
        <f>IF(B987="","",E987*F987)</f>
        <v/>
      </c>
      <c r="T987" s="8">
        <f>IF(OR(B987="",N(G987)=0),"",ABS(F987-G987)*E987)</f>
        <v/>
      </c>
      <c r="U987" s="8">
        <f>IF(OR(B987="",P987=""),"",IF(D987="Venda",-1,1)*((N(J987)*N(K987)+N(L987)*N(M987)+N(N987)*N(O987))-(N(J987)+N(L987)+N(N987))*F987)-N(Q987))</f>
        <v/>
      </c>
      <c r="V987" s="9">
        <f>IF(OR(B987="",P987=""),"",U987/S987)</f>
        <v/>
      </c>
      <c r="W987">
        <f>IF(OR(B987="",P987=""),"",NETWORKDAYS(C987,P987)-1)</f>
        <v/>
      </c>
      <c r="X987">
        <f>IF(B987="","",IF(P987="","Aberto","Fechado"))</f>
        <v/>
      </c>
    </row>
    <row r="988">
      <c r="C988" s="6" t="n"/>
      <c r="E988" s="7" t="n"/>
      <c r="F988" s="8" t="n"/>
      <c r="G988" s="8" t="n"/>
      <c r="H988" s="8" t="n"/>
      <c r="J988" s="7" t="n"/>
      <c r="K988" s="8" t="n"/>
      <c r="L988" s="7" t="n"/>
      <c r="M988" s="8" t="n"/>
      <c r="N988" s="7" t="n"/>
      <c r="O988" s="8" t="n"/>
      <c r="P988" s="6" t="n"/>
      <c r="Q988" s="8" t="n"/>
      <c r="S988" s="8">
        <f>IF(B988="","",E988*F988)</f>
        <v/>
      </c>
      <c r="T988" s="8">
        <f>IF(OR(B988="",N(G988)=0),"",ABS(F988-G988)*E988)</f>
        <v/>
      </c>
      <c r="U988" s="8">
        <f>IF(OR(B988="",P988=""),"",IF(D988="Venda",-1,1)*((N(J988)*N(K988)+N(L988)*N(M988)+N(N988)*N(O988))-(N(J988)+N(L988)+N(N988))*F988)-N(Q988))</f>
        <v/>
      </c>
      <c r="V988" s="9">
        <f>IF(OR(B988="",P988=""),"",U988/S988)</f>
        <v/>
      </c>
      <c r="W988">
        <f>IF(OR(B988="",P988=""),"",NETWORKDAYS(C988,P988)-1)</f>
        <v/>
      </c>
      <c r="X988">
        <f>IF(B988="","",IF(P988="","Aberto","Fechado"))</f>
        <v/>
      </c>
    </row>
    <row r="989">
      <c r="C989" s="6" t="n"/>
      <c r="E989" s="7" t="n"/>
      <c r="F989" s="8" t="n"/>
      <c r="G989" s="8" t="n"/>
      <c r="H989" s="8" t="n"/>
      <c r="J989" s="7" t="n"/>
      <c r="K989" s="8" t="n"/>
      <c r="L989" s="7" t="n"/>
      <c r="M989" s="8" t="n"/>
      <c r="N989" s="7" t="n"/>
      <c r="O989" s="8" t="n"/>
      <c r="P989" s="6" t="n"/>
      <c r="Q989" s="8" t="n"/>
      <c r="S989" s="8">
        <f>IF(B989="","",E989*F989)</f>
        <v/>
      </c>
      <c r="T989" s="8">
        <f>IF(OR(B989="",N(G989)=0),"",ABS(F989-G989)*E989)</f>
        <v/>
      </c>
      <c r="U989" s="8">
        <f>IF(OR(B989="",P989=""),"",IF(D989="Venda",-1,1)*((N(J989)*N(K989)+N(L989)*N(M989)+N(N989)*N(O989))-(N(J989)+N(L989)+N(N989))*F989)-N(Q989))</f>
        <v/>
      </c>
      <c r="V989" s="9">
        <f>IF(OR(B989="",P989=""),"",U989/S989)</f>
        <v/>
      </c>
      <c r="W989">
        <f>IF(OR(B989="",P989=""),"",NETWORKDAYS(C989,P989)-1)</f>
        <v/>
      </c>
      <c r="X989">
        <f>IF(B989="","",IF(P989="","Aberto","Fechado"))</f>
        <v/>
      </c>
    </row>
    <row r="990">
      <c r="C990" s="6" t="n"/>
      <c r="E990" s="7" t="n"/>
      <c r="F990" s="8" t="n"/>
      <c r="G990" s="8" t="n"/>
      <c r="H990" s="8" t="n"/>
      <c r="J990" s="7" t="n"/>
      <c r="K990" s="8" t="n"/>
      <c r="L990" s="7" t="n"/>
      <c r="M990" s="8" t="n"/>
      <c r="N990" s="7" t="n"/>
      <c r="O990" s="8" t="n"/>
      <c r="P990" s="6" t="n"/>
      <c r="Q990" s="8" t="n"/>
      <c r="S990" s="8">
        <f>IF(B990="","",E990*F990)</f>
        <v/>
      </c>
      <c r="T990" s="8">
        <f>IF(OR(B990="",N(G990)=0),"",ABS(F990-G990)*E990)</f>
        <v/>
      </c>
      <c r="U990" s="8">
        <f>IF(OR(B990="",P990=""),"",IF(D990="Venda",-1,1)*((N(J990)*N(K990)+N(L990)*N(M990)+N(N990)*N(O990))-(N(J990)+N(L990)+N(N990))*F990)-N(Q990))</f>
        <v/>
      </c>
      <c r="V990" s="9">
        <f>IF(OR(B990="",P990=""),"",U990/S990)</f>
        <v/>
      </c>
      <c r="W990">
        <f>IF(OR(B990="",P990=""),"",NETWORKDAYS(C990,P990)-1)</f>
        <v/>
      </c>
      <c r="X990">
        <f>IF(B990="","",IF(P990="","Aberto","Fechado"))</f>
        <v/>
      </c>
    </row>
    <row r="991">
      <c r="C991" s="6" t="n"/>
      <c r="E991" s="7" t="n"/>
      <c r="F991" s="8" t="n"/>
      <c r="G991" s="8" t="n"/>
      <c r="H991" s="8" t="n"/>
      <c r="J991" s="7" t="n"/>
      <c r="K991" s="8" t="n"/>
      <c r="L991" s="7" t="n"/>
      <c r="M991" s="8" t="n"/>
      <c r="N991" s="7" t="n"/>
      <c r="O991" s="8" t="n"/>
      <c r="P991" s="6" t="n"/>
      <c r="Q991" s="8" t="n"/>
      <c r="S991" s="8">
        <f>IF(B991="","",E991*F991)</f>
        <v/>
      </c>
      <c r="T991" s="8">
        <f>IF(OR(B991="",N(G991)=0),"",ABS(F991-G991)*E991)</f>
        <v/>
      </c>
      <c r="U991" s="8">
        <f>IF(OR(B991="",P991=""),"",IF(D991="Venda",-1,1)*((N(J991)*N(K991)+N(L991)*N(M991)+N(N991)*N(O991))-(N(J991)+N(L991)+N(N991))*F991)-N(Q991))</f>
        <v/>
      </c>
      <c r="V991" s="9">
        <f>IF(OR(B991="",P991=""),"",U991/S991)</f>
        <v/>
      </c>
      <c r="W991">
        <f>IF(OR(B991="",P991=""),"",NETWORKDAYS(C991,P991)-1)</f>
        <v/>
      </c>
      <c r="X991">
        <f>IF(B991="","",IF(P991="","Aberto","Fechado"))</f>
        <v/>
      </c>
    </row>
    <row r="992">
      <c r="C992" s="6" t="n"/>
      <c r="E992" s="7" t="n"/>
      <c r="F992" s="8" t="n"/>
      <c r="G992" s="8" t="n"/>
      <c r="H992" s="8" t="n"/>
      <c r="J992" s="7" t="n"/>
      <c r="K992" s="8" t="n"/>
      <c r="L992" s="7" t="n"/>
      <c r="M992" s="8" t="n"/>
      <c r="N992" s="7" t="n"/>
      <c r="O992" s="8" t="n"/>
      <c r="P992" s="6" t="n"/>
      <c r="Q992" s="8" t="n"/>
      <c r="S992" s="8">
        <f>IF(B992="","",E992*F992)</f>
        <v/>
      </c>
      <c r="T992" s="8">
        <f>IF(OR(B992="",N(G992)=0),"",ABS(F992-G992)*E992)</f>
        <v/>
      </c>
      <c r="U992" s="8">
        <f>IF(OR(B992="",P992=""),"",IF(D992="Venda",-1,1)*((N(J992)*N(K992)+N(L992)*N(M992)+N(N992)*N(O992))-(N(J992)+N(L992)+N(N992))*F992)-N(Q992))</f>
        <v/>
      </c>
      <c r="V992" s="9">
        <f>IF(OR(B992="",P992=""),"",U992/S992)</f>
        <v/>
      </c>
      <c r="W992">
        <f>IF(OR(B992="",P992=""),"",NETWORKDAYS(C992,P992)-1)</f>
        <v/>
      </c>
      <c r="X992">
        <f>IF(B992="","",IF(P992="","Aberto","Fechado"))</f>
        <v/>
      </c>
    </row>
    <row r="993">
      <c r="C993" s="6" t="n"/>
      <c r="E993" s="7" t="n"/>
      <c r="F993" s="8" t="n"/>
      <c r="G993" s="8" t="n"/>
      <c r="H993" s="8" t="n"/>
      <c r="J993" s="7" t="n"/>
      <c r="K993" s="8" t="n"/>
      <c r="L993" s="7" t="n"/>
      <c r="M993" s="8" t="n"/>
      <c r="N993" s="7" t="n"/>
      <c r="O993" s="8" t="n"/>
      <c r="P993" s="6" t="n"/>
      <c r="Q993" s="8" t="n"/>
      <c r="S993" s="8">
        <f>IF(B993="","",E993*F993)</f>
        <v/>
      </c>
      <c r="T993" s="8">
        <f>IF(OR(B993="",N(G993)=0),"",ABS(F993-G993)*E993)</f>
        <v/>
      </c>
      <c r="U993" s="8">
        <f>IF(OR(B993="",P993=""),"",IF(D993="Venda",-1,1)*((N(J993)*N(K993)+N(L993)*N(M993)+N(N993)*N(O993))-(N(J993)+N(L993)+N(N993))*F993)-N(Q993))</f>
        <v/>
      </c>
      <c r="V993" s="9">
        <f>IF(OR(B993="",P993=""),"",U993/S993)</f>
        <v/>
      </c>
      <c r="W993">
        <f>IF(OR(B993="",P993=""),"",NETWORKDAYS(C993,P993)-1)</f>
        <v/>
      </c>
      <c r="X993">
        <f>IF(B993="","",IF(P993="","Aberto","Fechado"))</f>
        <v/>
      </c>
    </row>
    <row r="994">
      <c r="C994" s="6" t="n"/>
      <c r="E994" s="7" t="n"/>
      <c r="F994" s="8" t="n"/>
      <c r="G994" s="8" t="n"/>
      <c r="H994" s="8" t="n"/>
      <c r="J994" s="7" t="n"/>
      <c r="K994" s="8" t="n"/>
      <c r="L994" s="7" t="n"/>
      <c r="M994" s="8" t="n"/>
      <c r="N994" s="7" t="n"/>
      <c r="O994" s="8" t="n"/>
      <c r="P994" s="6" t="n"/>
      <c r="Q994" s="8" t="n"/>
      <c r="S994" s="8">
        <f>IF(B994="","",E994*F994)</f>
        <v/>
      </c>
      <c r="T994" s="8">
        <f>IF(OR(B994="",N(G994)=0),"",ABS(F994-G994)*E994)</f>
        <v/>
      </c>
      <c r="U994" s="8">
        <f>IF(OR(B994="",P994=""),"",IF(D994="Venda",-1,1)*((N(J994)*N(K994)+N(L994)*N(M994)+N(N994)*N(O994))-(N(J994)+N(L994)+N(N994))*F994)-N(Q994))</f>
        <v/>
      </c>
      <c r="V994" s="9">
        <f>IF(OR(B994="",P994=""),"",U994/S994)</f>
        <v/>
      </c>
      <c r="W994">
        <f>IF(OR(B994="",P994=""),"",NETWORKDAYS(C994,P994)-1)</f>
        <v/>
      </c>
      <c r="X994">
        <f>IF(B994="","",IF(P994="","Aberto","Fechado"))</f>
        <v/>
      </c>
    </row>
    <row r="995">
      <c r="C995" s="6" t="n"/>
      <c r="E995" s="7" t="n"/>
      <c r="F995" s="8" t="n"/>
      <c r="G995" s="8" t="n"/>
      <c r="H995" s="8" t="n"/>
      <c r="J995" s="7" t="n"/>
      <c r="K995" s="8" t="n"/>
      <c r="L995" s="7" t="n"/>
      <c r="M995" s="8" t="n"/>
      <c r="N995" s="7" t="n"/>
      <c r="O995" s="8" t="n"/>
      <c r="P995" s="6" t="n"/>
      <c r="Q995" s="8" t="n"/>
      <c r="S995" s="8">
        <f>IF(B995="","",E995*F995)</f>
        <v/>
      </c>
      <c r="T995" s="8">
        <f>IF(OR(B995="",N(G995)=0),"",ABS(F995-G995)*E995)</f>
        <v/>
      </c>
      <c r="U995" s="8">
        <f>IF(OR(B995="",P995=""),"",IF(D995="Venda",-1,1)*((N(J995)*N(K995)+N(L995)*N(M995)+N(N995)*N(O995))-(N(J995)+N(L995)+N(N995))*F995)-N(Q995))</f>
        <v/>
      </c>
      <c r="V995" s="9">
        <f>IF(OR(B995="",P995=""),"",U995/S995)</f>
        <v/>
      </c>
      <c r="W995">
        <f>IF(OR(B995="",P995=""),"",NETWORKDAYS(C995,P995)-1)</f>
        <v/>
      </c>
      <c r="X995">
        <f>IF(B995="","",IF(P995="","Aberto","Fechado"))</f>
        <v/>
      </c>
    </row>
    <row r="996">
      <c r="C996" s="6" t="n"/>
      <c r="E996" s="7" t="n"/>
      <c r="F996" s="8" t="n"/>
      <c r="G996" s="8" t="n"/>
      <c r="H996" s="8" t="n"/>
      <c r="J996" s="7" t="n"/>
      <c r="K996" s="8" t="n"/>
      <c r="L996" s="7" t="n"/>
      <c r="M996" s="8" t="n"/>
      <c r="N996" s="7" t="n"/>
      <c r="O996" s="8" t="n"/>
      <c r="P996" s="6" t="n"/>
      <c r="Q996" s="8" t="n"/>
      <c r="S996" s="8">
        <f>IF(B996="","",E996*F996)</f>
        <v/>
      </c>
      <c r="T996" s="8">
        <f>IF(OR(B996="",N(G996)=0),"",ABS(F996-G996)*E996)</f>
        <v/>
      </c>
      <c r="U996" s="8">
        <f>IF(OR(B996="",P996=""),"",IF(D996="Venda",-1,1)*((N(J996)*N(K996)+N(L996)*N(M996)+N(N996)*N(O996))-(N(J996)+N(L996)+N(N996))*F996)-N(Q996))</f>
        <v/>
      </c>
      <c r="V996" s="9">
        <f>IF(OR(B996="",P996=""),"",U996/S996)</f>
        <v/>
      </c>
      <c r="W996">
        <f>IF(OR(B996="",P996=""),"",NETWORKDAYS(C996,P996)-1)</f>
        <v/>
      </c>
      <c r="X996">
        <f>IF(B996="","",IF(P996="","Aberto","Fechado"))</f>
        <v/>
      </c>
    </row>
    <row r="997">
      <c r="C997" s="6" t="n"/>
      <c r="E997" s="7" t="n"/>
      <c r="F997" s="8" t="n"/>
      <c r="G997" s="8" t="n"/>
      <c r="H997" s="8" t="n"/>
      <c r="J997" s="7" t="n"/>
      <c r="K997" s="8" t="n"/>
      <c r="L997" s="7" t="n"/>
      <c r="M997" s="8" t="n"/>
      <c r="N997" s="7" t="n"/>
      <c r="O997" s="8" t="n"/>
      <c r="P997" s="6" t="n"/>
      <c r="Q997" s="8" t="n"/>
      <c r="S997" s="8">
        <f>IF(B997="","",E997*F997)</f>
        <v/>
      </c>
      <c r="T997" s="8">
        <f>IF(OR(B997="",N(G997)=0),"",ABS(F997-G997)*E997)</f>
        <v/>
      </c>
      <c r="U997" s="8">
        <f>IF(OR(B997="",P997=""),"",IF(D997="Venda",-1,1)*((N(J997)*N(K997)+N(L997)*N(M997)+N(N997)*N(O997))-(N(J997)+N(L997)+N(N997))*F997)-N(Q997))</f>
        <v/>
      </c>
      <c r="V997" s="9">
        <f>IF(OR(B997="",P997=""),"",U997/S997)</f>
        <v/>
      </c>
      <c r="W997">
        <f>IF(OR(B997="",P997=""),"",NETWORKDAYS(C997,P997)-1)</f>
        <v/>
      </c>
      <c r="X997">
        <f>IF(B997="","",IF(P997="","Aberto","Fechado"))</f>
        <v/>
      </c>
    </row>
    <row r="998">
      <c r="C998" s="6" t="n"/>
      <c r="E998" s="7" t="n"/>
      <c r="F998" s="8" t="n"/>
      <c r="G998" s="8" t="n"/>
      <c r="H998" s="8" t="n"/>
      <c r="J998" s="7" t="n"/>
      <c r="K998" s="8" t="n"/>
      <c r="L998" s="7" t="n"/>
      <c r="M998" s="8" t="n"/>
      <c r="N998" s="7" t="n"/>
      <c r="O998" s="8" t="n"/>
      <c r="P998" s="6" t="n"/>
      <c r="Q998" s="8" t="n"/>
      <c r="S998" s="8">
        <f>IF(B998="","",E998*F998)</f>
        <v/>
      </c>
      <c r="T998" s="8">
        <f>IF(OR(B998="",N(G998)=0),"",ABS(F998-G998)*E998)</f>
        <v/>
      </c>
      <c r="U998" s="8">
        <f>IF(OR(B998="",P998=""),"",IF(D998="Venda",-1,1)*((N(J998)*N(K998)+N(L998)*N(M998)+N(N998)*N(O998))-(N(J998)+N(L998)+N(N998))*F998)-N(Q998))</f>
        <v/>
      </c>
      <c r="V998" s="9">
        <f>IF(OR(B998="",P998=""),"",U998/S998)</f>
        <v/>
      </c>
      <c r="W998">
        <f>IF(OR(B998="",P998=""),"",NETWORKDAYS(C998,P998)-1)</f>
        <v/>
      </c>
      <c r="X998">
        <f>IF(B998="","",IF(P998="","Aberto","Fechado"))</f>
        <v/>
      </c>
    </row>
    <row r="999">
      <c r="C999" s="6" t="n"/>
      <c r="E999" s="7" t="n"/>
      <c r="F999" s="8" t="n"/>
      <c r="G999" s="8" t="n"/>
      <c r="H999" s="8" t="n"/>
      <c r="J999" s="7" t="n"/>
      <c r="K999" s="8" t="n"/>
      <c r="L999" s="7" t="n"/>
      <c r="M999" s="8" t="n"/>
      <c r="N999" s="7" t="n"/>
      <c r="O999" s="8" t="n"/>
      <c r="P999" s="6" t="n"/>
      <c r="Q999" s="8" t="n"/>
      <c r="S999" s="8">
        <f>IF(B999="","",E999*F999)</f>
        <v/>
      </c>
      <c r="T999" s="8">
        <f>IF(OR(B999="",N(G999)=0),"",ABS(F999-G999)*E999)</f>
        <v/>
      </c>
      <c r="U999" s="8">
        <f>IF(OR(B999="",P999=""),"",IF(D999="Venda",-1,1)*((N(J999)*N(K999)+N(L999)*N(M999)+N(N999)*N(O999))-(N(J999)+N(L999)+N(N999))*F999)-N(Q999))</f>
        <v/>
      </c>
      <c r="V999" s="9">
        <f>IF(OR(B999="",P999=""),"",U999/S999)</f>
        <v/>
      </c>
      <c r="W999">
        <f>IF(OR(B999="",P999=""),"",NETWORKDAYS(C999,P999)-1)</f>
        <v/>
      </c>
      <c r="X999">
        <f>IF(B999="","",IF(P999="","Aberto","Fechado"))</f>
        <v/>
      </c>
    </row>
    <row r="1000">
      <c r="C1000" s="6" t="n"/>
      <c r="E1000" s="7" t="n"/>
      <c r="F1000" s="8" t="n"/>
      <c r="G1000" s="8" t="n"/>
      <c r="H1000" s="8" t="n"/>
      <c r="J1000" s="7" t="n"/>
      <c r="K1000" s="8" t="n"/>
      <c r="L1000" s="7" t="n"/>
      <c r="M1000" s="8" t="n"/>
      <c r="N1000" s="7" t="n"/>
      <c r="O1000" s="8" t="n"/>
      <c r="P1000" s="6" t="n"/>
      <c r="Q1000" s="8" t="n"/>
      <c r="S1000" s="8">
        <f>IF(B1000="","",E1000*F1000)</f>
        <v/>
      </c>
      <c r="T1000" s="8">
        <f>IF(OR(B1000="",N(G1000)=0),"",ABS(F1000-G1000)*E1000)</f>
        <v/>
      </c>
      <c r="U1000" s="8">
        <f>IF(OR(B1000="",P1000=""),"",IF(D1000="Venda",-1,1)*((N(J1000)*N(K1000)+N(L1000)*N(M1000)+N(N1000)*N(O1000))-(N(J1000)+N(L1000)+N(N1000))*F1000)-N(Q1000))</f>
        <v/>
      </c>
      <c r="V1000" s="9">
        <f>IF(OR(B1000="",P1000=""),"",U1000/S1000)</f>
        <v/>
      </c>
      <c r="W1000">
        <f>IF(OR(B1000="",P1000=""),"",NETWORKDAYS(C1000,P1000)-1)</f>
        <v/>
      </c>
      <c r="X1000">
        <f>IF(B1000="","",IF(P1000="","Aberto","Fechado"))</f>
        <v/>
      </c>
    </row>
    <row r="1001">
      <c r="C1001" s="6" t="n"/>
      <c r="E1001" s="7" t="n"/>
      <c r="F1001" s="8" t="n"/>
      <c r="G1001" s="8" t="n"/>
      <c r="H1001" s="8" t="n"/>
      <c r="J1001" s="7" t="n"/>
      <c r="K1001" s="8" t="n"/>
      <c r="L1001" s="7" t="n"/>
      <c r="M1001" s="8" t="n"/>
      <c r="N1001" s="7" t="n"/>
      <c r="O1001" s="8" t="n"/>
      <c r="P1001" s="6" t="n"/>
      <c r="Q1001" s="8" t="n"/>
      <c r="S1001" s="8">
        <f>IF(B1001="","",E1001*F1001)</f>
        <v/>
      </c>
      <c r="T1001" s="8">
        <f>IF(OR(B1001="",N(G1001)=0),"",ABS(F1001-G1001)*E1001)</f>
        <v/>
      </c>
      <c r="U1001" s="8">
        <f>IF(OR(B1001="",P1001=""),"",IF(D1001="Venda",-1,1)*((N(J1001)*N(K1001)+N(L1001)*N(M1001)+N(N1001)*N(O1001))-(N(J1001)+N(L1001)+N(N1001))*F1001)-N(Q1001))</f>
        <v/>
      </c>
      <c r="V1001" s="9">
        <f>IF(OR(B1001="",P1001=""),"",U1001/S1001)</f>
        <v/>
      </c>
      <c r="W1001">
        <f>IF(OR(B1001="",P1001=""),"",NETWORKDAYS(C1001,P1001)-1)</f>
        <v/>
      </c>
      <c r="X1001">
        <f>IF(B1001="","",IF(P1001="","Aberto","Fechado"))</f>
        <v/>
      </c>
    </row>
  </sheetData>
  <autoFilter ref="A1:X1001"/>
  <dataValidations count="2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=Setups!$A$2:$A$100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3" customWidth="1" min="3" max="3"/>
    <col width="9" customWidth="1" min="4" max="4"/>
    <col width="11" customWidth="1" min="5" max="5"/>
    <col width="13" customWidth="1" min="6" max="6"/>
    <col width="10" customWidth="1" min="7" max="7"/>
    <col width="10" customWidth="1" min="8" max="8"/>
    <col width="20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3" customWidth="1" min="16" max="16"/>
    <col width="10" customWidth="1" min="17" max="17"/>
    <col width="36" customWidth="1" min="18" max="18"/>
    <col width="14" customWidth="1" min="19" max="19"/>
    <col width="12" customWidth="1" min="20" max="20"/>
    <col width="14" customWidth="1" min="21" max="21"/>
    <col width="12" customWidth="1" min="22" max="22"/>
    <col width="7" customWidth="1" min="23" max="23"/>
    <col width="10" customWidth="1" min="24" max="24"/>
  </cols>
  <sheetData>
    <row r="1" ht="32" customHeight="1">
      <c r="A1" s="4" t="inlineStr">
        <is>
          <t>Nº</t>
        </is>
      </c>
      <c r="B1" s="4" t="inlineStr">
        <is>
          <t>Ativo</t>
        </is>
      </c>
      <c r="C1" s="4" t="inlineStr">
        <is>
          <t>Data Entrada</t>
        </is>
      </c>
      <c r="D1" s="4" t="inlineStr">
        <is>
          <t>Lado</t>
        </is>
      </c>
      <c r="E1" s="4" t="inlineStr">
        <is>
          <t>Qtd Entrada</t>
        </is>
      </c>
      <c r="F1" s="4" t="inlineStr">
        <is>
          <t>Preço Entrada</t>
        </is>
      </c>
      <c r="G1" s="4" t="inlineStr">
        <is>
          <t>Stop</t>
        </is>
      </c>
      <c r="H1" s="4" t="inlineStr">
        <is>
          <t>Alvo</t>
        </is>
      </c>
      <c r="I1" s="4" t="inlineStr">
        <is>
          <t>Estratégia</t>
        </is>
      </c>
      <c r="J1" s="4" t="inlineStr">
        <is>
          <t>Qtd Saída 1</t>
        </is>
      </c>
      <c r="K1" s="4" t="inlineStr">
        <is>
          <t>Preço Saída 1</t>
        </is>
      </c>
      <c r="L1" s="4" t="inlineStr">
        <is>
          <t>Qtd Saída 2</t>
        </is>
      </c>
      <c r="M1" s="4" t="inlineStr">
        <is>
          <t>Preço Saída 2</t>
        </is>
      </c>
      <c r="N1" s="4" t="inlineStr">
        <is>
          <t>Qtd Saída 3</t>
        </is>
      </c>
      <c r="O1" s="4" t="inlineStr">
        <is>
          <t>Preço Saída 3</t>
        </is>
      </c>
      <c r="P1" s="4" t="inlineStr">
        <is>
          <t>Data Saída</t>
        </is>
      </c>
      <c r="Q1" s="4" t="inlineStr">
        <is>
          <t>Custos</t>
        </is>
      </c>
      <c r="R1" s="4" t="inlineStr">
        <is>
          <t>Observações</t>
        </is>
      </c>
      <c r="S1" s="5" t="inlineStr">
        <is>
          <t>Financeiro</t>
        </is>
      </c>
      <c r="T1" s="5" t="inlineStr">
        <is>
          <t>Risco</t>
        </is>
      </c>
      <c r="U1" s="5" t="inlineStr">
        <is>
          <t>Resultado</t>
        </is>
      </c>
      <c r="V1" s="5" t="inlineStr">
        <is>
          <t>Resultado %</t>
        </is>
      </c>
      <c r="W1" s="5" t="inlineStr">
        <is>
          <t>Dias</t>
        </is>
      </c>
      <c r="X1" s="5" t="inlineStr">
        <is>
          <t>Status</t>
        </is>
      </c>
    </row>
    <row r="2">
      <c r="C2" s="6" t="n"/>
      <c r="E2" s="10" t="n"/>
      <c r="F2" s="11" t="n"/>
      <c r="G2" s="11" t="n"/>
      <c r="H2" s="11" t="n"/>
      <c r="J2" s="10" t="n"/>
      <c r="K2" s="11" t="n"/>
      <c r="L2" s="10" t="n"/>
      <c r="M2" s="11" t="n"/>
      <c r="N2" s="10" t="n"/>
      <c r="O2" s="11" t="n"/>
      <c r="P2" s="6" t="n"/>
      <c r="Q2" s="11" t="n"/>
      <c r="S2" s="8">
        <f>IF(B2="","",E2*F2)</f>
        <v/>
      </c>
      <c r="T2" s="8">
        <f>IF(OR(B2="",N(G2)=0),"",ABS(F2-G2)*E2)</f>
        <v/>
      </c>
      <c r="U2" s="8">
        <f>IF(OR(B2="",P2=""),"",IF(D2="Venda",-1,1)*((N(J2)*N(K2)+N(L2)*N(M2)+N(N2)*N(O2))-(N(J2)+N(L2)+N(N2))*F2)-N(Q2))</f>
        <v/>
      </c>
      <c r="V2" s="9">
        <f>IF(OR(B2="",P2=""),"",U2/S2)</f>
        <v/>
      </c>
      <c r="W2">
        <f>IF(OR(B2="",P2=""),"",P2-C2)</f>
        <v/>
      </c>
      <c r="X2">
        <f>IF(B2="","",IF(P2="","Aberto","Fechado"))</f>
        <v/>
      </c>
    </row>
    <row r="3">
      <c r="C3" s="6" t="n"/>
      <c r="E3" s="10" t="n"/>
      <c r="F3" s="11" t="n"/>
      <c r="G3" s="11" t="n"/>
      <c r="H3" s="11" t="n"/>
      <c r="J3" s="10" t="n"/>
      <c r="K3" s="11" t="n"/>
      <c r="L3" s="10" t="n"/>
      <c r="M3" s="11" t="n"/>
      <c r="N3" s="10" t="n"/>
      <c r="O3" s="11" t="n"/>
      <c r="P3" s="6" t="n"/>
      <c r="Q3" s="11" t="n"/>
      <c r="S3" s="8">
        <f>IF(B3="","",E3*F3)</f>
        <v/>
      </c>
      <c r="T3" s="8">
        <f>IF(OR(B3="",N(G3)=0),"",ABS(F3-G3)*E3)</f>
        <v/>
      </c>
      <c r="U3" s="8">
        <f>IF(OR(B3="",P3=""),"",IF(D3="Venda",-1,1)*((N(J3)*N(K3)+N(L3)*N(M3)+N(N3)*N(O3))-(N(J3)+N(L3)+N(N3))*F3)-N(Q3))</f>
        <v/>
      </c>
      <c r="V3" s="9">
        <f>IF(OR(B3="",P3=""),"",U3/S3)</f>
        <v/>
      </c>
      <c r="W3">
        <f>IF(OR(B3="",P3=""),"",P3-C3)</f>
        <v/>
      </c>
      <c r="X3">
        <f>IF(B3="","",IF(P3="","Aberto","Fechado"))</f>
        <v/>
      </c>
    </row>
    <row r="4">
      <c r="C4" s="6" t="n"/>
      <c r="E4" s="10" t="n"/>
      <c r="F4" s="11" t="n"/>
      <c r="G4" s="11" t="n"/>
      <c r="H4" s="11" t="n"/>
      <c r="J4" s="10" t="n"/>
      <c r="K4" s="11" t="n"/>
      <c r="L4" s="10" t="n"/>
      <c r="M4" s="11" t="n"/>
      <c r="N4" s="10" t="n"/>
      <c r="O4" s="11" t="n"/>
      <c r="P4" s="6" t="n"/>
      <c r="Q4" s="11" t="n"/>
      <c r="S4" s="8">
        <f>IF(B4="","",E4*F4)</f>
        <v/>
      </c>
      <c r="T4" s="8">
        <f>IF(OR(B4="",N(G4)=0),"",ABS(F4-G4)*E4)</f>
        <v/>
      </c>
      <c r="U4" s="8">
        <f>IF(OR(B4="",P4=""),"",IF(D4="Venda",-1,1)*((N(J4)*N(K4)+N(L4)*N(M4)+N(N4)*N(O4))-(N(J4)+N(L4)+N(N4))*F4)-N(Q4))</f>
        <v/>
      </c>
      <c r="V4" s="9">
        <f>IF(OR(B4="",P4=""),"",U4/S4)</f>
        <v/>
      </c>
      <c r="W4">
        <f>IF(OR(B4="",P4=""),"",P4-C4)</f>
        <v/>
      </c>
      <c r="X4">
        <f>IF(B4="","",IF(P4="","Aberto","Fechado"))</f>
        <v/>
      </c>
    </row>
    <row r="5">
      <c r="C5" s="6" t="n"/>
      <c r="E5" s="10" t="n"/>
      <c r="F5" s="11" t="n"/>
      <c r="G5" s="11" t="n"/>
      <c r="H5" s="11" t="n"/>
      <c r="J5" s="10" t="n"/>
      <c r="K5" s="11" t="n"/>
      <c r="L5" s="10" t="n"/>
      <c r="M5" s="11" t="n"/>
      <c r="N5" s="10" t="n"/>
      <c r="O5" s="11" t="n"/>
      <c r="P5" s="6" t="n"/>
      <c r="Q5" s="11" t="n"/>
      <c r="S5" s="8">
        <f>IF(B5="","",E5*F5)</f>
        <v/>
      </c>
      <c r="T5" s="8">
        <f>IF(OR(B5="",N(G5)=0),"",ABS(F5-G5)*E5)</f>
        <v/>
      </c>
      <c r="U5" s="8">
        <f>IF(OR(B5="",P5=""),"",IF(D5="Venda",-1,1)*((N(J5)*N(K5)+N(L5)*N(M5)+N(N5)*N(O5))-(N(J5)+N(L5)+N(N5))*F5)-N(Q5))</f>
        <v/>
      </c>
      <c r="V5" s="9">
        <f>IF(OR(B5="",P5=""),"",U5/S5)</f>
        <v/>
      </c>
      <c r="W5">
        <f>IF(OR(B5="",P5=""),"",P5-C5)</f>
        <v/>
      </c>
      <c r="X5">
        <f>IF(B5="","",IF(P5="","Aberto","Fechado"))</f>
        <v/>
      </c>
    </row>
    <row r="6">
      <c r="C6" s="6" t="n"/>
      <c r="E6" s="10" t="n"/>
      <c r="F6" s="11" t="n"/>
      <c r="G6" s="11" t="n"/>
      <c r="H6" s="11" t="n"/>
      <c r="J6" s="10" t="n"/>
      <c r="K6" s="11" t="n"/>
      <c r="L6" s="10" t="n"/>
      <c r="M6" s="11" t="n"/>
      <c r="N6" s="10" t="n"/>
      <c r="O6" s="11" t="n"/>
      <c r="P6" s="6" t="n"/>
      <c r="Q6" s="11" t="n"/>
      <c r="S6" s="8">
        <f>IF(B6="","",E6*F6)</f>
        <v/>
      </c>
      <c r="T6" s="8">
        <f>IF(OR(B6="",N(G6)=0),"",ABS(F6-G6)*E6)</f>
        <v/>
      </c>
      <c r="U6" s="8">
        <f>IF(OR(B6="",P6=""),"",IF(D6="Venda",-1,1)*((N(J6)*N(K6)+N(L6)*N(M6)+N(N6)*N(O6))-(N(J6)+N(L6)+N(N6))*F6)-N(Q6))</f>
        <v/>
      </c>
      <c r="V6" s="9">
        <f>IF(OR(B6="",P6=""),"",U6/S6)</f>
        <v/>
      </c>
      <c r="W6">
        <f>IF(OR(B6="",P6=""),"",P6-C6)</f>
        <v/>
      </c>
      <c r="X6">
        <f>IF(B6="","",IF(P6="","Aberto","Fechado"))</f>
        <v/>
      </c>
    </row>
    <row r="7">
      <c r="C7" s="6" t="n"/>
      <c r="E7" s="10" t="n"/>
      <c r="F7" s="11" t="n"/>
      <c r="G7" s="11" t="n"/>
      <c r="H7" s="11" t="n"/>
      <c r="J7" s="10" t="n"/>
      <c r="K7" s="11" t="n"/>
      <c r="L7" s="10" t="n"/>
      <c r="M7" s="11" t="n"/>
      <c r="N7" s="10" t="n"/>
      <c r="O7" s="11" t="n"/>
      <c r="P7" s="6" t="n"/>
      <c r="Q7" s="11" t="n"/>
      <c r="S7" s="8">
        <f>IF(B7="","",E7*F7)</f>
        <v/>
      </c>
      <c r="T7" s="8">
        <f>IF(OR(B7="",N(G7)=0),"",ABS(F7-G7)*E7)</f>
        <v/>
      </c>
      <c r="U7" s="8">
        <f>IF(OR(B7="",P7=""),"",IF(D7="Venda",-1,1)*((N(J7)*N(K7)+N(L7)*N(M7)+N(N7)*N(O7))-(N(J7)+N(L7)+N(N7))*F7)-N(Q7))</f>
        <v/>
      </c>
      <c r="V7" s="9">
        <f>IF(OR(B7="",P7=""),"",U7/S7)</f>
        <v/>
      </c>
      <c r="W7">
        <f>IF(OR(B7="",P7=""),"",P7-C7)</f>
        <v/>
      </c>
      <c r="X7">
        <f>IF(B7="","",IF(P7="","Aberto","Fechado"))</f>
        <v/>
      </c>
    </row>
    <row r="8">
      <c r="C8" s="6" t="n"/>
      <c r="E8" s="10" t="n"/>
      <c r="F8" s="11" t="n"/>
      <c r="G8" s="11" t="n"/>
      <c r="H8" s="11" t="n"/>
      <c r="J8" s="10" t="n"/>
      <c r="K8" s="11" t="n"/>
      <c r="L8" s="10" t="n"/>
      <c r="M8" s="11" t="n"/>
      <c r="N8" s="10" t="n"/>
      <c r="O8" s="11" t="n"/>
      <c r="P8" s="6" t="n"/>
      <c r="Q8" s="11" t="n"/>
      <c r="S8" s="8">
        <f>IF(B8="","",E8*F8)</f>
        <v/>
      </c>
      <c r="T8" s="8">
        <f>IF(OR(B8="",N(G8)=0),"",ABS(F8-G8)*E8)</f>
        <v/>
      </c>
      <c r="U8" s="8">
        <f>IF(OR(B8="",P8=""),"",IF(D8="Venda",-1,1)*((N(J8)*N(K8)+N(L8)*N(M8)+N(N8)*N(O8))-(N(J8)+N(L8)+N(N8))*F8)-N(Q8))</f>
        <v/>
      </c>
      <c r="V8" s="9">
        <f>IF(OR(B8="",P8=""),"",U8/S8)</f>
        <v/>
      </c>
      <c r="W8">
        <f>IF(OR(B8="",P8=""),"",P8-C8)</f>
        <v/>
      </c>
      <c r="X8">
        <f>IF(B8="","",IF(P8="","Aberto","Fechado"))</f>
        <v/>
      </c>
    </row>
    <row r="9">
      <c r="C9" s="6" t="n"/>
      <c r="E9" s="10" t="n"/>
      <c r="F9" s="11" t="n"/>
      <c r="G9" s="11" t="n"/>
      <c r="H9" s="11" t="n"/>
      <c r="J9" s="10" t="n"/>
      <c r="K9" s="11" t="n"/>
      <c r="L9" s="10" t="n"/>
      <c r="M9" s="11" t="n"/>
      <c r="N9" s="10" t="n"/>
      <c r="O9" s="11" t="n"/>
      <c r="P9" s="6" t="n"/>
      <c r="Q9" s="11" t="n"/>
      <c r="S9" s="8">
        <f>IF(B9="","",E9*F9)</f>
        <v/>
      </c>
      <c r="T9" s="8">
        <f>IF(OR(B9="",N(G9)=0),"",ABS(F9-G9)*E9)</f>
        <v/>
      </c>
      <c r="U9" s="8">
        <f>IF(OR(B9="",P9=""),"",IF(D9="Venda",-1,1)*((N(J9)*N(K9)+N(L9)*N(M9)+N(N9)*N(O9))-(N(J9)+N(L9)+N(N9))*F9)-N(Q9))</f>
        <v/>
      </c>
      <c r="V9" s="9">
        <f>IF(OR(B9="",P9=""),"",U9/S9)</f>
        <v/>
      </c>
      <c r="W9">
        <f>IF(OR(B9="",P9=""),"",P9-C9)</f>
        <v/>
      </c>
      <c r="X9">
        <f>IF(B9="","",IF(P9="","Aberto","Fechado"))</f>
        <v/>
      </c>
    </row>
    <row r="10">
      <c r="C10" s="6" t="n"/>
      <c r="E10" s="10" t="n"/>
      <c r="F10" s="11" t="n"/>
      <c r="G10" s="11" t="n"/>
      <c r="H10" s="11" t="n"/>
      <c r="J10" s="10" t="n"/>
      <c r="K10" s="11" t="n"/>
      <c r="L10" s="10" t="n"/>
      <c r="M10" s="11" t="n"/>
      <c r="N10" s="10" t="n"/>
      <c r="O10" s="11" t="n"/>
      <c r="P10" s="6" t="n"/>
      <c r="Q10" s="11" t="n"/>
      <c r="S10" s="8">
        <f>IF(B10="","",E10*F10)</f>
        <v/>
      </c>
      <c r="T10" s="8">
        <f>IF(OR(B10="",N(G10)=0),"",ABS(F10-G10)*E10)</f>
        <v/>
      </c>
      <c r="U10" s="8">
        <f>IF(OR(B10="",P10=""),"",IF(D10="Venda",-1,1)*((N(J10)*N(K10)+N(L10)*N(M10)+N(N10)*N(O10))-(N(J10)+N(L10)+N(N10))*F10)-N(Q10))</f>
        <v/>
      </c>
      <c r="V10" s="9">
        <f>IF(OR(B10="",P10=""),"",U10/S10)</f>
        <v/>
      </c>
      <c r="W10">
        <f>IF(OR(B10="",P10=""),"",P10-C10)</f>
        <v/>
      </c>
      <c r="X10">
        <f>IF(B10="","",IF(P10="","Aberto","Fechado"))</f>
        <v/>
      </c>
    </row>
    <row r="11">
      <c r="C11" s="6" t="n"/>
      <c r="E11" s="10" t="n"/>
      <c r="F11" s="11" t="n"/>
      <c r="G11" s="11" t="n"/>
      <c r="H11" s="11" t="n"/>
      <c r="J11" s="10" t="n"/>
      <c r="K11" s="11" t="n"/>
      <c r="L11" s="10" t="n"/>
      <c r="M11" s="11" t="n"/>
      <c r="N11" s="10" t="n"/>
      <c r="O11" s="11" t="n"/>
      <c r="P11" s="6" t="n"/>
      <c r="Q11" s="11" t="n"/>
      <c r="S11" s="8">
        <f>IF(B11="","",E11*F11)</f>
        <v/>
      </c>
      <c r="T11" s="8">
        <f>IF(OR(B11="",N(G11)=0),"",ABS(F11-G11)*E11)</f>
        <v/>
      </c>
      <c r="U11" s="8">
        <f>IF(OR(B11="",P11=""),"",IF(D11="Venda",-1,1)*((N(J11)*N(K11)+N(L11)*N(M11)+N(N11)*N(O11))-(N(J11)+N(L11)+N(N11))*F11)-N(Q11))</f>
        <v/>
      </c>
      <c r="V11" s="9">
        <f>IF(OR(B11="",P11=""),"",U11/S11)</f>
        <v/>
      </c>
      <c r="W11">
        <f>IF(OR(B11="",P11=""),"",P11-C11)</f>
        <v/>
      </c>
      <c r="X11">
        <f>IF(B11="","",IF(P11="","Aberto","Fechado"))</f>
        <v/>
      </c>
    </row>
    <row r="12">
      <c r="C12" s="6" t="n"/>
      <c r="E12" s="10" t="n"/>
      <c r="F12" s="11" t="n"/>
      <c r="G12" s="11" t="n"/>
      <c r="H12" s="11" t="n"/>
      <c r="J12" s="10" t="n"/>
      <c r="K12" s="11" t="n"/>
      <c r="L12" s="10" t="n"/>
      <c r="M12" s="11" t="n"/>
      <c r="N12" s="10" t="n"/>
      <c r="O12" s="11" t="n"/>
      <c r="P12" s="6" t="n"/>
      <c r="Q12" s="11" t="n"/>
      <c r="S12" s="8">
        <f>IF(B12="","",E12*F12)</f>
        <v/>
      </c>
      <c r="T12" s="8">
        <f>IF(OR(B12="",N(G12)=0),"",ABS(F12-G12)*E12)</f>
        <v/>
      </c>
      <c r="U12" s="8">
        <f>IF(OR(B12="",P12=""),"",IF(D12="Venda",-1,1)*((N(J12)*N(K12)+N(L12)*N(M12)+N(N12)*N(O12))-(N(J12)+N(L12)+N(N12))*F12)-N(Q12))</f>
        <v/>
      </c>
      <c r="V12" s="9">
        <f>IF(OR(B12="",P12=""),"",U12/S12)</f>
        <v/>
      </c>
      <c r="W12">
        <f>IF(OR(B12="",P12=""),"",P12-C12)</f>
        <v/>
      </c>
      <c r="X12">
        <f>IF(B12="","",IF(P12="","Aberto","Fechado"))</f>
        <v/>
      </c>
    </row>
    <row r="13">
      <c r="C13" s="6" t="n"/>
      <c r="E13" s="10" t="n"/>
      <c r="F13" s="11" t="n"/>
      <c r="G13" s="11" t="n"/>
      <c r="H13" s="11" t="n"/>
      <c r="J13" s="10" t="n"/>
      <c r="K13" s="11" t="n"/>
      <c r="L13" s="10" t="n"/>
      <c r="M13" s="11" t="n"/>
      <c r="N13" s="10" t="n"/>
      <c r="O13" s="11" t="n"/>
      <c r="P13" s="6" t="n"/>
      <c r="Q13" s="11" t="n"/>
      <c r="S13" s="8">
        <f>IF(B13="","",E13*F13)</f>
        <v/>
      </c>
      <c r="T13" s="8">
        <f>IF(OR(B13="",N(G13)=0),"",ABS(F13-G13)*E13)</f>
        <v/>
      </c>
      <c r="U13" s="8">
        <f>IF(OR(B13="",P13=""),"",IF(D13="Venda",-1,1)*((N(J13)*N(K13)+N(L13)*N(M13)+N(N13)*N(O13))-(N(J13)+N(L13)+N(N13))*F13)-N(Q13))</f>
        <v/>
      </c>
      <c r="V13" s="9">
        <f>IF(OR(B13="",P13=""),"",U13/S13)</f>
        <v/>
      </c>
      <c r="W13">
        <f>IF(OR(B13="",P13=""),"",P13-C13)</f>
        <v/>
      </c>
      <c r="X13">
        <f>IF(B13="","",IF(P13="","Aberto","Fechado"))</f>
        <v/>
      </c>
    </row>
    <row r="14">
      <c r="C14" s="6" t="n"/>
      <c r="E14" s="10" t="n"/>
      <c r="F14" s="11" t="n"/>
      <c r="G14" s="11" t="n"/>
      <c r="H14" s="11" t="n"/>
      <c r="J14" s="10" t="n"/>
      <c r="K14" s="11" t="n"/>
      <c r="L14" s="10" t="n"/>
      <c r="M14" s="11" t="n"/>
      <c r="N14" s="10" t="n"/>
      <c r="O14" s="11" t="n"/>
      <c r="P14" s="6" t="n"/>
      <c r="Q14" s="11" t="n"/>
      <c r="S14" s="8">
        <f>IF(B14="","",E14*F14)</f>
        <v/>
      </c>
      <c r="T14" s="8">
        <f>IF(OR(B14="",N(G14)=0),"",ABS(F14-G14)*E14)</f>
        <v/>
      </c>
      <c r="U14" s="8">
        <f>IF(OR(B14="",P14=""),"",IF(D14="Venda",-1,1)*((N(J14)*N(K14)+N(L14)*N(M14)+N(N14)*N(O14))-(N(J14)+N(L14)+N(N14))*F14)-N(Q14))</f>
        <v/>
      </c>
      <c r="V14" s="9">
        <f>IF(OR(B14="",P14=""),"",U14/S14)</f>
        <v/>
      </c>
      <c r="W14">
        <f>IF(OR(B14="",P14=""),"",P14-C14)</f>
        <v/>
      </c>
      <c r="X14">
        <f>IF(B14="","",IF(P14="","Aberto","Fechado"))</f>
        <v/>
      </c>
    </row>
    <row r="15">
      <c r="C15" s="6" t="n"/>
      <c r="E15" s="10" t="n"/>
      <c r="F15" s="11" t="n"/>
      <c r="G15" s="11" t="n"/>
      <c r="H15" s="11" t="n"/>
      <c r="J15" s="10" t="n"/>
      <c r="K15" s="11" t="n"/>
      <c r="L15" s="10" t="n"/>
      <c r="M15" s="11" t="n"/>
      <c r="N15" s="10" t="n"/>
      <c r="O15" s="11" t="n"/>
      <c r="P15" s="6" t="n"/>
      <c r="Q15" s="11" t="n"/>
      <c r="S15" s="8">
        <f>IF(B15="","",E15*F15)</f>
        <v/>
      </c>
      <c r="T15" s="8">
        <f>IF(OR(B15="",N(G15)=0),"",ABS(F15-G15)*E15)</f>
        <v/>
      </c>
      <c r="U15" s="8">
        <f>IF(OR(B15="",P15=""),"",IF(D15="Venda",-1,1)*((N(J15)*N(K15)+N(L15)*N(M15)+N(N15)*N(O15))-(N(J15)+N(L15)+N(N15))*F15)-N(Q15))</f>
        <v/>
      </c>
      <c r="V15" s="9">
        <f>IF(OR(B15="",P15=""),"",U15/S15)</f>
        <v/>
      </c>
      <c r="W15">
        <f>IF(OR(B15="",P15=""),"",P15-C15)</f>
        <v/>
      </c>
      <c r="X15">
        <f>IF(B15="","",IF(P15="","Aberto","Fechado"))</f>
        <v/>
      </c>
    </row>
    <row r="16">
      <c r="C16" s="6" t="n"/>
      <c r="E16" s="10" t="n"/>
      <c r="F16" s="11" t="n"/>
      <c r="G16" s="11" t="n"/>
      <c r="H16" s="11" t="n"/>
      <c r="J16" s="10" t="n"/>
      <c r="K16" s="11" t="n"/>
      <c r="L16" s="10" t="n"/>
      <c r="M16" s="11" t="n"/>
      <c r="N16" s="10" t="n"/>
      <c r="O16" s="11" t="n"/>
      <c r="P16" s="6" t="n"/>
      <c r="Q16" s="11" t="n"/>
      <c r="S16" s="8">
        <f>IF(B16="","",E16*F16)</f>
        <v/>
      </c>
      <c r="T16" s="8">
        <f>IF(OR(B16="",N(G16)=0),"",ABS(F16-G16)*E16)</f>
        <v/>
      </c>
      <c r="U16" s="8">
        <f>IF(OR(B16="",P16=""),"",IF(D16="Venda",-1,1)*((N(J16)*N(K16)+N(L16)*N(M16)+N(N16)*N(O16))-(N(J16)+N(L16)+N(N16))*F16)-N(Q16))</f>
        <v/>
      </c>
      <c r="V16" s="9">
        <f>IF(OR(B16="",P16=""),"",U16/S16)</f>
        <v/>
      </c>
      <c r="W16">
        <f>IF(OR(B16="",P16=""),"",P16-C16)</f>
        <v/>
      </c>
      <c r="X16">
        <f>IF(B16="","",IF(P16="","Aberto","Fechado"))</f>
        <v/>
      </c>
    </row>
    <row r="17">
      <c r="C17" s="6" t="n"/>
      <c r="E17" s="10" t="n"/>
      <c r="F17" s="11" t="n"/>
      <c r="G17" s="11" t="n"/>
      <c r="H17" s="11" t="n"/>
      <c r="J17" s="10" t="n"/>
      <c r="K17" s="11" t="n"/>
      <c r="L17" s="10" t="n"/>
      <c r="M17" s="11" t="n"/>
      <c r="N17" s="10" t="n"/>
      <c r="O17" s="11" t="n"/>
      <c r="P17" s="6" t="n"/>
      <c r="Q17" s="11" t="n"/>
      <c r="S17" s="8">
        <f>IF(B17="","",E17*F17)</f>
        <v/>
      </c>
      <c r="T17" s="8">
        <f>IF(OR(B17="",N(G17)=0),"",ABS(F17-G17)*E17)</f>
        <v/>
      </c>
      <c r="U17" s="8">
        <f>IF(OR(B17="",P17=""),"",IF(D17="Venda",-1,1)*((N(J17)*N(K17)+N(L17)*N(M17)+N(N17)*N(O17))-(N(J17)+N(L17)+N(N17))*F17)-N(Q17))</f>
        <v/>
      </c>
      <c r="V17" s="9">
        <f>IF(OR(B17="",P17=""),"",U17/S17)</f>
        <v/>
      </c>
      <c r="W17">
        <f>IF(OR(B17="",P17=""),"",P17-C17)</f>
        <v/>
      </c>
      <c r="X17">
        <f>IF(B17="","",IF(P17="","Aberto","Fechado"))</f>
        <v/>
      </c>
    </row>
    <row r="18">
      <c r="C18" s="6" t="n"/>
      <c r="E18" s="10" t="n"/>
      <c r="F18" s="11" t="n"/>
      <c r="G18" s="11" t="n"/>
      <c r="H18" s="11" t="n"/>
      <c r="J18" s="10" t="n"/>
      <c r="K18" s="11" t="n"/>
      <c r="L18" s="10" t="n"/>
      <c r="M18" s="11" t="n"/>
      <c r="N18" s="10" t="n"/>
      <c r="O18" s="11" t="n"/>
      <c r="P18" s="6" t="n"/>
      <c r="Q18" s="11" t="n"/>
      <c r="S18" s="8">
        <f>IF(B18="","",E18*F18)</f>
        <v/>
      </c>
      <c r="T18" s="8">
        <f>IF(OR(B18="",N(G18)=0),"",ABS(F18-G18)*E18)</f>
        <v/>
      </c>
      <c r="U18" s="8">
        <f>IF(OR(B18="",P18=""),"",IF(D18="Venda",-1,1)*((N(J18)*N(K18)+N(L18)*N(M18)+N(N18)*N(O18))-(N(J18)+N(L18)+N(N18))*F18)-N(Q18))</f>
        <v/>
      </c>
      <c r="V18" s="9">
        <f>IF(OR(B18="",P18=""),"",U18/S18)</f>
        <v/>
      </c>
      <c r="W18">
        <f>IF(OR(B18="",P18=""),"",P18-C18)</f>
        <v/>
      </c>
      <c r="X18">
        <f>IF(B18="","",IF(P18="","Aberto","Fechado"))</f>
        <v/>
      </c>
    </row>
    <row r="19">
      <c r="C19" s="6" t="n"/>
      <c r="E19" s="10" t="n"/>
      <c r="F19" s="11" t="n"/>
      <c r="G19" s="11" t="n"/>
      <c r="H19" s="11" t="n"/>
      <c r="J19" s="10" t="n"/>
      <c r="K19" s="11" t="n"/>
      <c r="L19" s="10" t="n"/>
      <c r="M19" s="11" t="n"/>
      <c r="N19" s="10" t="n"/>
      <c r="O19" s="11" t="n"/>
      <c r="P19" s="6" t="n"/>
      <c r="Q19" s="11" t="n"/>
      <c r="S19" s="8">
        <f>IF(B19="","",E19*F19)</f>
        <v/>
      </c>
      <c r="T19" s="8">
        <f>IF(OR(B19="",N(G19)=0),"",ABS(F19-G19)*E19)</f>
        <v/>
      </c>
      <c r="U19" s="8">
        <f>IF(OR(B19="",P19=""),"",IF(D19="Venda",-1,1)*((N(J19)*N(K19)+N(L19)*N(M19)+N(N19)*N(O19))-(N(J19)+N(L19)+N(N19))*F19)-N(Q19))</f>
        <v/>
      </c>
      <c r="V19" s="9">
        <f>IF(OR(B19="",P19=""),"",U19/S19)</f>
        <v/>
      </c>
      <c r="W19">
        <f>IF(OR(B19="",P19=""),"",P19-C19)</f>
        <v/>
      </c>
      <c r="X19">
        <f>IF(B19="","",IF(P19="","Aberto","Fechado"))</f>
        <v/>
      </c>
    </row>
    <row r="20">
      <c r="C20" s="6" t="n"/>
      <c r="E20" s="10" t="n"/>
      <c r="F20" s="11" t="n"/>
      <c r="G20" s="11" t="n"/>
      <c r="H20" s="11" t="n"/>
      <c r="J20" s="10" t="n"/>
      <c r="K20" s="11" t="n"/>
      <c r="L20" s="10" t="n"/>
      <c r="M20" s="11" t="n"/>
      <c r="N20" s="10" t="n"/>
      <c r="O20" s="11" t="n"/>
      <c r="P20" s="6" t="n"/>
      <c r="Q20" s="11" t="n"/>
      <c r="S20" s="8">
        <f>IF(B20="","",E20*F20)</f>
        <v/>
      </c>
      <c r="T20" s="8">
        <f>IF(OR(B20="",N(G20)=0),"",ABS(F20-G20)*E20)</f>
        <v/>
      </c>
      <c r="U20" s="8">
        <f>IF(OR(B20="",P20=""),"",IF(D20="Venda",-1,1)*((N(J20)*N(K20)+N(L20)*N(M20)+N(N20)*N(O20))-(N(J20)+N(L20)+N(N20))*F20)-N(Q20))</f>
        <v/>
      </c>
      <c r="V20" s="9">
        <f>IF(OR(B20="",P20=""),"",U20/S20)</f>
        <v/>
      </c>
      <c r="W20">
        <f>IF(OR(B20="",P20=""),"",P20-C20)</f>
        <v/>
      </c>
      <c r="X20">
        <f>IF(B20="","",IF(P20="","Aberto","Fechado"))</f>
        <v/>
      </c>
    </row>
    <row r="21">
      <c r="C21" s="6" t="n"/>
      <c r="E21" s="10" t="n"/>
      <c r="F21" s="11" t="n"/>
      <c r="G21" s="11" t="n"/>
      <c r="H21" s="11" t="n"/>
      <c r="J21" s="10" t="n"/>
      <c r="K21" s="11" t="n"/>
      <c r="L21" s="10" t="n"/>
      <c r="M21" s="11" t="n"/>
      <c r="N21" s="10" t="n"/>
      <c r="O21" s="11" t="n"/>
      <c r="P21" s="6" t="n"/>
      <c r="Q21" s="11" t="n"/>
      <c r="S21" s="8">
        <f>IF(B21="","",E21*F21)</f>
        <v/>
      </c>
      <c r="T21" s="8">
        <f>IF(OR(B21="",N(G21)=0),"",ABS(F21-G21)*E21)</f>
        <v/>
      </c>
      <c r="U21" s="8">
        <f>IF(OR(B21="",P21=""),"",IF(D21="Venda",-1,1)*((N(J21)*N(K21)+N(L21)*N(M21)+N(N21)*N(O21))-(N(J21)+N(L21)+N(N21))*F21)-N(Q21))</f>
        <v/>
      </c>
      <c r="V21" s="9">
        <f>IF(OR(B21="",P21=""),"",U21/S21)</f>
        <v/>
      </c>
      <c r="W21">
        <f>IF(OR(B21="",P21=""),"",P21-C21)</f>
        <v/>
      </c>
      <c r="X21">
        <f>IF(B21="","",IF(P21="","Aberto","Fechado"))</f>
        <v/>
      </c>
    </row>
    <row r="22">
      <c r="C22" s="6" t="n"/>
      <c r="E22" s="10" t="n"/>
      <c r="F22" s="11" t="n"/>
      <c r="G22" s="11" t="n"/>
      <c r="H22" s="11" t="n"/>
      <c r="J22" s="10" t="n"/>
      <c r="K22" s="11" t="n"/>
      <c r="L22" s="10" t="n"/>
      <c r="M22" s="11" t="n"/>
      <c r="N22" s="10" t="n"/>
      <c r="O22" s="11" t="n"/>
      <c r="P22" s="6" t="n"/>
      <c r="Q22" s="11" t="n"/>
      <c r="S22" s="8">
        <f>IF(B22="","",E22*F22)</f>
        <v/>
      </c>
      <c r="T22" s="8">
        <f>IF(OR(B22="",N(G22)=0),"",ABS(F22-G22)*E22)</f>
        <v/>
      </c>
      <c r="U22" s="8">
        <f>IF(OR(B22="",P22=""),"",IF(D22="Venda",-1,1)*((N(J22)*N(K22)+N(L22)*N(M22)+N(N22)*N(O22))-(N(J22)+N(L22)+N(N22))*F22)-N(Q22))</f>
        <v/>
      </c>
      <c r="V22" s="9">
        <f>IF(OR(B22="",P22=""),"",U22/S22)</f>
        <v/>
      </c>
      <c r="W22">
        <f>IF(OR(B22="",P22=""),"",P22-C22)</f>
        <v/>
      </c>
      <c r="X22">
        <f>IF(B22="","",IF(P22="","Aberto","Fechado"))</f>
        <v/>
      </c>
    </row>
    <row r="23">
      <c r="C23" s="6" t="n"/>
      <c r="E23" s="10" t="n"/>
      <c r="F23" s="11" t="n"/>
      <c r="G23" s="11" t="n"/>
      <c r="H23" s="11" t="n"/>
      <c r="J23" s="10" t="n"/>
      <c r="K23" s="11" t="n"/>
      <c r="L23" s="10" t="n"/>
      <c r="M23" s="11" t="n"/>
      <c r="N23" s="10" t="n"/>
      <c r="O23" s="11" t="n"/>
      <c r="P23" s="6" t="n"/>
      <c r="Q23" s="11" t="n"/>
      <c r="S23" s="8">
        <f>IF(B23="","",E23*F23)</f>
        <v/>
      </c>
      <c r="T23" s="8">
        <f>IF(OR(B23="",N(G23)=0),"",ABS(F23-G23)*E23)</f>
        <v/>
      </c>
      <c r="U23" s="8">
        <f>IF(OR(B23="",P23=""),"",IF(D23="Venda",-1,1)*((N(J23)*N(K23)+N(L23)*N(M23)+N(N23)*N(O23))-(N(J23)+N(L23)+N(N23))*F23)-N(Q23))</f>
        <v/>
      </c>
      <c r="V23" s="9">
        <f>IF(OR(B23="",P23=""),"",U23/S23)</f>
        <v/>
      </c>
      <c r="W23">
        <f>IF(OR(B23="",P23=""),"",P23-C23)</f>
        <v/>
      </c>
      <c r="X23">
        <f>IF(B23="","",IF(P23="","Aberto","Fechado"))</f>
        <v/>
      </c>
    </row>
    <row r="24">
      <c r="C24" s="6" t="n"/>
      <c r="E24" s="10" t="n"/>
      <c r="F24" s="11" t="n"/>
      <c r="G24" s="11" t="n"/>
      <c r="H24" s="11" t="n"/>
      <c r="J24" s="10" t="n"/>
      <c r="K24" s="11" t="n"/>
      <c r="L24" s="10" t="n"/>
      <c r="M24" s="11" t="n"/>
      <c r="N24" s="10" t="n"/>
      <c r="O24" s="11" t="n"/>
      <c r="P24" s="6" t="n"/>
      <c r="Q24" s="11" t="n"/>
      <c r="S24" s="8">
        <f>IF(B24="","",E24*F24)</f>
        <v/>
      </c>
      <c r="T24" s="8">
        <f>IF(OR(B24="",N(G24)=0),"",ABS(F24-G24)*E24)</f>
        <v/>
      </c>
      <c r="U24" s="8">
        <f>IF(OR(B24="",P24=""),"",IF(D24="Venda",-1,1)*((N(J24)*N(K24)+N(L24)*N(M24)+N(N24)*N(O24))-(N(J24)+N(L24)+N(N24))*F24)-N(Q24))</f>
        <v/>
      </c>
      <c r="V24" s="9">
        <f>IF(OR(B24="",P24=""),"",U24/S24)</f>
        <v/>
      </c>
      <c r="W24">
        <f>IF(OR(B24="",P24=""),"",P24-C24)</f>
        <v/>
      </c>
      <c r="X24">
        <f>IF(B24="","",IF(P24="","Aberto","Fechado"))</f>
        <v/>
      </c>
    </row>
    <row r="25">
      <c r="C25" s="6" t="n"/>
      <c r="E25" s="10" t="n"/>
      <c r="F25" s="11" t="n"/>
      <c r="G25" s="11" t="n"/>
      <c r="H25" s="11" t="n"/>
      <c r="J25" s="10" t="n"/>
      <c r="K25" s="11" t="n"/>
      <c r="L25" s="10" t="n"/>
      <c r="M25" s="11" t="n"/>
      <c r="N25" s="10" t="n"/>
      <c r="O25" s="11" t="n"/>
      <c r="P25" s="6" t="n"/>
      <c r="Q25" s="11" t="n"/>
      <c r="S25" s="8">
        <f>IF(B25="","",E25*F25)</f>
        <v/>
      </c>
      <c r="T25" s="8">
        <f>IF(OR(B25="",N(G25)=0),"",ABS(F25-G25)*E25)</f>
        <v/>
      </c>
      <c r="U25" s="8">
        <f>IF(OR(B25="",P25=""),"",IF(D25="Venda",-1,1)*((N(J25)*N(K25)+N(L25)*N(M25)+N(N25)*N(O25))-(N(J25)+N(L25)+N(N25))*F25)-N(Q25))</f>
        <v/>
      </c>
      <c r="V25" s="9">
        <f>IF(OR(B25="",P25=""),"",U25/S25)</f>
        <v/>
      </c>
      <c r="W25">
        <f>IF(OR(B25="",P25=""),"",P25-C25)</f>
        <v/>
      </c>
      <c r="X25">
        <f>IF(B25="","",IF(P25="","Aberto","Fechado"))</f>
        <v/>
      </c>
    </row>
    <row r="26">
      <c r="C26" s="6" t="n"/>
      <c r="E26" s="10" t="n"/>
      <c r="F26" s="11" t="n"/>
      <c r="G26" s="11" t="n"/>
      <c r="H26" s="11" t="n"/>
      <c r="J26" s="10" t="n"/>
      <c r="K26" s="11" t="n"/>
      <c r="L26" s="10" t="n"/>
      <c r="M26" s="11" t="n"/>
      <c r="N26" s="10" t="n"/>
      <c r="O26" s="11" t="n"/>
      <c r="P26" s="6" t="n"/>
      <c r="Q26" s="11" t="n"/>
      <c r="S26" s="8">
        <f>IF(B26="","",E26*F26)</f>
        <v/>
      </c>
      <c r="T26" s="8">
        <f>IF(OR(B26="",N(G26)=0),"",ABS(F26-G26)*E26)</f>
        <v/>
      </c>
      <c r="U26" s="8">
        <f>IF(OR(B26="",P26=""),"",IF(D26="Venda",-1,1)*((N(J26)*N(K26)+N(L26)*N(M26)+N(N26)*N(O26))-(N(J26)+N(L26)+N(N26))*F26)-N(Q26))</f>
        <v/>
      </c>
      <c r="V26" s="9">
        <f>IF(OR(B26="",P26=""),"",U26/S26)</f>
        <v/>
      </c>
      <c r="W26">
        <f>IF(OR(B26="",P26=""),"",P26-C26)</f>
        <v/>
      </c>
      <c r="X26">
        <f>IF(B26="","",IF(P26="","Aberto","Fechado"))</f>
        <v/>
      </c>
    </row>
    <row r="27">
      <c r="C27" s="6" t="n"/>
      <c r="E27" s="10" t="n"/>
      <c r="F27" s="11" t="n"/>
      <c r="G27" s="11" t="n"/>
      <c r="H27" s="11" t="n"/>
      <c r="J27" s="10" t="n"/>
      <c r="K27" s="11" t="n"/>
      <c r="L27" s="10" t="n"/>
      <c r="M27" s="11" t="n"/>
      <c r="N27" s="10" t="n"/>
      <c r="O27" s="11" t="n"/>
      <c r="P27" s="6" t="n"/>
      <c r="Q27" s="11" t="n"/>
      <c r="S27" s="8">
        <f>IF(B27="","",E27*F27)</f>
        <v/>
      </c>
      <c r="T27" s="8">
        <f>IF(OR(B27="",N(G27)=0),"",ABS(F27-G27)*E27)</f>
        <v/>
      </c>
      <c r="U27" s="8">
        <f>IF(OR(B27="",P27=""),"",IF(D27="Venda",-1,1)*((N(J27)*N(K27)+N(L27)*N(M27)+N(N27)*N(O27))-(N(J27)+N(L27)+N(N27))*F27)-N(Q27))</f>
        <v/>
      </c>
      <c r="V27" s="9">
        <f>IF(OR(B27="",P27=""),"",U27/S27)</f>
        <v/>
      </c>
      <c r="W27">
        <f>IF(OR(B27="",P27=""),"",P27-C27)</f>
        <v/>
      </c>
      <c r="X27">
        <f>IF(B27="","",IF(P27="","Aberto","Fechado"))</f>
        <v/>
      </c>
    </row>
    <row r="28">
      <c r="C28" s="6" t="n"/>
      <c r="E28" s="10" t="n"/>
      <c r="F28" s="11" t="n"/>
      <c r="G28" s="11" t="n"/>
      <c r="H28" s="11" t="n"/>
      <c r="J28" s="10" t="n"/>
      <c r="K28" s="11" t="n"/>
      <c r="L28" s="10" t="n"/>
      <c r="M28" s="11" t="n"/>
      <c r="N28" s="10" t="n"/>
      <c r="O28" s="11" t="n"/>
      <c r="P28" s="6" t="n"/>
      <c r="Q28" s="11" t="n"/>
      <c r="S28" s="8">
        <f>IF(B28="","",E28*F28)</f>
        <v/>
      </c>
      <c r="T28" s="8">
        <f>IF(OR(B28="",N(G28)=0),"",ABS(F28-G28)*E28)</f>
        <v/>
      </c>
      <c r="U28" s="8">
        <f>IF(OR(B28="",P28=""),"",IF(D28="Venda",-1,1)*((N(J28)*N(K28)+N(L28)*N(M28)+N(N28)*N(O28))-(N(J28)+N(L28)+N(N28))*F28)-N(Q28))</f>
        <v/>
      </c>
      <c r="V28" s="9">
        <f>IF(OR(B28="",P28=""),"",U28/S28)</f>
        <v/>
      </c>
      <c r="W28">
        <f>IF(OR(B28="",P28=""),"",P28-C28)</f>
        <v/>
      </c>
      <c r="X28">
        <f>IF(B28="","",IF(P28="","Aberto","Fechado"))</f>
        <v/>
      </c>
    </row>
    <row r="29">
      <c r="C29" s="6" t="n"/>
      <c r="E29" s="10" t="n"/>
      <c r="F29" s="11" t="n"/>
      <c r="G29" s="11" t="n"/>
      <c r="H29" s="11" t="n"/>
      <c r="J29" s="10" t="n"/>
      <c r="K29" s="11" t="n"/>
      <c r="L29" s="10" t="n"/>
      <c r="M29" s="11" t="n"/>
      <c r="N29" s="10" t="n"/>
      <c r="O29" s="11" t="n"/>
      <c r="P29" s="6" t="n"/>
      <c r="Q29" s="11" t="n"/>
      <c r="S29" s="8">
        <f>IF(B29="","",E29*F29)</f>
        <v/>
      </c>
      <c r="T29" s="8">
        <f>IF(OR(B29="",N(G29)=0),"",ABS(F29-G29)*E29)</f>
        <v/>
      </c>
      <c r="U29" s="8">
        <f>IF(OR(B29="",P29=""),"",IF(D29="Venda",-1,1)*((N(J29)*N(K29)+N(L29)*N(M29)+N(N29)*N(O29))-(N(J29)+N(L29)+N(N29))*F29)-N(Q29))</f>
        <v/>
      </c>
      <c r="V29" s="9">
        <f>IF(OR(B29="",P29=""),"",U29/S29)</f>
        <v/>
      </c>
      <c r="W29">
        <f>IF(OR(B29="",P29=""),"",P29-C29)</f>
        <v/>
      </c>
      <c r="X29">
        <f>IF(B29="","",IF(P29="","Aberto","Fechado"))</f>
        <v/>
      </c>
    </row>
    <row r="30">
      <c r="C30" s="6" t="n"/>
      <c r="E30" s="10" t="n"/>
      <c r="F30" s="11" t="n"/>
      <c r="G30" s="11" t="n"/>
      <c r="H30" s="11" t="n"/>
      <c r="J30" s="10" t="n"/>
      <c r="K30" s="11" t="n"/>
      <c r="L30" s="10" t="n"/>
      <c r="M30" s="11" t="n"/>
      <c r="N30" s="10" t="n"/>
      <c r="O30" s="11" t="n"/>
      <c r="P30" s="6" t="n"/>
      <c r="Q30" s="11" t="n"/>
      <c r="S30" s="8">
        <f>IF(B30="","",E30*F30)</f>
        <v/>
      </c>
      <c r="T30" s="8">
        <f>IF(OR(B30="",N(G30)=0),"",ABS(F30-G30)*E30)</f>
        <v/>
      </c>
      <c r="U30" s="8">
        <f>IF(OR(B30="",P30=""),"",IF(D30="Venda",-1,1)*((N(J30)*N(K30)+N(L30)*N(M30)+N(N30)*N(O30))-(N(J30)+N(L30)+N(N30))*F30)-N(Q30))</f>
        <v/>
      </c>
      <c r="V30" s="9">
        <f>IF(OR(B30="",P30=""),"",U30/S30)</f>
        <v/>
      </c>
      <c r="W30">
        <f>IF(OR(B30="",P30=""),"",P30-C30)</f>
        <v/>
      </c>
      <c r="X30">
        <f>IF(B30="","",IF(P30="","Aberto","Fechado"))</f>
        <v/>
      </c>
    </row>
    <row r="31">
      <c r="C31" s="6" t="n"/>
      <c r="E31" s="10" t="n"/>
      <c r="F31" s="11" t="n"/>
      <c r="G31" s="11" t="n"/>
      <c r="H31" s="11" t="n"/>
      <c r="J31" s="10" t="n"/>
      <c r="K31" s="11" t="n"/>
      <c r="L31" s="10" t="n"/>
      <c r="M31" s="11" t="n"/>
      <c r="N31" s="10" t="n"/>
      <c r="O31" s="11" t="n"/>
      <c r="P31" s="6" t="n"/>
      <c r="Q31" s="11" t="n"/>
      <c r="S31" s="8">
        <f>IF(B31="","",E31*F31)</f>
        <v/>
      </c>
      <c r="T31" s="8">
        <f>IF(OR(B31="",N(G31)=0),"",ABS(F31-G31)*E31)</f>
        <v/>
      </c>
      <c r="U31" s="8">
        <f>IF(OR(B31="",P31=""),"",IF(D31="Venda",-1,1)*((N(J31)*N(K31)+N(L31)*N(M31)+N(N31)*N(O31))-(N(J31)+N(L31)+N(N31))*F31)-N(Q31))</f>
        <v/>
      </c>
      <c r="V31" s="9">
        <f>IF(OR(B31="",P31=""),"",U31/S31)</f>
        <v/>
      </c>
      <c r="W31">
        <f>IF(OR(B31="",P31=""),"",P31-C31)</f>
        <v/>
      </c>
      <c r="X31">
        <f>IF(B31="","",IF(P31="","Aberto","Fechado"))</f>
        <v/>
      </c>
    </row>
    <row r="32">
      <c r="C32" s="6" t="n"/>
      <c r="E32" s="10" t="n"/>
      <c r="F32" s="11" t="n"/>
      <c r="G32" s="11" t="n"/>
      <c r="H32" s="11" t="n"/>
      <c r="J32" s="10" t="n"/>
      <c r="K32" s="11" t="n"/>
      <c r="L32" s="10" t="n"/>
      <c r="M32" s="11" t="n"/>
      <c r="N32" s="10" t="n"/>
      <c r="O32" s="11" t="n"/>
      <c r="P32" s="6" t="n"/>
      <c r="Q32" s="11" t="n"/>
      <c r="S32" s="8">
        <f>IF(B32="","",E32*F32)</f>
        <v/>
      </c>
      <c r="T32" s="8">
        <f>IF(OR(B32="",N(G32)=0),"",ABS(F32-G32)*E32)</f>
        <v/>
      </c>
      <c r="U32" s="8">
        <f>IF(OR(B32="",P32=""),"",IF(D32="Venda",-1,1)*((N(J32)*N(K32)+N(L32)*N(M32)+N(N32)*N(O32))-(N(J32)+N(L32)+N(N32))*F32)-N(Q32))</f>
        <v/>
      </c>
      <c r="V32" s="9">
        <f>IF(OR(B32="",P32=""),"",U32/S32)</f>
        <v/>
      </c>
      <c r="W32">
        <f>IF(OR(B32="",P32=""),"",P32-C32)</f>
        <v/>
      </c>
      <c r="X32">
        <f>IF(B32="","",IF(P32="","Aberto","Fechado"))</f>
        <v/>
      </c>
    </row>
    <row r="33">
      <c r="C33" s="6" t="n"/>
      <c r="E33" s="10" t="n"/>
      <c r="F33" s="11" t="n"/>
      <c r="G33" s="11" t="n"/>
      <c r="H33" s="11" t="n"/>
      <c r="J33" s="10" t="n"/>
      <c r="K33" s="11" t="n"/>
      <c r="L33" s="10" t="n"/>
      <c r="M33" s="11" t="n"/>
      <c r="N33" s="10" t="n"/>
      <c r="O33" s="11" t="n"/>
      <c r="P33" s="6" t="n"/>
      <c r="Q33" s="11" t="n"/>
      <c r="S33" s="8">
        <f>IF(B33="","",E33*F33)</f>
        <v/>
      </c>
      <c r="T33" s="8">
        <f>IF(OR(B33="",N(G33)=0),"",ABS(F33-G33)*E33)</f>
        <v/>
      </c>
      <c r="U33" s="8">
        <f>IF(OR(B33="",P33=""),"",IF(D33="Venda",-1,1)*((N(J33)*N(K33)+N(L33)*N(M33)+N(N33)*N(O33))-(N(J33)+N(L33)+N(N33))*F33)-N(Q33))</f>
        <v/>
      </c>
      <c r="V33" s="9">
        <f>IF(OR(B33="",P33=""),"",U33/S33)</f>
        <v/>
      </c>
      <c r="W33">
        <f>IF(OR(B33="",P33=""),"",P33-C33)</f>
        <v/>
      </c>
      <c r="X33">
        <f>IF(B33="","",IF(P33="","Aberto","Fechado"))</f>
        <v/>
      </c>
    </row>
    <row r="34">
      <c r="C34" s="6" t="n"/>
      <c r="E34" s="10" t="n"/>
      <c r="F34" s="11" t="n"/>
      <c r="G34" s="11" t="n"/>
      <c r="H34" s="11" t="n"/>
      <c r="J34" s="10" t="n"/>
      <c r="K34" s="11" t="n"/>
      <c r="L34" s="10" t="n"/>
      <c r="M34" s="11" t="n"/>
      <c r="N34" s="10" t="n"/>
      <c r="O34" s="11" t="n"/>
      <c r="P34" s="6" t="n"/>
      <c r="Q34" s="11" t="n"/>
      <c r="S34" s="8">
        <f>IF(B34="","",E34*F34)</f>
        <v/>
      </c>
      <c r="T34" s="8">
        <f>IF(OR(B34="",N(G34)=0),"",ABS(F34-G34)*E34)</f>
        <v/>
      </c>
      <c r="U34" s="8">
        <f>IF(OR(B34="",P34=""),"",IF(D34="Venda",-1,1)*((N(J34)*N(K34)+N(L34)*N(M34)+N(N34)*N(O34))-(N(J34)+N(L34)+N(N34))*F34)-N(Q34))</f>
        <v/>
      </c>
      <c r="V34" s="9">
        <f>IF(OR(B34="",P34=""),"",U34/S34)</f>
        <v/>
      </c>
      <c r="W34">
        <f>IF(OR(B34="",P34=""),"",P34-C34)</f>
        <v/>
      </c>
      <c r="X34">
        <f>IF(B34="","",IF(P34="","Aberto","Fechado"))</f>
        <v/>
      </c>
    </row>
    <row r="35">
      <c r="C35" s="6" t="n"/>
      <c r="E35" s="10" t="n"/>
      <c r="F35" s="11" t="n"/>
      <c r="G35" s="11" t="n"/>
      <c r="H35" s="11" t="n"/>
      <c r="J35" s="10" t="n"/>
      <c r="K35" s="11" t="n"/>
      <c r="L35" s="10" t="n"/>
      <c r="M35" s="11" t="n"/>
      <c r="N35" s="10" t="n"/>
      <c r="O35" s="11" t="n"/>
      <c r="P35" s="6" t="n"/>
      <c r="Q35" s="11" t="n"/>
      <c r="S35" s="8">
        <f>IF(B35="","",E35*F35)</f>
        <v/>
      </c>
      <c r="T35" s="8">
        <f>IF(OR(B35="",N(G35)=0),"",ABS(F35-G35)*E35)</f>
        <v/>
      </c>
      <c r="U35" s="8">
        <f>IF(OR(B35="",P35=""),"",IF(D35="Venda",-1,1)*((N(J35)*N(K35)+N(L35)*N(M35)+N(N35)*N(O35))-(N(J35)+N(L35)+N(N35))*F35)-N(Q35))</f>
        <v/>
      </c>
      <c r="V35" s="9">
        <f>IF(OR(B35="",P35=""),"",U35/S35)</f>
        <v/>
      </c>
      <c r="W35">
        <f>IF(OR(B35="",P35=""),"",P35-C35)</f>
        <v/>
      </c>
      <c r="X35">
        <f>IF(B35="","",IF(P35="","Aberto","Fechado"))</f>
        <v/>
      </c>
    </row>
    <row r="36">
      <c r="C36" s="6" t="n"/>
      <c r="E36" s="10" t="n"/>
      <c r="F36" s="11" t="n"/>
      <c r="G36" s="11" t="n"/>
      <c r="H36" s="11" t="n"/>
      <c r="J36" s="10" t="n"/>
      <c r="K36" s="11" t="n"/>
      <c r="L36" s="10" t="n"/>
      <c r="M36" s="11" t="n"/>
      <c r="N36" s="10" t="n"/>
      <c r="O36" s="11" t="n"/>
      <c r="P36" s="6" t="n"/>
      <c r="Q36" s="11" t="n"/>
      <c r="S36" s="8">
        <f>IF(B36="","",E36*F36)</f>
        <v/>
      </c>
      <c r="T36" s="8">
        <f>IF(OR(B36="",N(G36)=0),"",ABS(F36-G36)*E36)</f>
        <v/>
      </c>
      <c r="U36" s="8">
        <f>IF(OR(B36="",P36=""),"",IF(D36="Venda",-1,1)*((N(J36)*N(K36)+N(L36)*N(M36)+N(N36)*N(O36))-(N(J36)+N(L36)+N(N36))*F36)-N(Q36))</f>
        <v/>
      </c>
      <c r="V36" s="9">
        <f>IF(OR(B36="",P36=""),"",U36/S36)</f>
        <v/>
      </c>
      <c r="W36">
        <f>IF(OR(B36="",P36=""),"",P36-C36)</f>
        <v/>
      </c>
      <c r="X36">
        <f>IF(B36="","",IF(P36="","Aberto","Fechado"))</f>
        <v/>
      </c>
    </row>
    <row r="37">
      <c r="C37" s="6" t="n"/>
      <c r="E37" s="10" t="n"/>
      <c r="F37" s="11" t="n"/>
      <c r="G37" s="11" t="n"/>
      <c r="H37" s="11" t="n"/>
      <c r="J37" s="10" t="n"/>
      <c r="K37" s="11" t="n"/>
      <c r="L37" s="10" t="n"/>
      <c r="M37" s="11" t="n"/>
      <c r="N37" s="10" t="n"/>
      <c r="O37" s="11" t="n"/>
      <c r="P37" s="6" t="n"/>
      <c r="Q37" s="11" t="n"/>
      <c r="S37" s="8">
        <f>IF(B37="","",E37*F37)</f>
        <v/>
      </c>
      <c r="T37" s="8">
        <f>IF(OR(B37="",N(G37)=0),"",ABS(F37-G37)*E37)</f>
        <v/>
      </c>
      <c r="U37" s="8">
        <f>IF(OR(B37="",P37=""),"",IF(D37="Venda",-1,1)*((N(J37)*N(K37)+N(L37)*N(M37)+N(N37)*N(O37))-(N(J37)+N(L37)+N(N37))*F37)-N(Q37))</f>
        <v/>
      </c>
      <c r="V37" s="9">
        <f>IF(OR(B37="",P37=""),"",U37/S37)</f>
        <v/>
      </c>
      <c r="W37">
        <f>IF(OR(B37="",P37=""),"",P37-C37)</f>
        <v/>
      </c>
      <c r="X37">
        <f>IF(B37="","",IF(P37="","Aberto","Fechado"))</f>
        <v/>
      </c>
    </row>
    <row r="38">
      <c r="C38" s="6" t="n"/>
      <c r="E38" s="10" t="n"/>
      <c r="F38" s="11" t="n"/>
      <c r="G38" s="11" t="n"/>
      <c r="H38" s="11" t="n"/>
      <c r="J38" s="10" t="n"/>
      <c r="K38" s="11" t="n"/>
      <c r="L38" s="10" t="n"/>
      <c r="M38" s="11" t="n"/>
      <c r="N38" s="10" t="n"/>
      <c r="O38" s="11" t="n"/>
      <c r="P38" s="6" t="n"/>
      <c r="Q38" s="11" t="n"/>
      <c r="S38" s="8">
        <f>IF(B38="","",E38*F38)</f>
        <v/>
      </c>
      <c r="T38" s="8">
        <f>IF(OR(B38="",N(G38)=0),"",ABS(F38-G38)*E38)</f>
        <v/>
      </c>
      <c r="U38" s="8">
        <f>IF(OR(B38="",P38=""),"",IF(D38="Venda",-1,1)*((N(J38)*N(K38)+N(L38)*N(M38)+N(N38)*N(O38))-(N(J38)+N(L38)+N(N38))*F38)-N(Q38))</f>
        <v/>
      </c>
      <c r="V38" s="9">
        <f>IF(OR(B38="",P38=""),"",U38/S38)</f>
        <v/>
      </c>
      <c r="W38">
        <f>IF(OR(B38="",P38=""),"",P38-C38)</f>
        <v/>
      </c>
      <c r="X38">
        <f>IF(B38="","",IF(P38="","Aberto","Fechado"))</f>
        <v/>
      </c>
    </row>
    <row r="39">
      <c r="C39" s="6" t="n"/>
      <c r="E39" s="10" t="n"/>
      <c r="F39" s="11" t="n"/>
      <c r="G39" s="11" t="n"/>
      <c r="H39" s="11" t="n"/>
      <c r="J39" s="10" t="n"/>
      <c r="K39" s="11" t="n"/>
      <c r="L39" s="10" t="n"/>
      <c r="M39" s="11" t="n"/>
      <c r="N39" s="10" t="n"/>
      <c r="O39" s="11" t="n"/>
      <c r="P39" s="6" t="n"/>
      <c r="Q39" s="11" t="n"/>
      <c r="S39" s="8">
        <f>IF(B39="","",E39*F39)</f>
        <v/>
      </c>
      <c r="T39" s="8">
        <f>IF(OR(B39="",N(G39)=0),"",ABS(F39-G39)*E39)</f>
        <v/>
      </c>
      <c r="U39" s="8">
        <f>IF(OR(B39="",P39=""),"",IF(D39="Venda",-1,1)*((N(J39)*N(K39)+N(L39)*N(M39)+N(N39)*N(O39))-(N(J39)+N(L39)+N(N39))*F39)-N(Q39))</f>
        <v/>
      </c>
      <c r="V39" s="9">
        <f>IF(OR(B39="",P39=""),"",U39/S39)</f>
        <v/>
      </c>
      <c r="W39">
        <f>IF(OR(B39="",P39=""),"",P39-C39)</f>
        <v/>
      </c>
      <c r="X39">
        <f>IF(B39="","",IF(P39="","Aberto","Fechado"))</f>
        <v/>
      </c>
    </row>
    <row r="40">
      <c r="C40" s="6" t="n"/>
      <c r="E40" s="10" t="n"/>
      <c r="F40" s="11" t="n"/>
      <c r="G40" s="11" t="n"/>
      <c r="H40" s="11" t="n"/>
      <c r="J40" s="10" t="n"/>
      <c r="K40" s="11" t="n"/>
      <c r="L40" s="10" t="n"/>
      <c r="M40" s="11" t="n"/>
      <c r="N40" s="10" t="n"/>
      <c r="O40" s="11" t="n"/>
      <c r="P40" s="6" t="n"/>
      <c r="Q40" s="11" t="n"/>
      <c r="S40" s="8">
        <f>IF(B40="","",E40*F40)</f>
        <v/>
      </c>
      <c r="T40" s="8">
        <f>IF(OR(B40="",N(G40)=0),"",ABS(F40-G40)*E40)</f>
        <v/>
      </c>
      <c r="U40" s="8">
        <f>IF(OR(B40="",P40=""),"",IF(D40="Venda",-1,1)*((N(J40)*N(K40)+N(L40)*N(M40)+N(N40)*N(O40))-(N(J40)+N(L40)+N(N40))*F40)-N(Q40))</f>
        <v/>
      </c>
      <c r="V40" s="9">
        <f>IF(OR(B40="",P40=""),"",U40/S40)</f>
        <v/>
      </c>
      <c r="W40">
        <f>IF(OR(B40="",P40=""),"",P40-C40)</f>
        <v/>
      </c>
      <c r="X40">
        <f>IF(B40="","",IF(P40="","Aberto","Fechado"))</f>
        <v/>
      </c>
    </row>
    <row r="41">
      <c r="C41" s="6" t="n"/>
      <c r="E41" s="10" t="n"/>
      <c r="F41" s="11" t="n"/>
      <c r="G41" s="11" t="n"/>
      <c r="H41" s="11" t="n"/>
      <c r="J41" s="10" t="n"/>
      <c r="K41" s="11" t="n"/>
      <c r="L41" s="10" t="n"/>
      <c r="M41" s="11" t="n"/>
      <c r="N41" s="10" t="n"/>
      <c r="O41" s="11" t="n"/>
      <c r="P41" s="6" t="n"/>
      <c r="Q41" s="11" t="n"/>
      <c r="S41" s="8">
        <f>IF(B41="","",E41*F41)</f>
        <v/>
      </c>
      <c r="T41" s="8">
        <f>IF(OR(B41="",N(G41)=0),"",ABS(F41-G41)*E41)</f>
        <v/>
      </c>
      <c r="U41" s="8">
        <f>IF(OR(B41="",P41=""),"",IF(D41="Venda",-1,1)*((N(J41)*N(K41)+N(L41)*N(M41)+N(N41)*N(O41))-(N(J41)+N(L41)+N(N41))*F41)-N(Q41))</f>
        <v/>
      </c>
      <c r="V41" s="9">
        <f>IF(OR(B41="",P41=""),"",U41/S41)</f>
        <v/>
      </c>
      <c r="W41">
        <f>IF(OR(B41="",P41=""),"",P41-C41)</f>
        <v/>
      </c>
      <c r="X41">
        <f>IF(B41="","",IF(P41="","Aberto","Fechado"))</f>
        <v/>
      </c>
    </row>
    <row r="42">
      <c r="C42" s="6" t="n"/>
      <c r="E42" s="10" t="n"/>
      <c r="F42" s="11" t="n"/>
      <c r="G42" s="11" t="n"/>
      <c r="H42" s="11" t="n"/>
      <c r="J42" s="10" t="n"/>
      <c r="K42" s="11" t="n"/>
      <c r="L42" s="10" t="n"/>
      <c r="M42" s="11" t="n"/>
      <c r="N42" s="10" t="n"/>
      <c r="O42" s="11" t="n"/>
      <c r="P42" s="6" t="n"/>
      <c r="Q42" s="11" t="n"/>
      <c r="S42" s="8">
        <f>IF(B42="","",E42*F42)</f>
        <v/>
      </c>
      <c r="T42" s="8">
        <f>IF(OR(B42="",N(G42)=0),"",ABS(F42-G42)*E42)</f>
        <v/>
      </c>
      <c r="U42" s="8">
        <f>IF(OR(B42="",P42=""),"",IF(D42="Venda",-1,1)*((N(J42)*N(K42)+N(L42)*N(M42)+N(N42)*N(O42))-(N(J42)+N(L42)+N(N42))*F42)-N(Q42))</f>
        <v/>
      </c>
      <c r="V42" s="9">
        <f>IF(OR(B42="",P42=""),"",U42/S42)</f>
        <v/>
      </c>
      <c r="W42">
        <f>IF(OR(B42="",P42=""),"",P42-C42)</f>
        <v/>
      </c>
      <c r="X42">
        <f>IF(B42="","",IF(P42="","Aberto","Fechado"))</f>
        <v/>
      </c>
    </row>
    <row r="43">
      <c r="C43" s="6" t="n"/>
      <c r="E43" s="10" t="n"/>
      <c r="F43" s="11" t="n"/>
      <c r="G43" s="11" t="n"/>
      <c r="H43" s="11" t="n"/>
      <c r="J43" s="10" t="n"/>
      <c r="K43" s="11" t="n"/>
      <c r="L43" s="10" t="n"/>
      <c r="M43" s="11" t="n"/>
      <c r="N43" s="10" t="n"/>
      <c r="O43" s="11" t="n"/>
      <c r="P43" s="6" t="n"/>
      <c r="Q43" s="11" t="n"/>
      <c r="S43" s="8">
        <f>IF(B43="","",E43*F43)</f>
        <v/>
      </c>
      <c r="T43" s="8">
        <f>IF(OR(B43="",N(G43)=0),"",ABS(F43-G43)*E43)</f>
        <v/>
      </c>
      <c r="U43" s="8">
        <f>IF(OR(B43="",P43=""),"",IF(D43="Venda",-1,1)*((N(J43)*N(K43)+N(L43)*N(M43)+N(N43)*N(O43))-(N(J43)+N(L43)+N(N43))*F43)-N(Q43))</f>
        <v/>
      </c>
      <c r="V43" s="9">
        <f>IF(OR(B43="",P43=""),"",U43/S43)</f>
        <v/>
      </c>
      <c r="W43">
        <f>IF(OR(B43="",P43=""),"",P43-C43)</f>
        <v/>
      </c>
      <c r="X43">
        <f>IF(B43="","",IF(P43="","Aberto","Fechado"))</f>
        <v/>
      </c>
    </row>
    <row r="44">
      <c r="C44" s="6" t="n"/>
      <c r="E44" s="10" t="n"/>
      <c r="F44" s="11" t="n"/>
      <c r="G44" s="11" t="n"/>
      <c r="H44" s="11" t="n"/>
      <c r="J44" s="10" t="n"/>
      <c r="K44" s="11" t="n"/>
      <c r="L44" s="10" t="n"/>
      <c r="M44" s="11" t="n"/>
      <c r="N44" s="10" t="n"/>
      <c r="O44" s="11" t="n"/>
      <c r="P44" s="6" t="n"/>
      <c r="Q44" s="11" t="n"/>
      <c r="S44" s="8">
        <f>IF(B44="","",E44*F44)</f>
        <v/>
      </c>
      <c r="T44" s="8">
        <f>IF(OR(B44="",N(G44)=0),"",ABS(F44-G44)*E44)</f>
        <v/>
      </c>
      <c r="U44" s="8">
        <f>IF(OR(B44="",P44=""),"",IF(D44="Venda",-1,1)*((N(J44)*N(K44)+N(L44)*N(M44)+N(N44)*N(O44))-(N(J44)+N(L44)+N(N44))*F44)-N(Q44))</f>
        <v/>
      </c>
      <c r="V44" s="9">
        <f>IF(OR(B44="",P44=""),"",U44/S44)</f>
        <v/>
      </c>
      <c r="W44">
        <f>IF(OR(B44="",P44=""),"",P44-C44)</f>
        <v/>
      </c>
      <c r="X44">
        <f>IF(B44="","",IF(P44="","Aberto","Fechado"))</f>
        <v/>
      </c>
    </row>
    <row r="45">
      <c r="C45" s="6" t="n"/>
      <c r="E45" s="10" t="n"/>
      <c r="F45" s="11" t="n"/>
      <c r="G45" s="11" t="n"/>
      <c r="H45" s="11" t="n"/>
      <c r="J45" s="10" t="n"/>
      <c r="K45" s="11" t="n"/>
      <c r="L45" s="10" t="n"/>
      <c r="M45" s="11" t="n"/>
      <c r="N45" s="10" t="n"/>
      <c r="O45" s="11" t="n"/>
      <c r="P45" s="6" t="n"/>
      <c r="Q45" s="11" t="n"/>
      <c r="S45" s="8">
        <f>IF(B45="","",E45*F45)</f>
        <v/>
      </c>
      <c r="T45" s="8">
        <f>IF(OR(B45="",N(G45)=0),"",ABS(F45-G45)*E45)</f>
        <v/>
      </c>
      <c r="U45" s="8">
        <f>IF(OR(B45="",P45=""),"",IF(D45="Venda",-1,1)*((N(J45)*N(K45)+N(L45)*N(M45)+N(N45)*N(O45))-(N(J45)+N(L45)+N(N45))*F45)-N(Q45))</f>
        <v/>
      </c>
      <c r="V45" s="9">
        <f>IF(OR(B45="",P45=""),"",U45/S45)</f>
        <v/>
      </c>
      <c r="W45">
        <f>IF(OR(B45="",P45=""),"",P45-C45)</f>
        <v/>
      </c>
      <c r="X45">
        <f>IF(B45="","",IF(P45="","Aberto","Fechado"))</f>
        <v/>
      </c>
    </row>
    <row r="46">
      <c r="C46" s="6" t="n"/>
      <c r="E46" s="10" t="n"/>
      <c r="F46" s="11" t="n"/>
      <c r="G46" s="11" t="n"/>
      <c r="H46" s="11" t="n"/>
      <c r="J46" s="10" t="n"/>
      <c r="K46" s="11" t="n"/>
      <c r="L46" s="10" t="n"/>
      <c r="M46" s="11" t="n"/>
      <c r="N46" s="10" t="n"/>
      <c r="O46" s="11" t="n"/>
      <c r="P46" s="6" t="n"/>
      <c r="Q46" s="11" t="n"/>
      <c r="S46" s="8">
        <f>IF(B46="","",E46*F46)</f>
        <v/>
      </c>
      <c r="T46" s="8">
        <f>IF(OR(B46="",N(G46)=0),"",ABS(F46-G46)*E46)</f>
        <v/>
      </c>
      <c r="U46" s="8">
        <f>IF(OR(B46="",P46=""),"",IF(D46="Venda",-1,1)*((N(J46)*N(K46)+N(L46)*N(M46)+N(N46)*N(O46))-(N(J46)+N(L46)+N(N46))*F46)-N(Q46))</f>
        <v/>
      </c>
      <c r="V46" s="9">
        <f>IF(OR(B46="",P46=""),"",U46/S46)</f>
        <v/>
      </c>
      <c r="W46">
        <f>IF(OR(B46="",P46=""),"",P46-C46)</f>
        <v/>
      </c>
      <c r="X46">
        <f>IF(B46="","",IF(P46="","Aberto","Fechado"))</f>
        <v/>
      </c>
    </row>
    <row r="47">
      <c r="C47" s="6" t="n"/>
      <c r="E47" s="10" t="n"/>
      <c r="F47" s="11" t="n"/>
      <c r="G47" s="11" t="n"/>
      <c r="H47" s="11" t="n"/>
      <c r="J47" s="10" t="n"/>
      <c r="K47" s="11" t="n"/>
      <c r="L47" s="10" t="n"/>
      <c r="M47" s="11" t="n"/>
      <c r="N47" s="10" t="n"/>
      <c r="O47" s="11" t="n"/>
      <c r="P47" s="6" t="n"/>
      <c r="Q47" s="11" t="n"/>
      <c r="S47" s="8">
        <f>IF(B47="","",E47*F47)</f>
        <v/>
      </c>
      <c r="T47" s="8">
        <f>IF(OR(B47="",N(G47)=0),"",ABS(F47-G47)*E47)</f>
        <v/>
      </c>
      <c r="U47" s="8">
        <f>IF(OR(B47="",P47=""),"",IF(D47="Venda",-1,1)*((N(J47)*N(K47)+N(L47)*N(M47)+N(N47)*N(O47))-(N(J47)+N(L47)+N(N47))*F47)-N(Q47))</f>
        <v/>
      </c>
      <c r="V47" s="9">
        <f>IF(OR(B47="",P47=""),"",U47/S47)</f>
        <v/>
      </c>
      <c r="W47">
        <f>IF(OR(B47="",P47=""),"",P47-C47)</f>
        <v/>
      </c>
      <c r="X47">
        <f>IF(B47="","",IF(P47="","Aberto","Fechado"))</f>
        <v/>
      </c>
    </row>
    <row r="48">
      <c r="C48" s="6" t="n"/>
      <c r="E48" s="10" t="n"/>
      <c r="F48" s="11" t="n"/>
      <c r="G48" s="11" t="n"/>
      <c r="H48" s="11" t="n"/>
      <c r="J48" s="10" t="n"/>
      <c r="K48" s="11" t="n"/>
      <c r="L48" s="10" t="n"/>
      <c r="M48" s="11" t="n"/>
      <c r="N48" s="10" t="n"/>
      <c r="O48" s="11" t="n"/>
      <c r="P48" s="6" t="n"/>
      <c r="Q48" s="11" t="n"/>
      <c r="S48" s="8">
        <f>IF(B48="","",E48*F48)</f>
        <v/>
      </c>
      <c r="T48" s="8">
        <f>IF(OR(B48="",N(G48)=0),"",ABS(F48-G48)*E48)</f>
        <v/>
      </c>
      <c r="U48" s="8">
        <f>IF(OR(B48="",P48=""),"",IF(D48="Venda",-1,1)*((N(J48)*N(K48)+N(L48)*N(M48)+N(N48)*N(O48))-(N(J48)+N(L48)+N(N48))*F48)-N(Q48))</f>
        <v/>
      </c>
      <c r="V48" s="9">
        <f>IF(OR(B48="",P48=""),"",U48/S48)</f>
        <v/>
      </c>
      <c r="W48">
        <f>IF(OR(B48="",P48=""),"",P48-C48)</f>
        <v/>
      </c>
      <c r="X48">
        <f>IF(B48="","",IF(P48="","Aberto","Fechado"))</f>
        <v/>
      </c>
    </row>
    <row r="49">
      <c r="C49" s="6" t="n"/>
      <c r="E49" s="10" t="n"/>
      <c r="F49" s="11" t="n"/>
      <c r="G49" s="11" t="n"/>
      <c r="H49" s="11" t="n"/>
      <c r="J49" s="10" t="n"/>
      <c r="K49" s="11" t="n"/>
      <c r="L49" s="10" t="n"/>
      <c r="M49" s="11" t="n"/>
      <c r="N49" s="10" t="n"/>
      <c r="O49" s="11" t="n"/>
      <c r="P49" s="6" t="n"/>
      <c r="Q49" s="11" t="n"/>
      <c r="S49" s="8">
        <f>IF(B49="","",E49*F49)</f>
        <v/>
      </c>
      <c r="T49" s="8">
        <f>IF(OR(B49="",N(G49)=0),"",ABS(F49-G49)*E49)</f>
        <v/>
      </c>
      <c r="U49" s="8">
        <f>IF(OR(B49="",P49=""),"",IF(D49="Venda",-1,1)*((N(J49)*N(K49)+N(L49)*N(M49)+N(N49)*N(O49))-(N(J49)+N(L49)+N(N49))*F49)-N(Q49))</f>
        <v/>
      </c>
      <c r="V49" s="9">
        <f>IF(OR(B49="",P49=""),"",U49/S49)</f>
        <v/>
      </c>
      <c r="W49">
        <f>IF(OR(B49="",P49=""),"",P49-C49)</f>
        <v/>
      </c>
      <c r="X49">
        <f>IF(B49="","",IF(P49="","Aberto","Fechado"))</f>
        <v/>
      </c>
    </row>
    <row r="50">
      <c r="C50" s="6" t="n"/>
      <c r="E50" s="10" t="n"/>
      <c r="F50" s="11" t="n"/>
      <c r="G50" s="11" t="n"/>
      <c r="H50" s="11" t="n"/>
      <c r="J50" s="10" t="n"/>
      <c r="K50" s="11" t="n"/>
      <c r="L50" s="10" t="n"/>
      <c r="M50" s="11" t="n"/>
      <c r="N50" s="10" t="n"/>
      <c r="O50" s="11" t="n"/>
      <c r="P50" s="6" t="n"/>
      <c r="Q50" s="11" t="n"/>
      <c r="S50" s="8">
        <f>IF(B50="","",E50*F50)</f>
        <v/>
      </c>
      <c r="T50" s="8">
        <f>IF(OR(B50="",N(G50)=0),"",ABS(F50-G50)*E50)</f>
        <v/>
      </c>
      <c r="U50" s="8">
        <f>IF(OR(B50="",P50=""),"",IF(D50="Venda",-1,1)*((N(J50)*N(K50)+N(L50)*N(M50)+N(N50)*N(O50))-(N(J50)+N(L50)+N(N50))*F50)-N(Q50))</f>
        <v/>
      </c>
      <c r="V50" s="9">
        <f>IF(OR(B50="",P50=""),"",U50/S50)</f>
        <v/>
      </c>
      <c r="W50">
        <f>IF(OR(B50="",P50=""),"",P50-C50)</f>
        <v/>
      </c>
      <c r="X50">
        <f>IF(B50="","",IF(P50="","Aberto","Fechado"))</f>
        <v/>
      </c>
    </row>
    <row r="51">
      <c r="C51" s="6" t="n"/>
      <c r="E51" s="10" t="n"/>
      <c r="F51" s="11" t="n"/>
      <c r="G51" s="11" t="n"/>
      <c r="H51" s="11" t="n"/>
      <c r="J51" s="10" t="n"/>
      <c r="K51" s="11" t="n"/>
      <c r="L51" s="10" t="n"/>
      <c r="M51" s="11" t="n"/>
      <c r="N51" s="10" t="n"/>
      <c r="O51" s="11" t="n"/>
      <c r="P51" s="6" t="n"/>
      <c r="Q51" s="11" t="n"/>
      <c r="S51" s="8">
        <f>IF(B51="","",E51*F51)</f>
        <v/>
      </c>
      <c r="T51" s="8">
        <f>IF(OR(B51="",N(G51)=0),"",ABS(F51-G51)*E51)</f>
        <v/>
      </c>
      <c r="U51" s="8">
        <f>IF(OR(B51="",P51=""),"",IF(D51="Venda",-1,1)*((N(J51)*N(K51)+N(L51)*N(M51)+N(N51)*N(O51))-(N(J51)+N(L51)+N(N51))*F51)-N(Q51))</f>
        <v/>
      </c>
      <c r="V51" s="9">
        <f>IF(OR(B51="",P51=""),"",U51/S51)</f>
        <v/>
      </c>
      <c r="W51">
        <f>IF(OR(B51="",P51=""),"",P51-C51)</f>
        <v/>
      </c>
      <c r="X51">
        <f>IF(B51="","",IF(P51="","Aberto","Fechado"))</f>
        <v/>
      </c>
    </row>
    <row r="52">
      <c r="C52" s="6" t="n"/>
      <c r="E52" s="10" t="n"/>
      <c r="F52" s="11" t="n"/>
      <c r="G52" s="11" t="n"/>
      <c r="H52" s="11" t="n"/>
      <c r="J52" s="10" t="n"/>
      <c r="K52" s="11" t="n"/>
      <c r="L52" s="10" t="n"/>
      <c r="M52" s="11" t="n"/>
      <c r="N52" s="10" t="n"/>
      <c r="O52" s="11" t="n"/>
      <c r="P52" s="6" t="n"/>
      <c r="Q52" s="11" t="n"/>
      <c r="S52" s="8">
        <f>IF(B52="","",E52*F52)</f>
        <v/>
      </c>
      <c r="T52" s="8">
        <f>IF(OR(B52="",N(G52)=0),"",ABS(F52-G52)*E52)</f>
        <v/>
      </c>
      <c r="U52" s="8">
        <f>IF(OR(B52="",P52=""),"",IF(D52="Venda",-1,1)*((N(J52)*N(K52)+N(L52)*N(M52)+N(N52)*N(O52))-(N(J52)+N(L52)+N(N52))*F52)-N(Q52))</f>
        <v/>
      </c>
      <c r="V52" s="9">
        <f>IF(OR(B52="",P52=""),"",U52/S52)</f>
        <v/>
      </c>
      <c r="W52">
        <f>IF(OR(B52="",P52=""),"",P52-C52)</f>
        <v/>
      </c>
      <c r="X52">
        <f>IF(B52="","",IF(P52="","Aberto","Fechado"))</f>
        <v/>
      </c>
    </row>
    <row r="53">
      <c r="C53" s="6" t="n"/>
      <c r="E53" s="10" t="n"/>
      <c r="F53" s="11" t="n"/>
      <c r="G53" s="11" t="n"/>
      <c r="H53" s="11" t="n"/>
      <c r="J53" s="10" t="n"/>
      <c r="K53" s="11" t="n"/>
      <c r="L53" s="10" t="n"/>
      <c r="M53" s="11" t="n"/>
      <c r="N53" s="10" t="n"/>
      <c r="O53" s="11" t="n"/>
      <c r="P53" s="6" t="n"/>
      <c r="Q53" s="11" t="n"/>
      <c r="S53" s="8">
        <f>IF(B53="","",E53*F53)</f>
        <v/>
      </c>
      <c r="T53" s="8">
        <f>IF(OR(B53="",N(G53)=0),"",ABS(F53-G53)*E53)</f>
        <v/>
      </c>
      <c r="U53" s="8">
        <f>IF(OR(B53="",P53=""),"",IF(D53="Venda",-1,1)*((N(J53)*N(K53)+N(L53)*N(M53)+N(N53)*N(O53))-(N(J53)+N(L53)+N(N53))*F53)-N(Q53))</f>
        <v/>
      </c>
      <c r="V53" s="9">
        <f>IF(OR(B53="",P53=""),"",U53/S53)</f>
        <v/>
      </c>
      <c r="W53">
        <f>IF(OR(B53="",P53=""),"",P53-C53)</f>
        <v/>
      </c>
      <c r="X53">
        <f>IF(B53="","",IF(P53="","Aberto","Fechado"))</f>
        <v/>
      </c>
    </row>
    <row r="54">
      <c r="C54" s="6" t="n"/>
      <c r="E54" s="10" t="n"/>
      <c r="F54" s="11" t="n"/>
      <c r="G54" s="11" t="n"/>
      <c r="H54" s="11" t="n"/>
      <c r="J54" s="10" t="n"/>
      <c r="K54" s="11" t="n"/>
      <c r="L54" s="10" t="n"/>
      <c r="M54" s="11" t="n"/>
      <c r="N54" s="10" t="n"/>
      <c r="O54" s="11" t="n"/>
      <c r="P54" s="6" t="n"/>
      <c r="Q54" s="11" t="n"/>
      <c r="S54" s="8">
        <f>IF(B54="","",E54*F54)</f>
        <v/>
      </c>
      <c r="T54" s="8">
        <f>IF(OR(B54="",N(G54)=0),"",ABS(F54-G54)*E54)</f>
        <v/>
      </c>
      <c r="U54" s="8">
        <f>IF(OR(B54="",P54=""),"",IF(D54="Venda",-1,1)*((N(J54)*N(K54)+N(L54)*N(M54)+N(N54)*N(O54))-(N(J54)+N(L54)+N(N54))*F54)-N(Q54))</f>
        <v/>
      </c>
      <c r="V54" s="9">
        <f>IF(OR(B54="",P54=""),"",U54/S54)</f>
        <v/>
      </c>
      <c r="W54">
        <f>IF(OR(B54="",P54=""),"",P54-C54)</f>
        <v/>
      </c>
      <c r="X54">
        <f>IF(B54="","",IF(P54="","Aberto","Fechado"))</f>
        <v/>
      </c>
    </row>
    <row r="55">
      <c r="C55" s="6" t="n"/>
      <c r="E55" s="10" t="n"/>
      <c r="F55" s="11" t="n"/>
      <c r="G55" s="11" t="n"/>
      <c r="H55" s="11" t="n"/>
      <c r="J55" s="10" t="n"/>
      <c r="K55" s="11" t="n"/>
      <c r="L55" s="10" t="n"/>
      <c r="M55" s="11" t="n"/>
      <c r="N55" s="10" t="n"/>
      <c r="O55" s="11" t="n"/>
      <c r="P55" s="6" t="n"/>
      <c r="Q55" s="11" t="n"/>
      <c r="S55" s="8">
        <f>IF(B55="","",E55*F55)</f>
        <v/>
      </c>
      <c r="T55" s="8">
        <f>IF(OR(B55="",N(G55)=0),"",ABS(F55-G55)*E55)</f>
        <v/>
      </c>
      <c r="U55" s="8">
        <f>IF(OR(B55="",P55=""),"",IF(D55="Venda",-1,1)*((N(J55)*N(K55)+N(L55)*N(M55)+N(N55)*N(O55))-(N(J55)+N(L55)+N(N55))*F55)-N(Q55))</f>
        <v/>
      </c>
      <c r="V55" s="9">
        <f>IF(OR(B55="",P55=""),"",U55/S55)</f>
        <v/>
      </c>
      <c r="W55">
        <f>IF(OR(B55="",P55=""),"",P55-C55)</f>
        <v/>
      </c>
      <c r="X55">
        <f>IF(B55="","",IF(P55="","Aberto","Fechado"))</f>
        <v/>
      </c>
    </row>
    <row r="56">
      <c r="C56" s="6" t="n"/>
      <c r="E56" s="10" t="n"/>
      <c r="F56" s="11" t="n"/>
      <c r="G56" s="11" t="n"/>
      <c r="H56" s="11" t="n"/>
      <c r="J56" s="10" t="n"/>
      <c r="K56" s="11" t="n"/>
      <c r="L56" s="10" t="n"/>
      <c r="M56" s="11" t="n"/>
      <c r="N56" s="10" t="n"/>
      <c r="O56" s="11" t="n"/>
      <c r="P56" s="6" t="n"/>
      <c r="Q56" s="11" t="n"/>
      <c r="S56" s="8">
        <f>IF(B56="","",E56*F56)</f>
        <v/>
      </c>
      <c r="T56" s="8">
        <f>IF(OR(B56="",N(G56)=0),"",ABS(F56-G56)*E56)</f>
        <v/>
      </c>
      <c r="U56" s="8">
        <f>IF(OR(B56="",P56=""),"",IF(D56="Venda",-1,1)*((N(J56)*N(K56)+N(L56)*N(M56)+N(N56)*N(O56))-(N(J56)+N(L56)+N(N56))*F56)-N(Q56))</f>
        <v/>
      </c>
      <c r="V56" s="9">
        <f>IF(OR(B56="",P56=""),"",U56/S56)</f>
        <v/>
      </c>
      <c r="W56">
        <f>IF(OR(B56="",P56=""),"",P56-C56)</f>
        <v/>
      </c>
      <c r="X56">
        <f>IF(B56="","",IF(P56="","Aberto","Fechado"))</f>
        <v/>
      </c>
    </row>
    <row r="57">
      <c r="C57" s="6" t="n"/>
      <c r="E57" s="10" t="n"/>
      <c r="F57" s="11" t="n"/>
      <c r="G57" s="11" t="n"/>
      <c r="H57" s="11" t="n"/>
      <c r="J57" s="10" t="n"/>
      <c r="K57" s="11" t="n"/>
      <c r="L57" s="10" t="n"/>
      <c r="M57" s="11" t="n"/>
      <c r="N57" s="10" t="n"/>
      <c r="O57" s="11" t="n"/>
      <c r="P57" s="6" t="n"/>
      <c r="Q57" s="11" t="n"/>
      <c r="S57" s="8">
        <f>IF(B57="","",E57*F57)</f>
        <v/>
      </c>
      <c r="T57" s="8">
        <f>IF(OR(B57="",N(G57)=0),"",ABS(F57-G57)*E57)</f>
        <v/>
      </c>
      <c r="U57" s="8">
        <f>IF(OR(B57="",P57=""),"",IF(D57="Venda",-1,1)*((N(J57)*N(K57)+N(L57)*N(M57)+N(N57)*N(O57))-(N(J57)+N(L57)+N(N57))*F57)-N(Q57))</f>
        <v/>
      </c>
      <c r="V57" s="9">
        <f>IF(OR(B57="",P57=""),"",U57/S57)</f>
        <v/>
      </c>
      <c r="W57">
        <f>IF(OR(B57="",P57=""),"",P57-C57)</f>
        <v/>
      </c>
      <c r="X57">
        <f>IF(B57="","",IF(P57="","Aberto","Fechado"))</f>
        <v/>
      </c>
    </row>
    <row r="58">
      <c r="C58" s="6" t="n"/>
      <c r="E58" s="10" t="n"/>
      <c r="F58" s="11" t="n"/>
      <c r="G58" s="11" t="n"/>
      <c r="H58" s="11" t="n"/>
      <c r="J58" s="10" t="n"/>
      <c r="K58" s="11" t="n"/>
      <c r="L58" s="10" t="n"/>
      <c r="M58" s="11" t="n"/>
      <c r="N58" s="10" t="n"/>
      <c r="O58" s="11" t="n"/>
      <c r="P58" s="6" t="n"/>
      <c r="Q58" s="11" t="n"/>
      <c r="S58" s="8">
        <f>IF(B58="","",E58*F58)</f>
        <v/>
      </c>
      <c r="T58" s="8">
        <f>IF(OR(B58="",N(G58)=0),"",ABS(F58-G58)*E58)</f>
        <v/>
      </c>
      <c r="U58" s="8">
        <f>IF(OR(B58="",P58=""),"",IF(D58="Venda",-1,1)*((N(J58)*N(K58)+N(L58)*N(M58)+N(N58)*N(O58))-(N(J58)+N(L58)+N(N58))*F58)-N(Q58))</f>
        <v/>
      </c>
      <c r="V58" s="9">
        <f>IF(OR(B58="",P58=""),"",U58/S58)</f>
        <v/>
      </c>
      <c r="W58">
        <f>IF(OR(B58="",P58=""),"",P58-C58)</f>
        <v/>
      </c>
      <c r="X58">
        <f>IF(B58="","",IF(P58="","Aberto","Fechado"))</f>
        <v/>
      </c>
    </row>
    <row r="59">
      <c r="C59" s="6" t="n"/>
      <c r="E59" s="10" t="n"/>
      <c r="F59" s="11" t="n"/>
      <c r="G59" s="11" t="n"/>
      <c r="H59" s="11" t="n"/>
      <c r="J59" s="10" t="n"/>
      <c r="K59" s="11" t="n"/>
      <c r="L59" s="10" t="n"/>
      <c r="M59" s="11" t="n"/>
      <c r="N59" s="10" t="n"/>
      <c r="O59" s="11" t="n"/>
      <c r="P59" s="6" t="n"/>
      <c r="Q59" s="11" t="n"/>
      <c r="S59" s="8">
        <f>IF(B59="","",E59*F59)</f>
        <v/>
      </c>
      <c r="T59" s="8">
        <f>IF(OR(B59="",N(G59)=0),"",ABS(F59-G59)*E59)</f>
        <v/>
      </c>
      <c r="U59" s="8">
        <f>IF(OR(B59="",P59=""),"",IF(D59="Venda",-1,1)*((N(J59)*N(K59)+N(L59)*N(M59)+N(N59)*N(O59))-(N(J59)+N(L59)+N(N59))*F59)-N(Q59))</f>
        <v/>
      </c>
      <c r="V59" s="9">
        <f>IF(OR(B59="",P59=""),"",U59/S59)</f>
        <v/>
      </c>
      <c r="W59">
        <f>IF(OR(B59="",P59=""),"",P59-C59)</f>
        <v/>
      </c>
      <c r="X59">
        <f>IF(B59="","",IF(P59="","Aberto","Fechado"))</f>
        <v/>
      </c>
    </row>
    <row r="60">
      <c r="C60" s="6" t="n"/>
      <c r="E60" s="10" t="n"/>
      <c r="F60" s="11" t="n"/>
      <c r="G60" s="11" t="n"/>
      <c r="H60" s="11" t="n"/>
      <c r="J60" s="10" t="n"/>
      <c r="K60" s="11" t="n"/>
      <c r="L60" s="10" t="n"/>
      <c r="M60" s="11" t="n"/>
      <c r="N60" s="10" t="n"/>
      <c r="O60" s="11" t="n"/>
      <c r="P60" s="6" t="n"/>
      <c r="Q60" s="11" t="n"/>
      <c r="S60" s="8">
        <f>IF(B60="","",E60*F60)</f>
        <v/>
      </c>
      <c r="T60" s="8">
        <f>IF(OR(B60="",N(G60)=0),"",ABS(F60-G60)*E60)</f>
        <v/>
      </c>
      <c r="U60" s="8">
        <f>IF(OR(B60="",P60=""),"",IF(D60="Venda",-1,1)*((N(J60)*N(K60)+N(L60)*N(M60)+N(N60)*N(O60))-(N(J60)+N(L60)+N(N60))*F60)-N(Q60))</f>
        <v/>
      </c>
      <c r="V60" s="9">
        <f>IF(OR(B60="",P60=""),"",U60/S60)</f>
        <v/>
      </c>
      <c r="W60">
        <f>IF(OR(B60="",P60=""),"",P60-C60)</f>
        <v/>
      </c>
      <c r="X60">
        <f>IF(B60="","",IF(P60="","Aberto","Fechado"))</f>
        <v/>
      </c>
    </row>
    <row r="61">
      <c r="C61" s="6" t="n"/>
      <c r="E61" s="10" t="n"/>
      <c r="F61" s="11" t="n"/>
      <c r="G61" s="11" t="n"/>
      <c r="H61" s="11" t="n"/>
      <c r="J61" s="10" t="n"/>
      <c r="K61" s="11" t="n"/>
      <c r="L61" s="10" t="n"/>
      <c r="M61" s="11" t="n"/>
      <c r="N61" s="10" t="n"/>
      <c r="O61" s="11" t="n"/>
      <c r="P61" s="6" t="n"/>
      <c r="Q61" s="11" t="n"/>
      <c r="S61" s="8">
        <f>IF(B61="","",E61*F61)</f>
        <v/>
      </c>
      <c r="T61" s="8">
        <f>IF(OR(B61="",N(G61)=0),"",ABS(F61-G61)*E61)</f>
        <v/>
      </c>
      <c r="U61" s="8">
        <f>IF(OR(B61="",P61=""),"",IF(D61="Venda",-1,1)*((N(J61)*N(K61)+N(L61)*N(M61)+N(N61)*N(O61))-(N(J61)+N(L61)+N(N61))*F61)-N(Q61))</f>
        <v/>
      </c>
      <c r="V61" s="9">
        <f>IF(OR(B61="",P61=""),"",U61/S61)</f>
        <v/>
      </c>
      <c r="W61">
        <f>IF(OR(B61="",P61=""),"",P61-C61)</f>
        <v/>
      </c>
      <c r="X61">
        <f>IF(B61="","",IF(P61="","Aberto","Fechado"))</f>
        <v/>
      </c>
    </row>
    <row r="62">
      <c r="C62" s="6" t="n"/>
      <c r="E62" s="10" t="n"/>
      <c r="F62" s="11" t="n"/>
      <c r="G62" s="11" t="n"/>
      <c r="H62" s="11" t="n"/>
      <c r="J62" s="10" t="n"/>
      <c r="K62" s="11" t="n"/>
      <c r="L62" s="10" t="n"/>
      <c r="M62" s="11" t="n"/>
      <c r="N62" s="10" t="n"/>
      <c r="O62" s="11" t="n"/>
      <c r="P62" s="6" t="n"/>
      <c r="Q62" s="11" t="n"/>
      <c r="S62" s="8">
        <f>IF(B62="","",E62*F62)</f>
        <v/>
      </c>
      <c r="T62" s="8">
        <f>IF(OR(B62="",N(G62)=0),"",ABS(F62-G62)*E62)</f>
        <v/>
      </c>
      <c r="U62" s="8">
        <f>IF(OR(B62="",P62=""),"",IF(D62="Venda",-1,1)*((N(J62)*N(K62)+N(L62)*N(M62)+N(N62)*N(O62))-(N(J62)+N(L62)+N(N62))*F62)-N(Q62))</f>
        <v/>
      </c>
      <c r="V62" s="9">
        <f>IF(OR(B62="",P62=""),"",U62/S62)</f>
        <v/>
      </c>
      <c r="W62">
        <f>IF(OR(B62="",P62=""),"",P62-C62)</f>
        <v/>
      </c>
      <c r="X62">
        <f>IF(B62="","",IF(P62="","Aberto","Fechado"))</f>
        <v/>
      </c>
    </row>
    <row r="63">
      <c r="C63" s="6" t="n"/>
      <c r="E63" s="10" t="n"/>
      <c r="F63" s="11" t="n"/>
      <c r="G63" s="11" t="n"/>
      <c r="H63" s="11" t="n"/>
      <c r="J63" s="10" t="n"/>
      <c r="K63" s="11" t="n"/>
      <c r="L63" s="10" t="n"/>
      <c r="M63" s="11" t="n"/>
      <c r="N63" s="10" t="n"/>
      <c r="O63" s="11" t="n"/>
      <c r="P63" s="6" t="n"/>
      <c r="Q63" s="11" t="n"/>
      <c r="S63" s="8">
        <f>IF(B63="","",E63*F63)</f>
        <v/>
      </c>
      <c r="T63" s="8">
        <f>IF(OR(B63="",N(G63)=0),"",ABS(F63-G63)*E63)</f>
        <v/>
      </c>
      <c r="U63" s="8">
        <f>IF(OR(B63="",P63=""),"",IF(D63="Venda",-1,1)*((N(J63)*N(K63)+N(L63)*N(M63)+N(N63)*N(O63))-(N(J63)+N(L63)+N(N63))*F63)-N(Q63))</f>
        <v/>
      </c>
      <c r="V63" s="9">
        <f>IF(OR(B63="",P63=""),"",U63/S63)</f>
        <v/>
      </c>
      <c r="W63">
        <f>IF(OR(B63="",P63=""),"",P63-C63)</f>
        <v/>
      </c>
      <c r="X63">
        <f>IF(B63="","",IF(P63="","Aberto","Fechado"))</f>
        <v/>
      </c>
    </row>
    <row r="64">
      <c r="C64" s="6" t="n"/>
      <c r="E64" s="10" t="n"/>
      <c r="F64" s="11" t="n"/>
      <c r="G64" s="11" t="n"/>
      <c r="H64" s="11" t="n"/>
      <c r="J64" s="10" t="n"/>
      <c r="K64" s="11" t="n"/>
      <c r="L64" s="10" t="n"/>
      <c r="M64" s="11" t="n"/>
      <c r="N64" s="10" t="n"/>
      <c r="O64" s="11" t="n"/>
      <c r="P64" s="6" t="n"/>
      <c r="Q64" s="11" t="n"/>
      <c r="S64" s="8">
        <f>IF(B64="","",E64*F64)</f>
        <v/>
      </c>
      <c r="T64" s="8">
        <f>IF(OR(B64="",N(G64)=0),"",ABS(F64-G64)*E64)</f>
        <v/>
      </c>
      <c r="U64" s="8">
        <f>IF(OR(B64="",P64=""),"",IF(D64="Venda",-1,1)*((N(J64)*N(K64)+N(L64)*N(M64)+N(N64)*N(O64))-(N(J64)+N(L64)+N(N64))*F64)-N(Q64))</f>
        <v/>
      </c>
      <c r="V64" s="9">
        <f>IF(OR(B64="",P64=""),"",U64/S64)</f>
        <v/>
      </c>
      <c r="W64">
        <f>IF(OR(B64="",P64=""),"",P64-C64)</f>
        <v/>
      </c>
      <c r="X64">
        <f>IF(B64="","",IF(P64="","Aberto","Fechado"))</f>
        <v/>
      </c>
    </row>
    <row r="65">
      <c r="C65" s="6" t="n"/>
      <c r="E65" s="10" t="n"/>
      <c r="F65" s="11" t="n"/>
      <c r="G65" s="11" t="n"/>
      <c r="H65" s="11" t="n"/>
      <c r="J65" s="10" t="n"/>
      <c r="K65" s="11" t="n"/>
      <c r="L65" s="10" t="n"/>
      <c r="M65" s="11" t="n"/>
      <c r="N65" s="10" t="n"/>
      <c r="O65" s="11" t="n"/>
      <c r="P65" s="6" t="n"/>
      <c r="Q65" s="11" t="n"/>
      <c r="S65" s="8">
        <f>IF(B65="","",E65*F65)</f>
        <v/>
      </c>
      <c r="T65" s="8">
        <f>IF(OR(B65="",N(G65)=0),"",ABS(F65-G65)*E65)</f>
        <v/>
      </c>
      <c r="U65" s="8">
        <f>IF(OR(B65="",P65=""),"",IF(D65="Venda",-1,1)*((N(J65)*N(K65)+N(L65)*N(M65)+N(N65)*N(O65))-(N(J65)+N(L65)+N(N65))*F65)-N(Q65))</f>
        <v/>
      </c>
      <c r="V65" s="9">
        <f>IF(OR(B65="",P65=""),"",U65/S65)</f>
        <v/>
      </c>
      <c r="W65">
        <f>IF(OR(B65="",P65=""),"",P65-C65)</f>
        <v/>
      </c>
      <c r="X65">
        <f>IF(B65="","",IF(P65="","Aberto","Fechado"))</f>
        <v/>
      </c>
    </row>
    <row r="66">
      <c r="C66" s="6" t="n"/>
      <c r="E66" s="10" t="n"/>
      <c r="F66" s="11" t="n"/>
      <c r="G66" s="11" t="n"/>
      <c r="H66" s="11" t="n"/>
      <c r="J66" s="10" t="n"/>
      <c r="K66" s="11" t="n"/>
      <c r="L66" s="10" t="n"/>
      <c r="M66" s="11" t="n"/>
      <c r="N66" s="10" t="n"/>
      <c r="O66" s="11" t="n"/>
      <c r="P66" s="6" t="n"/>
      <c r="Q66" s="11" t="n"/>
      <c r="S66" s="8">
        <f>IF(B66="","",E66*F66)</f>
        <v/>
      </c>
      <c r="T66" s="8">
        <f>IF(OR(B66="",N(G66)=0),"",ABS(F66-G66)*E66)</f>
        <v/>
      </c>
      <c r="U66" s="8">
        <f>IF(OR(B66="",P66=""),"",IF(D66="Venda",-1,1)*((N(J66)*N(K66)+N(L66)*N(M66)+N(N66)*N(O66))-(N(J66)+N(L66)+N(N66))*F66)-N(Q66))</f>
        <v/>
      </c>
      <c r="V66" s="9">
        <f>IF(OR(B66="",P66=""),"",U66/S66)</f>
        <v/>
      </c>
      <c r="W66">
        <f>IF(OR(B66="",P66=""),"",P66-C66)</f>
        <v/>
      </c>
      <c r="X66">
        <f>IF(B66="","",IF(P66="","Aberto","Fechado"))</f>
        <v/>
      </c>
    </row>
    <row r="67">
      <c r="C67" s="6" t="n"/>
      <c r="E67" s="10" t="n"/>
      <c r="F67" s="11" t="n"/>
      <c r="G67" s="11" t="n"/>
      <c r="H67" s="11" t="n"/>
      <c r="J67" s="10" t="n"/>
      <c r="K67" s="11" t="n"/>
      <c r="L67" s="10" t="n"/>
      <c r="M67" s="11" t="n"/>
      <c r="N67" s="10" t="n"/>
      <c r="O67" s="11" t="n"/>
      <c r="P67" s="6" t="n"/>
      <c r="Q67" s="11" t="n"/>
      <c r="S67" s="8">
        <f>IF(B67="","",E67*F67)</f>
        <v/>
      </c>
      <c r="T67" s="8">
        <f>IF(OR(B67="",N(G67)=0),"",ABS(F67-G67)*E67)</f>
        <v/>
      </c>
      <c r="U67" s="8">
        <f>IF(OR(B67="",P67=""),"",IF(D67="Venda",-1,1)*((N(J67)*N(K67)+N(L67)*N(M67)+N(N67)*N(O67))-(N(J67)+N(L67)+N(N67))*F67)-N(Q67))</f>
        <v/>
      </c>
      <c r="V67" s="9">
        <f>IF(OR(B67="",P67=""),"",U67/S67)</f>
        <v/>
      </c>
      <c r="W67">
        <f>IF(OR(B67="",P67=""),"",P67-C67)</f>
        <v/>
      </c>
      <c r="X67">
        <f>IF(B67="","",IF(P67="","Aberto","Fechado"))</f>
        <v/>
      </c>
    </row>
    <row r="68">
      <c r="C68" s="6" t="n"/>
      <c r="E68" s="10" t="n"/>
      <c r="F68" s="11" t="n"/>
      <c r="G68" s="11" t="n"/>
      <c r="H68" s="11" t="n"/>
      <c r="J68" s="10" t="n"/>
      <c r="K68" s="11" t="n"/>
      <c r="L68" s="10" t="n"/>
      <c r="M68" s="11" t="n"/>
      <c r="N68" s="10" t="n"/>
      <c r="O68" s="11" t="n"/>
      <c r="P68" s="6" t="n"/>
      <c r="Q68" s="11" t="n"/>
      <c r="S68" s="8">
        <f>IF(B68="","",E68*F68)</f>
        <v/>
      </c>
      <c r="T68" s="8">
        <f>IF(OR(B68="",N(G68)=0),"",ABS(F68-G68)*E68)</f>
        <v/>
      </c>
      <c r="U68" s="8">
        <f>IF(OR(B68="",P68=""),"",IF(D68="Venda",-1,1)*((N(J68)*N(K68)+N(L68)*N(M68)+N(N68)*N(O68))-(N(J68)+N(L68)+N(N68))*F68)-N(Q68))</f>
        <v/>
      </c>
      <c r="V68" s="9">
        <f>IF(OR(B68="",P68=""),"",U68/S68)</f>
        <v/>
      </c>
      <c r="W68">
        <f>IF(OR(B68="",P68=""),"",P68-C68)</f>
        <v/>
      </c>
      <c r="X68">
        <f>IF(B68="","",IF(P68="","Aberto","Fechado"))</f>
        <v/>
      </c>
    </row>
    <row r="69">
      <c r="C69" s="6" t="n"/>
      <c r="E69" s="10" t="n"/>
      <c r="F69" s="11" t="n"/>
      <c r="G69" s="11" t="n"/>
      <c r="H69" s="11" t="n"/>
      <c r="J69" s="10" t="n"/>
      <c r="K69" s="11" t="n"/>
      <c r="L69" s="10" t="n"/>
      <c r="M69" s="11" t="n"/>
      <c r="N69" s="10" t="n"/>
      <c r="O69" s="11" t="n"/>
      <c r="P69" s="6" t="n"/>
      <c r="Q69" s="11" t="n"/>
      <c r="S69" s="8">
        <f>IF(B69="","",E69*F69)</f>
        <v/>
      </c>
      <c r="T69" s="8">
        <f>IF(OR(B69="",N(G69)=0),"",ABS(F69-G69)*E69)</f>
        <v/>
      </c>
      <c r="U69" s="8">
        <f>IF(OR(B69="",P69=""),"",IF(D69="Venda",-1,1)*((N(J69)*N(K69)+N(L69)*N(M69)+N(N69)*N(O69))-(N(J69)+N(L69)+N(N69))*F69)-N(Q69))</f>
        <v/>
      </c>
      <c r="V69" s="9">
        <f>IF(OR(B69="",P69=""),"",U69/S69)</f>
        <v/>
      </c>
      <c r="W69">
        <f>IF(OR(B69="",P69=""),"",P69-C69)</f>
        <v/>
      </c>
      <c r="X69">
        <f>IF(B69="","",IF(P69="","Aberto","Fechado"))</f>
        <v/>
      </c>
    </row>
    <row r="70">
      <c r="C70" s="6" t="n"/>
      <c r="E70" s="10" t="n"/>
      <c r="F70" s="11" t="n"/>
      <c r="G70" s="11" t="n"/>
      <c r="H70" s="11" t="n"/>
      <c r="J70" s="10" t="n"/>
      <c r="K70" s="11" t="n"/>
      <c r="L70" s="10" t="n"/>
      <c r="M70" s="11" t="n"/>
      <c r="N70" s="10" t="n"/>
      <c r="O70" s="11" t="n"/>
      <c r="P70" s="6" t="n"/>
      <c r="Q70" s="11" t="n"/>
      <c r="S70" s="8">
        <f>IF(B70="","",E70*F70)</f>
        <v/>
      </c>
      <c r="T70" s="8">
        <f>IF(OR(B70="",N(G70)=0),"",ABS(F70-G70)*E70)</f>
        <v/>
      </c>
      <c r="U70" s="8">
        <f>IF(OR(B70="",P70=""),"",IF(D70="Venda",-1,1)*((N(J70)*N(K70)+N(L70)*N(M70)+N(N70)*N(O70))-(N(J70)+N(L70)+N(N70))*F70)-N(Q70))</f>
        <v/>
      </c>
      <c r="V70" s="9">
        <f>IF(OR(B70="",P70=""),"",U70/S70)</f>
        <v/>
      </c>
      <c r="W70">
        <f>IF(OR(B70="",P70=""),"",P70-C70)</f>
        <v/>
      </c>
      <c r="X70">
        <f>IF(B70="","",IF(P70="","Aberto","Fechado"))</f>
        <v/>
      </c>
    </row>
    <row r="71">
      <c r="C71" s="6" t="n"/>
      <c r="E71" s="10" t="n"/>
      <c r="F71" s="11" t="n"/>
      <c r="G71" s="11" t="n"/>
      <c r="H71" s="11" t="n"/>
      <c r="J71" s="10" t="n"/>
      <c r="K71" s="11" t="n"/>
      <c r="L71" s="10" t="n"/>
      <c r="M71" s="11" t="n"/>
      <c r="N71" s="10" t="n"/>
      <c r="O71" s="11" t="n"/>
      <c r="P71" s="6" t="n"/>
      <c r="Q71" s="11" t="n"/>
      <c r="S71" s="8">
        <f>IF(B71="","",E71*F71)</f>
        <v/>
      </c>
      <c r="T71" s="8">
        <f>IF(OR(B71="",N(G71)=0),"",ABS(F71-G71)*E71)</f>
        <v/>
      </c>
      <c r="U71" s="8">
        <f>IF(OR(B71="",P71=""),"",IF(D71="Venda",-1,1)*((N(J71)*N(K71)+N(L71)*N(M71)+N(N71)*N(O71))-(N(J71)+N(L71)+N(N71))*F71)-N(Q71))</f>
        <v/>
      </c>
      <c r="V71" s="9">
        <f>IF(OR(B71="",P71=""),"",U71/S71)</f>
        <v/>
      </c>
      <c r="W71">
        <f>IF(OR(B71="",P71=""),"",P71-C71)</f>
        <v/>
      </c>
      <c r="X71">
        <f>IF(B71="","",IF(P71="","Aberto","Fechado"))</f>
        <v/>
      </c>
    </row>
    <row r="72">
      <c r="C72" s="6" t="n"/>
      <c r="E72" s="10" t="n"/>
      <c r="F72" s="11" t="n"/>
      <c r="G72" s="11" t="n"/>
      <c r="H72" s="11" t="n"/>
      <c r="J72" s="10" t="n"/>
      <c r="K72" s="11" t="n"/>
      <c r="L72" s="10" t="n"/>
      <c r="M72" s="11" t="n"/>
      <c r="N72" s="10" t="n"/>
      <c r="O72" s="11" t="n"/>
      <c r="P72" s="6" t="n"/>
      <c r="Q72" s="11" t="n"/>
      <c r="S72" s="8">
        <f>IF(B72="","",E72*F72)</f>
        <v/>
      </c>
      <c r="T72" s="8">
        <f>IF(OR(B72="",N(G72)=0),"",ABS(F72-G72)*E72)</f>
        <v/>
      </c>
      <c r="U72" s="8">
        <f>IF(OR(B72="",P72=""),"",IF(D72="Venda",-1,1)*((N(J72)*N(K72)+N(L72)*N(M72)+N(N72)*N(O72))-(N(J72)+N(L72)+N(N72))*F72)-N(Q72))</f>
        <v/>
      </c>
      <c r="V72" s="9">
        <f>IF(OR(B72="",P72=""),"",U72/S72)</f>
        <v/>
      </c>
      <c r="W72">
        <f>IF(OR(B72="",P72=""),"",P72-C72)</f>
        <v/>
      </c>
      <c r="X72">
        <f>IF(B72="","",IF(P72="","Aberto","Fechado"))</f>
        <v/>
      </c>
    </row>
    <row r="73">
      <c r="C73" s="6" t="n"/>
      <c r="E73" s="10" t="n"/>
      <c r="F73" s="11" t="n"/>
      <c r="G73" s="11" t="n"/>
      <c r="H73" s="11" t="n"/>
      <c r="J73" s="10" t="n"/>
      <c r="K73" s="11" t="n"/>
      <c r="L73" s="10" t="n"/>
      <c r="M73" s="11" t="n"/>
      <c r="N73" s="10" t="n"/>
      <c r="O73" s="11" t="n"/>
      <c r="P73" s="6" t="n"/>
      <c r="Q73" s="11" t="n"/>
      <c r="S73" s="8">
        <f>IF(B73="","",E73*F73)</f>
        <v/>
      </c>
      <c r="T73" s="8">
        <f>IF(OR(B73="",N(G73)=0),"",ABS(F73-G73)*E73)</f>
        <v/>
      </c>
      <c r="U73" s="8">
        <f>IF(OR(B73="",P73=""),"",IF(D73="Venda",-1,1)*((N(J73)*N(K73)+N(L73)*N(M73)+N(N73)*N(O73))-(N(J73)+N(L73)+N(N73))*F73)-N(Q73))</f>
        <v/>
      </c>
      <c r="V73" s="9">
        <f>IF(OR(B73="",P73=""),"",U73/S73)</f>
        <v/>
      </c>
      <c r="W73">
        <f>IF(OR(B73="",P73=""),"",P73-C73)</f>
        <v/>
      </c>
      <c r="X73">
        <f>IF(B73="","",IF(P73="","Aberto","Fechado"))</f>
        <v/>
      </c>
    </row>
    <row r="74">
      <c r="C74" s="6" t="n"/>
      <c r="E74" s="10" t="n"/>
      <c r="F74" s="11" t="n"/>
      <c r="G74" s="11" t="n"/>
      <c r="H74" s="11" t="n"/>
      <c r="J74" s="10" t="n"/>
      <c r="K74" s="11" t="n"/>
      <c r="L74" s="10" t="n"/>
      <c r="M74" s="11" t="n"/>
      <c r="N74" s="10" t="n"/>
      <c r="O74" s="11" t="n"/>
      <c r="P74" s="6" t="n"/>
      <c r="Q74" s="11" t="n"/>
      <c r="S74" s="8">
        <f>IF(B74="","",E74*F74)</f>
        <v/>
      </c>
      <c r="T74" s="8">
        <f>IF(OR(B74="",N(G74)=0),"",ABS(F74-G74)*E74)</f>
        <v/>
      </c>
      <c r="U74" s="8">
        <f>IF(OR(B74="",P74=""),"",IF(D74="Venda",-1,1)*((N(J74)*N(K74)+N(L74)*N(M74)+N(N74)*N(O74))-(N(J74)+N(L74)+N(N74))*F74)-N(Q74))</f>
        <v/>
      </c>
      <c r="V74" s="9">
        <f>IF(OR(B74="",P74=""),"",U74/S74)</f>
        <v/>
      </c>
      <c r="W74">
        <f>IF(OR(B74="",P74=""),"",P74-C74)</f>
        <v/>
      </c>
      <c r="X74">
        <f>IF(B74="","",IF(P74="","Aberto","Fechado"))</f>
        <v/>
      </c>
    </row>
    <row r="75">
      <c r="C75" s="6" t="n"/>
      <c r="E75" s="10" t="n"/>
      <c r="F75" s="11" t="n"/>
      <c r="G75" s="11" t="n"/>
      <c r="H75" s="11" t="n"/>
      <c r="J75" s="10" t="n"/>
      <c r="K75" s="11" t="n"/>
      <c r="L75" s="10" t="n"/>
      <c r="M75" s="11" t="n"/>
      <c r="N75" s="10" t="n"/>
      <c r="O75" s="11" t="n"/>
      <c r="P75" s="6" t="n"/>
      <c r="Q75" s="11" t="n"/>
      <c r="S75" s="8">
        <f>IF(B75="","",E75*F75)</f>
        <v/>
      </c>
      <c r="T75" s="8">
        <f>IF(OR(B75="",N(G75)=0),"",ABS(F75-G75)*E75)</f>
        <v/>
      </c>
      <c r="U75" s="8">
        <f>IF(OR(B75="",P75=""),"",IF(D75="Venda",-1,1)*((N(J75)*N(K75)+N(L75)*N(M75)+N(N75)*N(O75))-(N(J75)+N(L75)+N(N75))*F75)-N(Q75))</f>
        <v/>
      </c>
      <c r="V75" s="9">
        <f>IF(OR(B75="",P75=""),"",U75/S75)</f>
        <v/>
      </c>
      <c r="W75">
        <f>IF(OR(B75="",P75=""),"",P75-C75)</f>
        <v/>
      </c>
      <c r="X75">
        <f>IF(B75="","",IF(P75="","Aberto","Fechado"))</f>
        <v/>
      </c>
    </row>
    <row r="76">
      <c r="C76" s="6" t="n"/>
      <c r="E76" s="10" t="n"/>
      <c r="F76" s="11" t="n"/>
      <c r="G76" s="11" t="n"/>
      <c r="H76" s="11" t="n"/>
      <c r="J76" s="10" t="n"/>
      <c r="K76" s="11" t="n"/>
      <c r="L76" s="10" t="n"/>
      <c r="M76" s="11" t="n"/>
      <c r="N76" s="10" t="n"/>
      <c r="O76" s="11" t="n"/>
      <c r="P76" s="6" t="n"/>
      <c r="Q76" s="11" t="n"/>
      <c r="S76" s="8">
        <f>IF(B76="","",E76*F76)</f>
        <v/>
      </c>
      <c r="T76" s="8">
        <f>IF(OR(B76="",N(G76)=0),"",ABS(F76-G76)*E76)</f>
        <v/>
      </c>
      <c r="U76" s="8">
        <f>IF(OR(B76="",P76=""),"",IF(D76="Venda",-1,1)*((N(J76)*N(K76)+N(L76)*N(M76)+N(N76)*N(O76))-(N(J76)+N(L76)+N(N76))*F76)-N(Q76))</f>
        <v/>
      </c>
      <c r="V76" s="9">
        <f>IF(OR(B76="",P76=""),"",U76/S76)</f>
        <v/>
      </c>
      <c r="W76">
        <f>IF(OR(B76="",P76=""),"",P76-C76)</f>
        <v/>
      </c>
      <c r="X76">
        <f>IF(B76="","",IF(P76="","Aberto","Fechado"))</f>
        <v/>
      </c>
    </row>
    <row r="77">
      <c r="C77" s="6" t="n"/>
      <c r="E77" s="10" t="n"/>
      <c r="F77" s="11" t="n"/>
      <c r="G77" s="11" t="n"/>
      <c r="H77" s="11" t="n"/>
      <c r="J77" s="10" t="n"/>
      <c r="K77" s="11" t="n"/>
      <c r="L77" s="10" t="n"/>
      <c r="M77" s="11" t="n"/>
      <c r="N77" s="10" t="n"/>
      <c r="O77" s="11" t="n"/>
      <c r="P77" s="6" t="n"/>
      <c r="Q77" s="11" t="n"/>
      <c r="S77" s="8">
        <f>IF(B77="","",E77*F77)</f>
        <v/>
      </c>
      <c r="T77" s="8">
        <f>IF(OR(B77="",N(G77)=0),"",ABS(F77-G77)*E77)</f>
        <v/>
      </c>
      <c r="U77" s="8">
        <f>IF(OR(B77="",P77=""),"",IF(D77="Venda",-1,1)*((N(J77)*N(K77)+N(L77)*N(M77)+N(N77)*N(O77))-(N(J77)+N(L77)+N(N77))*F77)-N(Q77))</f>
        <v/>
      </c>
      <c r="V77" s="9">
        <f>IF(OR(B77="",P77=""),"",U77/S77)</f>
        <v/>
      </c>
      <c r="W77">
        <f>IF(OR(B77="",P77=""),"",P77-C77)</f>
        <v/>
      </c>
      <c r="X77">
        <f>IF(B77="","",IF(P77="","Aberto","Fechado"))</f>
        <v/>
      </c>
    </row>
    <row r="78">
      <c r="C78" s="6" t="n"/>
      <c r="E78" s="10" t="n"/>
      <c r="F78" s="11" t="n"/>
      <c r="G78" s="11" t="n"/>
      <c r="H78" s="11" t="n"/>
      <c r="J78" s="10" t="n"/>
      <c r="K78" s="11" t="n"/>
      <c r="L78" s="10" t="n"/>
      <c r="M78" s="11" t="n"/>
      <c r="N78" s="10" t="n"/>
      <c r="O78" s="11" t="n"/>
      <c r="P78" s="6" t="n"/>
      <c r="Q78" s="11" t="n"/>
      <c r="S78" s="8">
        <f>IF(B78="","",E78*F78)</f>
        <v/>
      </c>
      <c r="T78" s="8">
        <f>IF(OR(B78="",N(G78)=0),"",ABS(F78-G78)*E78)</f>
        <v/>
      </c>
      <c r="U78" s="8">
        <f>IF(OR(B78="",P78=""),"",IF(D78="Venda",-1,1)*((N(J78)*N(K78)+N(L78)*N(M78)+N(N78)*N(O78))-(N(J78)+N(L78)+N(N78))*F78)-N(Q78))</f>
        <v/>
      </c>
      <c r="V78" s="9">
        <f>IF(OR(B78="",P78=""),"",U78/S78)</f>
        <v/>
      </c>
      <c r="W78">
        <f>IF(OR(B78="",P78=""),"",P78-C78)</f>
        <v/>
      </c>
      <c r="X78">
        <f>IF(B78="","",IF(P78="","Aberto","Fechado"))</f>
        <v/>
      </c>
    </row>
    <row r="79">
      <c r="C79" s="6" t="n"/>
      <c r="E79" s="10" t="n"/>
      <c r="F79" s="11" t="n"/>
      <c r="G79" s="11" t="n"/>
      <c r="H79" s="11" t="n"/>
      <c r="J79" s="10" t="n"/>
      <c r="K79" s="11" t="n"/>
      <c r="L79" s="10" t="n"/>
      <c r="M79" s="11" t="n"/>
      <c r="N79" s="10" t="n"/>
      <c r="O79" s="11" t="n"/>
      <c r="P79" s="6" t="n"/>
      <c r="Q79" s="11" t="n"/>
      <c r="S79" s="8">
        <f>IF(B79="","",E79*F79)</f>
        <v/>
      </c>
      <c r="T79" s="8">
        <f>IF(OR(B79="",N(G79)=0),"",ABS(F79-G79)*E79)</f>
        <v/>
      </c>
      <c r="U79" s="8">
        <f>IF(OR(B79="",P79=""),"",IF(D79="Venda",-1,1)*((N(J79)*N(K79)+N(L79)*N(M79)+N(N79)*N(O79))-(N(J79)+N(L79)+N(N79))*F79)-N(Q79))</f>
        <v/>
      </c>
      <c r="V79" s="9">
        <f>IF(OR(B79="",P79=""),"",U79/S79)</f>
        <v/>
      </c>
      <c r="W79">
        <f>IF(OR(B79="",P79=""),"",P79-C79)</f>
        <v/>
      </c>
      <c r="X79">
        <f>IF(B79="","",IF(P79="","Aberto","Fechado"))</f>
        <v/>
      </c>
    </row>
    <row r="80">
      <c r="C80" s="6" t="n"/>
      <c r="E80" s="10" t="n"/>
      <c r="F80" s="11" t="n"/>
      <c r="G80" s="11" t="n"/>
      <c r="H80" s="11" t="n"/>
      <c r="J80" s="10" t="n"/>
      <c r="K80" s="11" t="n"/>
      <c r="L80" s="10" t="n"/>
      <c r="M80" s="11" t="n"/>
      <c r="N80" s="10" t="n"/>
      <c r="O80" s="11" t="n"/>
      <c r="P80" s="6" t="n"/>
      <c r="Q80" s="11" t="n"/>
      <c r="S80" s="8">
        <f>IF(B80="","",E80*F80)</f>
        <v/>
      </c>
      <c r="T80" s="8">
        <f>IF(OR(B80="",N(G80)=0),"",ABS(F80-G80)*E80)</f>
        <v/>
      </c>
      <c r="U80" s="8">
        <f>IF(OR(B80="",P80=""),"",IF(D80="Venda",-1,1)*((N(J80)*N(K80)+N(L80)*N(M80)+N(N80)*N(O80))-(N(J80)+N(L80)+N(N80))*F80)-N(Q80))</f>
        <v/>
      </c>
      <c r="V80" s="9">
        <f>IF(OR(B80="",P80=""),"",U80/S80)</f>
        <v/>
      </c>
      <c r="W80">
        <f>IF(OR(B80="",P80=""),"",P80-C80)</f>
        <v/>
      </c>
      <c r="X80">
        <f>IF(B80="","",IF(P80="","Aberto","Fechado"))</f>
        <v/>
      </c>
    </row>
    <row r="81">
      <c r="C81" s="6" t="n"/>
      <c r="E81" s="10" t="n"/>
      <c r="F81" s="11" t="n"/>
      <c r="G81" s="11" t="n"/>
      <c r="H81" s="11" t="n"/>
      <c r="J81" s="10" t="n"/>
      <c r="K81" s="11" t="n"/>
      <c r="L81" s="10" t="n"/>
      <c r="M81" s="11" t="n"/>
      <c r="N81" s="10" t="n"/>
      <c r="O81" s="11" t="n"/>
      <c r="P81" s="6" t="n"/>
      <c r="Q81" s="11" t="n"/>
      <c r="S81" s="8">
        <f>IF(B81="","",E81*F81)</f>
        <v/>
      </c>
      <c r="T81" s="8">
        <f>IF(OR(B81="",N(G81)=0),"",ABS(F81-G81)*E81)</f>
        <v/>
      </c>
      <c r="U81" s="8">
        <f>IF(OR(B81="",P81=""),"",IF(D81="Venda",-1,1)*((N(J81)*N(K81)+N(L81)*N(M81)+N(N81)*N(O81))-(N(J81)+N(L81)+N(N81))*F81)-N(Q81))</f>
        <v/>
      </c>
      <c r="V81" s="9">
        <f>IF(OR(B81="",P81=""),"",U81/S81)</f>
        <v/>
      </c>
      <c r="W81">
        <f>IF(OR(B81="",P81=""),"",P81-C81)</f>
        <v/>
      </c>
      <c r="X81">
        <f>IF(B81="","",IF(P81="","Aberto","Fechado"))</f>
        <v/>
      </c>
    </row>
    <row r="82">
      <c r="C82" s="6" t="n"/>
      <c r="E82" s="10" t="n"/>
      <c r="F82" s="11" t="n"/>
      <c r="G82" s="11" t="n"/>
      <c r="H82" s="11" t="n"/>
      <c r="J82" s="10" t="n"/>
      <c r="K82" s="11" t="n"/>
      <c r="L82" s="10" t="n"/>
      <c r="M82" s="11" t="n"/>
      <c r="N82" s="10" t="n"/>
      <c r="O82" s="11" t="n"/>
      <c r="P82" s="6" t="n"/>
      <c r="Q82" s="11" t="n"/>
      <c r="S82" s="8">
        <f>IF(B82="","",E82*F82)</f>
        <v/>
      </c>
      <c r="T82" s="8">
        <f>IF(OR(B82="",N(G82)=0),"",ABS(F82-G82)*E82)</f>
        <v/>
      </c>
      <c r="U82" s="8">
        <f>IF(OR(B82="",P82=""),"",IF(D82="Venda",-1,1)*((N(J82)*N(K82)+N(L82)*N(M82)+N(N82)*N(O82))-(N(J82)+N(L82)+N(N82))*F82)-N(Q82))</f>
        <v/>
      </c>
      <c r="V82" s="9">
        <f>IF(OR(B82="",P82=""),"",U82/S82)</f>
        <v/>
      </c>
      <c r="W82">
        <f>IF(OR(B82="",P82=""),"",P82-C82)</f>
        <v/>
      </c>
      <c r="X82">
        <f>IF(B82="","",IF(P82="","Aberto","Fechado"))</f>
        <v/>
      </c>
    </row>
    <row r="83">
      <c r="C83" s="6" t="n"/>
      <c r="E83" s="10" t="n"/>
      <c r="F83" s="11" t="n"/>
      <c r="G83" s="11" t="n"/>
      <c r="H83" s="11" t="n"/>
      <c r="J83" s="10" t="n"/>
      <c r="K83" s="11" t="n"/>
      <c r="L83" s="10" t="n"/>
      <c r="M83" s="11" t="n"/>
      <c r="N83" s="10" t="n"/>
      <c r="O83" s="11" t="n"/>
      <c r="P83" s="6" t="n"/>
      <c r="Q83" s="11" t="n"/>
      <c r="S83" s="8">
        <f>IF(B83="","",E83*F83)</f>
        <v/>
      </c>
      <c r="T83" s="8">
        <f>IF(OR(B83="",N(G83)=0),"",ABS(F83-G83)*E83)</f>
        <v/>
      </c>
      <c r="U83" s="8">
        <f>IF(OR(B83="",P83=""),"",IF(D83="Venda",-1,1)*((N(J83)*N(K83)+N(L83)*N(M83)+N(N83)*N(O83))-(N(J83)+N(L83)+N(N83))*F83)-N(Q83))</f>
        <v/>
      </c>
      <c r="V83" s="9">
        <f>IF(OR(B83="",P83=""),"",U83/S83)</f>
        <v/>
      </c>
      <c r="W83">
        <f>IF(OR(B83="",P83=""),"",P83-C83)</f>
        <v/>
      </c>
      <c r="X83">
        <f>IF(B83="","",IF(P83="","Aberto","Fechado"))</f>
        <v/>
      </c>
    </row>
    <row r="84">
      <c r="C84" s="6" t="n"/>
      <c r="E84" s="10" t="n"/>
      <c r="F84" s="11" t="n"/>
      <c r="G84" s="11" t="n"/>
      <c r="H84" s="11" t="n"/>
      <c r="J84" s="10" t="n"/>
      <c r="K84" s="11" t="n"/>
      <c r="L84" s="10" t="n"/>
      <c r="M84" s="11" t="n"/>
      <c r="N84" s="10" t="n"/>
      <c r="O84" s="11" t="n"/>
      <c r="P84" s="6" t="n"/>
      <c r="Q84" s="11" t="n"/>
      <c r="S84" s="8">
        <f>IF(B84="","",E84*F84)</f>
        <v/>
      </c>
      <c r="T84" s="8">
        <f>IF(OR(B84="",N(G84)=0),"",ABS(F84-G84)*E84)</f>
        <v/>
      </c>
      <c r="U84" s="8">
        <f>IF(OR(B84="",P84=""),"",IF(D84="Venda",-1,1)*((N(J84)*N(K84)+N(L84)*N(M84)+N(N84)*N(O84))-(N(J84)+N(L84)+N(N84))*F84)-N(Q84))</f>
        <v/>
      </c>
      <c r="V84" s="9">
        <f>IF(OR(B84="",P84=""),"",U84/S84)</f>
        <v/>
      </c>
      <c r="W84">
        <f>IF(OR(B84="",P84=""),"",P84-C84)</f>
        <v/>
      </c>
      <c r="X84">
        <f>IF(B84="","",IF(P84="","Aberto","Fechado"))</f>
        <v/>
      </c>
    </row>
    <row r="85">
      <c r="C85" s="6" t="n"/>
      <c r="E85" s="10" t="n"/>
      <c r="F85" s="11" t="n"/>
      <c r="G85" s="11" t="n"/>
      <c r="H85" s="11" t="n"/>
      <c r="J85" s="10" t="n"/>
      <c r="K85" s="11" t="n"/>
      <c r="L85" s="10" t="n"/>
      <c r="M85" s="11" t="n"/>
      <c r="N85" s="10" t="n"/>
      <c r="O85" s="11" t="n"/>
      <c r="P85" s="6" t="n"/>
      <c r="Q85" s="11" t="n"/>
      <c r="S85" s="8">
        <f>IF(B85="","",E85*F85)</f>
        <v/>
      </c>
      <c r="T85" s="8">
        <f>IF(OR(B85="",N(G85)=0),"",ABS(F85-G85)*E85)</f>
        <v/>
      </c>
      <c r="U85" s="8">
        <f>IF(OR(B85="",P85=""),"",IF(D85="Venda",-1,1)*((N(J85)*N(K85)+N(L85)*N(M85)+N(N85)*N(O85))-(N(J85)+N(L85)+N(N85))*F85)-N(Q85))</f>
        <v/>
      </c>
      <c r="V85" s="9">
        <f>IF(OR(B85="",P85=""),"",U85/S85)</f>
        <v/>
      </c>
      <c r="W85">
        <f>IF(OR(B85="",P85=""),"",P85-C85)</f>
        <v/>
      </c>
      <c r="X85">
        <f>IF(B85="","",IF(P85="","Aberto","Fechado"))</f>
        <v/>
      </c>
    </row>
    <row r="86">
      <c r="C86" s="6" t="n"/>
      <c r="E86" s="10" t="n"/>
      <c r="F86" s="11" t="n"/>
      <c r="G86" s="11" t="n"/>
      <c r="H86" s="11" t="n"/>
      <c r="J86" s="10" t="n"/>
      <c r="K86" s="11" t="n"/>
      <c r="L86" s="10" t="n"/>
      <c r="M86" s="11" t="n"/>
      <c r="N86" s="10" t="n"/>
      <c r="O86" s="11" t="n"/>
      <c r="P86" s="6" t="n"/>
      <c r="Q86" s="11" t="n"/>
      <c r="S86" s="8">
        <f>IF(B86="","",E86*F86)</f>
        <v/>
      </c>
      <c r="T86" s="8">
        <f>IF(OR(B86="",N(G86)=0),"",ABS(F86-G86)*E86)</f>
        <v/>
      </c>
      <c r="U86" s="8">
        <f>IF(OR(B86="",P86=""),"",IF(D86="Venda",-1,1)*((N(J86)*N(K86)+N(L86)*N(M86)+N(N86)*N(O86))-(N(J86)+N(L86)+N(N86))*F86)-N(Q86))</f>
        <v/>
      </c>
      <c r="V86" s="9">
        <f>IF(OR(B86="",P86=""),"",U86/S86)</f>
        <v/>
      </c>
      <c r="W86">
        <f>IF(OR(B86="",P86=""),"",P86-C86)</f>
        <v/>
      </c>
      <c r="X86">
        <f>IF(B86="","",IF(P86="","Aberto","Fechado"))</f>
        <v/>
      </c>
    </row>
    <row r="87">
      <c r="C87" s="6" t="n"/>
      <c r="E87" s="10" t="n"/>
      <c r="F87" s="11" t="n"/>
      <c r="G87" s="11" t="n"/>
      <c r="H87" s="11" t="n"/>
      <c r="J87" s="10" t="n"/>
      <c r="K87" s="11" t="n"/>
      <c r="L87" s="10" t="n"/>
      <c r="M87" s="11" t="n"/>
      <c r="N87" s="10" t="n"/>
      <c r="O87" s="11" t="n"/>
      <c r="P87" s="6" t="n"/>
      <c r="Q87" s="11" t="n"/>
      <c r="S87" s="8">
        <f>IF(B87="","",E87*F87)</f>
        <v/>
      </c>
      <c r="T87" s="8">
        <f>IF(OR(B87="",N(G87)=0),"",ABS(F87-G87)*E87)</f>
        <v/>
      </c>
      <c r="U87" s="8">
        <f>IF(OR(B87="",P87=""),"",IF(D87="Venda",-1,1)*((N(J87)*N(K87)+N(L87)*N(M87)+N(N87)*N(O87))-(N(J87)+N(L87)+N(N87))*F87)-N(Q87))</f>
        <v/>
      </c>
      <c r="V87" s="9">
        <f>IF(OR(B87="",P87=""),"",U87/S87)</f>
        <v/>
      </c>
      <c r="W87">
        <f>IF(OR(B87="",P87=""),"",P87-C87)</f>
        <v/>
      </c>
      <c r="X87">
        <f>IF(B87="","",IF(P87="","Aberto","Fechado"))</f>
        <v/>
      </c>
    </row>
    <row r="88">
      <c r="C88" s="6" t="n"/>
      <c r="E88" s="10" t="n"/>
      <c r="F88" s="11" t="n"/>
      <c r="G88" s="11" t="n"/>
      <c r="H88" s="11" t="n"/>
      <c r="J88" s="10" t="n"/>
      <c r="K88" s="11" t="n"/>
      <c r="L88" s="10" t="n"/>
      <c r="M88" s="11" t="n"/>
      <c r="N88" s="10" t="n"/>
      <c r="O88" s="11" t="n"/>
      <c r="P88" s="6" t="n"/>
      <c r="Q88" s="11" t="n"/>
      <c r="S88" s="8">
        <f>IF(B88="","",E88*F88)</f>
        <v/>
      </c>
      <c r="T88" s="8">
        <f>IF(OR(B88="",N(G88)=0),"",ABS(F88-G88)*E88)</f>
        <v/>
      </c>
      <c r="U88" s="8">
        <f>IF(OR(B88="",P88=""),"",IF(D88="Venda",-1,1)*((N(J88)*N(K88)+N(L88)*N(M88)+N(N88)*N(O88))-(N(J88)+N(L88)+N(N88))*F88)-N(Q88))</f>
        <v/>
      </c>
      <c r="V88" s="9">
        <f>IF(OR(B88="",P88=""),"",U88/S88)</f>
        <v/>
      </c>
      <c r="W88">
        <f>IF(OR(B88="",P88=""),"",P88-C88)</f>
        <v/>
      </c>
      <c r="X88">
        <f>IF(B88="","",IF(P88="","Aberto","Fechado"))</f>
        <v/>
      </c>
    </row>
    <row r="89">
      <c r="C89" s="6" t="n"/>
      <c r="E89" s="10" t="n"/>
      <c r="F89" s="11" t="n"/>
      <c r="G89" s="11" t="n"/>
      <c r="H89" s="11" t="n"/>
      <c r="J89" s="10" t="n"/>
      <c r="K89" s="11" t="n"/>
      <c r="L89" s="10" t="n"/>
      <c r="M89" s="11" t="n"/>
      <c r="N89" s="10" t="n"/>
      <c r="O89" s="11" t="n"/>
      <c r="P89" s="6" t="n"/>
      <c r="Q89" s="11" t="n"/>
      <c r="S89" s="8">
        <f>IF(B89="","",E89*F89)</f>
        <v/>
      </c>
      <c r="T89" s="8">
        <f>IF(OR(B89="",N(G89)=0),"",ABS(F89-G89)*E89)</f>
        <v/>
      </c>
      <c r="U89" s="8">
        <f>IF(OR(B89="",P89=""),"",IF(D89="Venda",-1,1)*((N(J89)*N(K89)+N(L89)*N(M89)+N(N89)*N(O89))-(N(J89)+N(L89)+N(N89))*F89)-N(Q89))</f>
        <v/>
      </c>
      <c r="V89" s="9">
        <f>IF(OR(B89="",P89=""),"",U89/S89)</f>
        <v/>
      </c>
      <c r="W89">
        <f>IF(OR(B89="",P89=""),"",P89-C89)</f>
        <v/>
      </c>
      <c r="X89">
        <f>IF(B89="","",IF(P89="","Aberto","Fechado"))</f>
        <v/>
      </c>
    </row>
    <row r="90">
      <c r="C90" s="6" t="n"/>
      <c r="E90" s="10" t="n"/>
      <c r="F90" s="11" t="n"/>
      <c r="G90" s="11" t="n"/>
      <c r="H90" s="11" t="n"/>
      <c r="J90" s="10" t="n"/>
      <c r="K90" s="11" t="n"/>
      <c r="L90" s="10" t="n"/>
      <c r="M90" s="11" t="n"/>
      <c r="N90" s="10" t="n"/>
      <c r="O90" s="11" t="n"/>
      <c r="P90" s="6" t="n"/>
      <c r="Q90" s="11" t="n"/>
      <c r="S90" s="8">
        <f>IF(B90="","",E90*F90)</f>
        <v/>
      </c>
      <c r="T90" s="8">
        <f>IF(OR(B90="",N(G90)=0),"",ABS(F90-G90)*E90)</f>
        <v/>
      </c>
      <c r="U90" s="8">
        <f>IF(OR(B90="",P90=""),"",IF(D90="Venda",-1,1)*((N(J90)*N(K90)+N(L90)*N(M90)+N(N90)*N(O90))-(N(J90)+N(L90)+N(N90))*F90)-N(Q90))</f>
        <v/>
      </c>
      <c r="V90" s="9">
        <f>IF(OR(B90="",P90=""),"",U90/S90)</f>
        <v/>
      </c>
      <c r="W90">
        <f>IF(OR(B90="",P90=""),"",P90-C90)</f>
        <v/>
      </c>
      <c r="X90">
        <f>IF(B90="","",IF(P90="","Aberto","Fechado"))</f>
        <v/>
      </c>
    </row>
    <row r="91">
      <c r="C91" s="6" t="n"/>
      <c r="E91" s="10" t="n"/>
      <c r="F91" s="11" t="n"/>
      <c r="G91" s="11" t="n"/>
      <c r="H91" s="11" t="n"/>
      <c r="J91" s="10" t="n"/>
      <c r="K91" s="11" t="n"/>
      <c r="L91" s="10" t="n"/>
      <c r="M91" s="11" t="n"/>
      <c r="N91" s="10" t="n"/>
      <c r="O91" s="11" t="n"/>
      <c r="P91" s="6" t="n"/>
      <c r="Q91" s="11" t="n"/>
      <c r="S91" s="8">
        <f>IF(B91="","",E91*F91)</f>
        <v/>
      </c>
      <c r="T91" s="8">
        <f>IF(OR(B91="",N(G91)=0),"",ABS(F91-G91)*E91)</f>
        <v/>
      </c>
      <c r="U91" s="8">
        <f>IF(OR(B91="",P91=""),"",IF(D91="Venda",-1,1)*((N(J91)*N(K91)+N(L91)*N(M91)+N(N91)*N(O91))-(N(J91)+N(L91)+N(N91))*F91)-N(Q91))</f>
        <v/>
      </c>
      <c r="V91" s="9">
        <f>IF(OR(B91="",P91=""),"",U91/S91)</f>
        <v/>
      </c>
      <c r="W91">
        <f>IF(OR(B91="",P91=""),"",P91-C91)</f>
        <v/>
      </c>
      <c r="X91">
        <f>IF(B91="","",IF(P91="","Aberto","Fechado"))</f>
        <v/>
      </c>
    </row>
    <row r="92">
      <c r="C92" s="6" t="n"/>
      <c r="E92" s="10" t="n"/>
      <c r="F92" s="11" t="n"/>
      <c r="G92" s="11" t="n"/>
      <c r="H92" s="11" t="n"/>
      <c r="J92" s="10" t="n"/>
      <c r="K92" s="11" t="n"/>
      <c r="L92" s="10" t="n"/>
      <c r="M92" s="11" t="n"/>
      <c r="N92" s="10" t="n"/>
      <c r="O92" s="11" t="n"/>
      <c r="P92" s="6" t="n"/>
      <c r="Q92" s="11" t="n"/>
      <c r="S92" s="8">
        <f>IF(B92="","",E92*F92)</f>
        <v/>
      </c>
      <c r="T92" s="8">
        <f>IF(OR(B92="",N(G92)=0),"",ABS(F92-G92)*E92)</f>
        <v/>
      </c>
      <c r="U92" s="8">
        <f>IF(OR(B92="",P92=""),"",IF(D92="Venda",-1,1)*((N(J92)*N(K92)+N(L92)*N(M92)+N(N92)*N(O92))-(N(J92)+N(L92)+N(N92))*F92)-N(Q92))</f>
        <v/>
      </c>
      <c r="V92" s="9">
        <f>IF(OR(B92="",P92=""),"",U92/S92)</f>
        <v/>
      </c>
      <c r="W92">
        <f>IF(OR(B92="",P92=""),"",P92-C92)</f>
        <v/>
      </c>
      <c r="X92">
        <f>IF(B92="","",IF(P92="","Aberto","Fechado"))</f>
        <v/>
      </c>
    </row>
    <row r="93">
      <c r="C93" s="6" t="n"/>
      <c r="E93" s="10" t="n"/>
      <c r="F93" s="11" t="n"/>
      <c r="G93" s="11" t="n"/>
      <c r="H93" s="11" t="n"/>
      <c r="J93" s="10" t="n"/>
      <c r="K93" s="11" t="n"/>
      <c r="L93" s="10" t="n"/>
      <c r="M93" s="11" t="n"/>
      <c r="N93" s="10" t="n"/>
      <c r="O93" s="11" t="n"/>
      <c r="P93" s="6" t="n"/>
      <c r="Q93" s="11" t="n"/>
      <c r="S93" s="8">
        <f>IF(B93="","",E93*F93)</f>
        <v/>
      </c>
      <c r="T93" s="8">
        <f>IF(OR(B93="",N(G93)=0),"",ABS(F93-G93)*E93)</f>
        <v/>
      </c>
      <c r="U93" s="8">
        <f>IF(OR(B93="",P93=""),"",IF(D93="Venda",-1,1)*((N(J93)*N(K93)+N(L93)*N(M93)+N(N93)*N(O93))-(N(J93)+N(L93)+N(N93))*F93)-N(Q93))</f>
        <v/>
      </c>
      <c r="V93" s="9">
        <f>IF(OR(B93="",P93=""),"",U93/S93)</f>
        <v/>
      </c>
      <c r="W93">
        <f>IF(OR(B93="",P93=""),"",P93-C93)</f>
        <v/>
      </c>
      <c r="X93">
        <f>IF(B93="","",IF(P93="","Aberto","Fechado"))</f>
        <v/>
      </c>
    </row>
    <row r="94">
      <c r="C94" s="6" t="n"/>
      <c r="E94" s="10" t="n"/>
      <c r="F94" s="11" t="n"/>
      <c r="G94" s="11" t="n"/>
      <c r="H94" s="11" t="n"/>
      <c r="J94" s="10" t="n"/>
      <c r="K94" s="11" t="n"/>
      <c r="L94" s="10" t="n"/>
      <c r="M94" s="11" t="n"/>
      <c r="N94" s="10" t="n"/>
      <c r="O94" s="11" t="n"/>
      <c r="P94" s="6" t="n"/>
      <c r="Q94" s="11" t="n"/>
      <c r="S94" s="8">
        <f>IF(B94="","",E94*F94)</f>
        <v/>
      </c>
      <c r="T94" s="8">
        <f>IF(OR(B94="",N(G94)=0),"",ABS(F94-G94)*E94)</f>
        <v/>
      </c>
      <c r="U94" s="8">
        <f>IF(OR(B94="",P94=""),"",IF(D94="Venda",-1,1)*((N(J94)*N(K94)+N(L94)*N(M94)+N(N94)*N(O94))-(N(J94)+N(L94)+N(N94))*F94)-N(Q94))</f>
        <v/>
      </c>
      <c r="V94" s="9">
        <f>IF(OR(B94="",P94=""),"",U94/S94)</f>
        <v/>
      </c>
      <c r="W94">
        <f>IF(OR(B94="",P94=""),"",P94-C94)</f>
        <v/>
      </c>
      <c r="X94">
        <f>IF(B94="","",IF(P94="","Aberto","Fechado"))</f>
        <v/>
      </c>
    </row>
    <row r="95">
      <c r="C95" s="6" t="n"/>
      <c r="E95" s="10" t="n"/>
      <c r="F95" s="11" t="n"/>
      <c r="G95" s="11" t="n"/>
      <c r="H95" s="11" t="n"/>
      <c r="J95" s="10" t="n"/>
      <c r="K95" s="11" t="n"/>
      <c r="L95" s="10" t="n"/>
      <c r="M95" s="11" t="n"/>
      <c r="N95" s="10" t="n"/>
      <c r="O95" s="11" t="n"/>
      <c r="P95" s="6" t="n"/>
      <c r="Q95" s="11" t="n"/>
      <c r="S95" s="8">
        <f>IF(B95="","",E95*F95)</f>
        <v/>
      </c>
      <c r="T95" s="8">
        <f>IF(OR(B95="",N(G95)=0),"",ABS(F95-G95)*E95)</f>
        <v/>
      </c>
      <c r="U95" s="8">
        <f>IF(OR(B95="",P95=""),"",IF(D95="Venda",-1,1)*((N(J95)*N(K95)+N(L95)*N(M95)+N(N95)*N(O95))-(N(J95)+N(L95)+N(N95))*F95)-N(Q95))</f>
        <v/>
      </c>
      <c r="V95" s="9">
        <f>IF(OR(B95="",P95=""),"",U95/S95)</f>
        <v/>
      </c>
      <c r="W95">
        <f>IF(OR(B95="",P95=""),"",P95-C95)</f>
        <v/>
      </c>
      <c r="X95">
        <f>IF(B95="","",IF(P95="","Aberto","Fechado"))</f>
        <v/>
      </c>
    </row>
    <row r="96">
      <c r="C96" s="6" t="n"/>
      <c r="E96" s="10" t="n"/>
      <c r="F96" s="11" t="n"/>
      <c r="G96" s="11" t="n"/>
      <c r="H96" s="11" t="n"/>
      <c r="J96" s="10" t="n"/>
      <c r="K96" s="11" t="n"/>
      <c r="L96" s="10" t="n"/>
      <c r="M96" s="11" t="n"/>
      <c r="N96" s="10" t="n"/>
      <c r="O96" s="11" t="n"/>
      <c r="P96" s="6" t="n"/>
      <c r="Q96" s="11" t="n"/>
      <c r="S96" s="8">
        <f>IF(B96="","",E96*F96)</f>
        <v/>
      </c>
      <c r="T96" s="8">
        <f>IF(OR(B96="",N(G96)=0),"",ABS(F96-G96)*E96)</f>
        <v/>
      </c>
      <c r="U96" s="8">
        <f>IF(OR(B96="",P96=""),"",IF(D96="Venda",-1,1)*((N(J96)*N(K96)+N(L96)*N(M96)+N(N96)*N(O96))-(N(J96)+N(L96)+N(N96))*F96)-N(Q96))</f>
        <v/>
      </c>
      <c r="V96" s="9">
        <f>IF(OR(B96="",P96=""),"",U96/S96)</f>
        <v/>
      </c>
      <c r="W96">
        <f>IF(OR(B96="",P96=""),"",P96-C96)</f>
        <v/>
      </c>
      <c r="X96">
        <f>IF(B96="","",IF(P96="","Aberto","Fechado"))</f>
        <v/>
      </c>
    </row>
    <row r="97">
      <c r="C97" s="6" t="n"/>
      <c r="E97" s="10" t="n"/>
      <c r="F97" s="11" t="n"/>
      <c r="G97" s="11" t="n"/>
      <c r="H97" s="11" t="n"/>
      <c r="J97" s="10" t="n"/>
      <c r="K97" s="11" t="n"/>
      <c r="L97" s="10" t="n"/>
      <c r="M97" s="11" t="n"/>
      <c r="N97" s="10" t="n"/>
      <c r="O97" s="11" t="n"/>
      <c r="P97" s="6" t="n"/>
      <c r="Q97" s="11" t="n"/>
      <c r="S97" s="8">
        <f>IF(B97="","",E97*F97)</f>
        <v/>
      </c>
      <c r="T97" s="8">
        <f>IF(OR(B97="",N(G97)=0),"",ABS(F97-G97)*E97)</f>
        <v/>
      </c>
      <c r="U97" s="8">
        <f>IF(OR(B97="",P97=""),"",IF(D97="Venda",-1,1)*((N(J97)*N(K97)+N(L97)*N(M97)+N(N97)*N(O97))-(N(J97)+N(L97)+N(N97))*F97)-N(Q97))</f>
        <v/>
      </c>
      <c r="V97" s="9">
        <f>IF(OR(B97="",P97=""),"",U97/S97)</f>
        <v/>
      </c>
      <c r="W97">
        <f>IF(OR(B97="",P97=""),"",P97-C97)</f>
        <v/>
      </c>
      <c r="X97">
        <f>IF(B97="","",IF(P97="","Aberto","Fechado"))</f>
        <v/>
      </c>
    </row>
    <row r="98">
      <c r="C98" s="6" t="n"/>
      <c r="E98" s="10" t="n"/>
      <c r="F98" s="11" t="n"/>
      <c r="G98" s="11" t="n"/>
      <c r="H98" s="11" t="n"/>
      <c r="J98" s="10" t="n"/>
      <c r="K98" s="11" t="n"/>
      <c r="L98" s="10" t="n"/>
      <c r="M98" s="11" t="n"/>
      <c r="N98" s="10" t="n"/>
      <c r="O98" s="11" t="n"/>
      <c r="P98" s="6" t="n"/>
      <c r="Q98" s="11" t="n"/>
      <c r="S98" s="8">
        <f>IF(B98="","",E98*F98)</f>
        <v/>
      </c>
      <c r="T98" s="8">
        <f>IF(OR(B98="",N(G98)=0),"",ABS(F98-G98)*E98)</f>
        <v/>
      </c>
      <c r="U98" s="8">
        <f>IF(OR(B98="",P98=""),"",IF(D98="Venda",-1,1)*((N(J98)*N(K98)+N(L98)*N(M98)+N(N98)*N(O98))-(N(J98)+N(L98)+N(N98))*F98)-N(Q98))</f>
        <v/>
      </c>
      <c r="V98" s="9">
        <f>IF(OR(B98="",P98=""),"",U98/S98)</f>
        <v/>
      </c>
      <c r="W98">
        <f>IF(OR(B98="",P98=""),"",P98-C98)</f>
        <v/>
      </c>
      <c r="X98">
        <f>IF(B98="","",IF(P98="","Aberto","Fechado"))</f>
        <v/>
      </c>
    </row>
    <row r="99">
      <c r="C99" s="6" t="n"/>
      <c r="E99" s="10" t="n"/>
      <c r="F99" s="11" t="n"/>
      <c r="G99" s="11" t="n"/>
      <c r="H99" s="11" t="n"/>
      <c r="J99" s="10" t="n"/>
      <c r="K99" s="11" t="n"/>
      <c r="L99" s="10" t="n"/>
      <c r="M99" s="11" t="n"/>
      <c r="N99" s="10" t="n"/>
      <c r="O99" s="11" t="n"/>
      <c r="P99" s="6" t="n"/>
      <c r="Q99" s="11" t="n"/>
      <c r="S99" s="8">
        <f>IF(B99="","",E99*F99)</f>
        <v/>
      </c>
      <c r="T99" s="8">
        <f>IF(OR(B99="",N(G99)=0),"",ABS(F99-G99)*E99)</f>
        <v/>
      </c>
      <c r="U99" s="8">
        <f>IF(OR(B99="",P99=""),"",IF(D99="Venda",-1,1)*((N(J99)*N(K99)+N(L99)*N(M99)+N(N99)*N(O99))-(N(J99)+N(L99)+N(N99))*F99)-N(Q99))</f>
        <v/>
      </c>
      <c r="V99" s="9">
        <f>IF(OR(B99="",P99=""),"",U99/S99)</f>
        <v/>
      </c>
      <c r="W99">
        <f>IF(OR(B99="",P99=""),"",P99-C99)</f>
        <v/>
      </c>
      <c r="X99">
        <f>IF(B99="","",IF(P99="","Aberto","Fechado"))</f>
        <v/>
      </c>
    </row>
    <row r="100">
      <c r="C100" s="6" t="n"/>
      <c r="E100" s="10" t="n"/>
      <c r="F100" s="11" t="n"/>
      <c r="G100" s="11" t="n"/>
      <c r="H100" s="11" t="n"/>
      <c r="J100" s="10" t="n"/>
      <c r="K100" s="11" t="n"/>
      <c r="L100" s="10" t="n"/>
      <c r="M100" s="11" t="n"/>
      <c r="N100" s="10" t="n"/>
      <c r="O100" s="11" t="n"/>
      <c r="P100" s="6" t="n"/>
      <c r="Q100" s="11" t="n"/>
      <c r="S100" s="8">
        <f>IF(B100="","",E100*F100)</f>
        <v/>
      </c>
      <c r="T100" s="8">
        <f>IF(OR(B100="",N(G100)=0),"",ABS(F100-G100)*E100)</f>
        <v/>
      </c>
      <c r="U100" s="8">
        <f>IF(OR(B100="",P100=""),"",IF(D100="Venda",-1,1)*((N(J100)*N(K100)+N(L100)*N(M100)+N(N100)*N(O100))-(N(J100)+N(L100)+N(N100))*F100)-N(Q100))</f>
        <v/>
      </c>
      <c r="V100" s="9">
        <f>IF(OR(B100="",P100=""),"",U100/S100)</f>
        <v/>
      </c>
      <c r="W100">
        <f>IF(OR(B100="",P100=""),"",P100-C100)</f>
        <v/>
      </c>
      <c r="X100">
        <f>IF(B100="","",IF(P100="","Aberto","Fechado"))</f>
        <v/>
      </c>
    </row>
    <row r="101">
      <c r="C101" s="6" t="n"/>
      <c r="E101" s="10" t="n"/>
      <c r="F101" s="11" t="n"/>
      <c r="G101" s="11" t="n"/>
      <c r="H101" s="11" t="n"/>
      <c r="J101" s="10" t="n"/>
      <c r="K101" s="11" t="n"/>
      <c r="L101" s="10" t="n"/>
      <c r="M101" s="11" t="n"/>
      <c r="N101" s="10" t="n"/>
      <c r="O101" s="11" t="n"/>
      <c r="P101" s="6" t="n"/>
      <c r="Q101" s="11" t="n"/>
      <c r="S101" s="8">
        <f>IF(B101="","",E101*F101)</f>
        <v/>
      </c>
      <c r="T101" s="8">
        <f>IF(OR(B101="",N(G101)=0),"",ABS(F101-G101)*E101)</f>
        <v/>
      </c>
      <c r="U101" s="8">
        <f>IF(OR(B101="",P101=""),"",IF(D101="Venda",-1,1)*((N(J101)*N(K101)+N(L101)*N(M101)+N(N101)*N(O101))-(N(J101)+N(L101)+N(N101))*F101)-N(Q101))</f>
        <v/>
      </c>
      <c r="V101" s="9">
        <f>IF(OR(B101="",P101=""),"",U101/S101)</f>
        <v/>
      </c>
      <c r="W101">
        <f>IF(OR(B101="",P101=""),"",P101-C101)</f>
        <v/>
      </c>
      <c r="X101">
        <f>IF(B101="","",IF(P101="","Aberto","Fechado"))</f>
        <v/>
      </c>
    </row>
    <row r="102">
      <c r="C102" s="6" t="n"/>
      <c r="E102" s="10" t="n"/>
      <c r="F102" s="11" t="n"/>
      <c r="G102" s="11" t="n"/>
      <c r="H102" s="11" t="n"/>
      <c r="J102" s="10" t="n"/>
      <c r="K102" s="11" t="n"/>
      <c r="L102" s="10" t="n"/>
      <c r="M102" s="11" t="n"/>
      <c r="N102" s="10" t="n"/>
      <c r="O102" s="11" t="n"/>
      <c r="P102" s="6" t="n"/>
      <c r="Q102" s="11" t="n"/>
      <c r="S102" s="8">
        <f>IF(B102="","",E102*F102)</f>
        <v/>
      </c>
      <c r="T102" s="8">
        <f>IF(OR(B102="",N(G102)=0),"",ABS(F102-G102)*E102)</f>
        <v/>
      </c>
      <c r="U102" s="8">
        <f>IF(OR(B102="",P102=""),"",IF(D102="Venda",-1,1)*((N(J102)*N(K102)+N(L102)*N(M102)+N(N102)*N(O102))-(N(J102)+N(L102)+N(N102))*F102)-N(Q102))</f>
        <v/>
      </c>
      <c r="V102" s="9">
        <f>IF(OR(B102="",P102=""),"",U102/S102)</f>
        <v/>
      </c>
      <c r="W102">
        <f>IF(OR(B102="",P102=""),"",P102-C102)</f>
        <v/>
      </c>
      <c r="X102">
        <f>IF(B102="","",IF(P102="","Aberto","Fechado"))</f>
        <v/>
      </c>
    </row>
    <row r="103">
      <c r="C103" s="6" t="n"/>
      <c r="E103" s="10" t="n"/>
      <c r="F103" s="11" t="n"/>
      <c r="G103" s="11" t="n"/>
      <c r="H103" s="11" t="n"/>
      <c r="J103" s="10" t="n"/>
      <c r="K103" s="11" t="n"/>
      <c r="L103" s="10" t="n"/>
      <c r="M103" s="11" t="n"/>
      <c r="N103" s="10" t="n"/>
      <c r="O103" s="11" t="n"/>
      <c r="P103" s="6" t="n"/>
      <c r="Q103" s="11" t="n"/>
      <c r="S103" s="8">
        <f>IF(B103="","",E103*F103)</f>
        <v/>
      </c>
      <c r="T103" s="8">
        <f>IF(OR(B103="",N(G103)=0),"",ABS(F103-G103)*E103)</f>
        <v/>
      </c>
      <c r="U103" s="8">
        <f>IF(OR(B103="",P103=""),"",IF(D103="Venda",-1,1)*((N(J103)*N(K103)+N(L103)*N(M103)+N(N103)*N(O103))-(N(J103)+N(L103)+N(N103))*F103)-N(Q103))</f>
        <v/>
      </c>
      <c r="V103" s="9">
        <f>IF(OR(B103="",P103=""),"",U103/S103)</f>
        <v/>
      </c>
      <c r="W103">
        <f>IF(OR(B103="",P103=""),"",P103-C103)</f>
        <v/>
      </c>
      <c r="X103">
        <f>IF(B103="","",IF(P103="","Aberto","Fechado"))</f>
        <v/>
      </c>
    </row>
    <row r="104">
      <c r="C104" s="6" t="n"/>
      <c r="E104" s="10" t="n"/>
      <c r="F104" s="11" t="n"/>
      <c r="G104" s="11" t="n"/>
      <c r="H104" s="11" t="n"/>
      <c r="J104" s="10" t="n"/>
      <c r="K104" s="11" t="n"/>
      <c r="L104" s="10" t="n"/>
      <c r="M104" s="11" t="n"/>
      <c r="N104" s="10" t="n"/>
      <c r="O104" s="11" t="n"/>
      <c r="P104" s="6" t="n"/>
      <c r="Q104" s="11" t="n"/>
      <c r="S104" s="8">
        <f>IF(B104="","",E104*F104)</f>
        <v/>
      </c>
      <c r="T104" s="8">
        <f>IF(OR(B104="",N(G104)=0),"",ABS(F104-G104)*E104)</f>
        <v/>
      </c>
      <c r="U104" s="8">
        <f>IF(OR(B104="",P104=""),"",IF(D104="Venda",-1,1)*((N(J104)*N(K104)+N(L104)*N(M104)+N(N104)*N(O104))-(N(J104)+N(L104)+N(N104))*F104)-N(Q104))</f>
        <v/>
      </c>
      <c r="V104" s="9">
        <f>IF(OR(B104="",P104=""),"",U104/S104)</f>
        <v/>
      </c>
      <c r="W104">
        <f>IF(OR(B104="",P104=""),"",P104-C104)</f>
        <v/>
      </c>
      <c r="X104">
        <f>IF(B104="","",IF(P104="","Aberto","Fechado"))</f>
        <v/>
      </c>
    </row>
    <row r="105">
      <c r="C105" s="6" t="n"/>
      <c r="E105" s="10" t="n"/>
      <c r="F105" s="11" t="n"/>
      <c r="G105" s="11" t="n"/>
      <c r="H105" s="11" t="n"/>
      <c r="J105" s="10" t="n"/>
      <c r="K105" s="11" t="n"/>
      <c r="L105" s="10" t="n"/>
      <c r="M105" s="11" t="n"/>
      <c r="N105" s="10" t="n"/>
      <c r="O105" s="11" t="n"/>
      <c r="P105" s="6" t="n"/>
      <c r="Q105" s="11" t="n"/>
      <c r="S105" s="8">
        <f>IF(B105="","",E105*F105)</f>
        <v/>
      </c>
      <c r="T105" s="8">
        <f>IF(OR(B105="",N(G105)=0),"",ABS(F105-G105)*E105)</f>
        <v/>
      </c>
      <c r="U105" s="8">
        <f>IF(OR(B105="",P105=""),"",IF(D105="Venda",-1,1)*((N(J105)*N(K105)+N(L105)*N(M105)+N(N105)*N(O105))-(N(J105)+N(L105)+N(N105))*F105)-N(Q105))</f>
        <v/>
      </c>
      <c r="V105" s="9">
        <f>IF(OR(B105="",P105=""),"",U105/S105)</f>
        <v/>
      </c>
      <c r="W105">
        <f>IF(OR(B105="",P105=""),"",P105-C105)</f>
        <v/>
      </c>
      <c r="X105">
        <f>IF(B105="","",IF(P105="","Aberto","Fechado"))</f>
        <v/>
      </c>
    </row>
    <row r="106">
      <c r="C106" s="6" t="n"/>
      <c r="E106" s="10" t="n"/>
      <c r="F106" s="11" t="n"/>
      <c r="G106" s="11" t="n"/>
      <c r="H106" s="11" t="n"/>
      <c r="J106" s="10" t="n"/>
      <c r="K106" s="11" t="n"/>
      <c r="L106" s="10" t="n"/>
      <c r="M106" s="11" t="n"/>
      <c r="N106" s="10" t="n"/>
      <c r="O106" s="11" t="n"/>
      <c r="P106" s="6" t="n"/>
      <c r="Q106" s="11" t="n"/>
      <c r="S106" s="8">
        <f>IF(B106="","",E106*F106)</f>
        <v/>
      </c>
      <c r="T106" s="8">
        <f>IF(OR(B106="",N(G106)=0),"",ABS(F106-G106)*E106)</f>
        <v/>
      </c>
      <c r="U106" s="8">
        <f>IF(OR(B106="",P106=""),"",IF(D106="Venda",-1,1)*((N(J106)*N(K106)+N(L106)*N(M106)+N(N106)*N(O106))-(N(J106)+N(L106)+N(N106))*F106)-N(Q106))</f>
        <v/>
      </c>
      <c r="V106" s="9">
        <f>IF(OR(B106="",P106=""),"",U106/S106)</f>
        <v/>
      </c>
      <c r="W106">
        <f>IF(OR(B106="",P106=""),"",P106-C106)</f>
        <v/>
      </c>
      <c r="X106">
        <f>IF(B106="","",IF(P106="","Aberto","Fechado"))</f>
        <v/>
      </c>
    </row>
    <row r="107">
      <c r="C107" s="6" t="n"/>
      <c r="E107" s="10" t="n"/>
      <c r="F107" s="11" t="n"/>
      <c r="G107" s="11" t="n"/>
      <c r="H107" s="11" t="n"/>
      <c r="J107" s="10" t="n"/>
      <c r="K107" s="11" t="n"/>
      <c r="L107" s="10" t="n"/>
      <c r="M107" s="11" t="n"/>
      <c r="N107" s="10" t="n"/>
      <c r="O107" s="11" t="n"/>
      <c r="P107" s="6" t="n"/>
      <c r="Q107" s="11" t="n"/>
      <c r="S107" s="8">
        <f>IF(B107="","",E107*F107)</f>
        <v/>
      </c>
      <c r="T107" s="8">
        <f>IF(OR(B107="",N(G107)=0),"",ABS(F107-G107)*E107)</f>
        <v/>
      </c>
      <c r="U107" s="8">
        <f>IF(OR(B107="",P107=""),"",IF(D107="Venda",-1,1)*((N(J107)*N(K107)+N(L107)*N(M107)+N(N107)*N(O107))-(N(J107)+N(L107)+N(N107))*F107)-N(Q107))</f>
        <v/>
      </c>
      <c r="V107" s="9">
        <f>IF(OR(B107="",P107=""),"",U107/S107)</f>
        <v/>
      </c>
      <c r="W107">
        <f>IF(OR(B107="",P107=""),"",P107-C107)</f>
        <v/>
      </c>
      <c r="X107">
        <f>IF(B107="","",IF(P107="","Aberto","Fechado"))</f>
        <v/>
      </c>
    </row>
    <row r="108">
      <c r="C108" s="6" t="n"/>
      <c r="E108" s="10" t="n"/>
      <c r="F108" s="11" t="n"/>
      <c r="G108" s="11" t="n"/>
      <c r="H108" s="11" t="n"/>
      <c r="J108" s="10" t="n"/>
      <c r="K108" s="11" t="n"/>
      <c r="L108" s="10" t="n"/>
      <c r="M108" s="11" t="n"/>
      <c r="N108" s="10" t="n"/>
      <c r="O108" s="11" t="n"/>
      <c r="P108" s="6" t="n"/>
      <c r="Q108" s="11" t="n"/>
      <c r="S108" s="8">
        <f>IF(B108="","",E108*F108)</f>
        <v/>
      </c>
      <c r="T108" s="8">
        <f>IF(OR(B108="",N(G108)=0),"",ABS(F108-G108)*E108)</f>
        <v/>
      </c>
      <c r="U108" s="8">
        <f>IF(OR(B108="",P108=""),"",IF(D108="Venda",-1,1)*((N(J108)*N(K108)+N(L108)*N(M108)+N(N108)*N(O108))-(N(J108)+N(L108)+N(N108))*F108)-N(Q108))</f>
        <v/>
      </c>
      <c r="V108" s="9">
        <f>IF(OR(B108="",P108=""),"",U108/S108)</f>
        <v/>
      </c>
      <c r="W108">
        <f>IF(OR(B108="",P108=""),"",P108-C108)</f>
        <v/>
      </c>
      <c r="X108">
        <f>IF(B108="","",IF(P108="","Aberto","Fechado"))</f>
        <v/>
      </c>
    </row>
    <row r="109">
      <c r="C109" s="6" t="n"/>
      <c r="E109" s="10" t="n"/>
      <c r="F109" s="11" t="n"/>
      <c r="G109" s="11" t="n"/>
      <c r="H109" s="11" t="n"/>
      <c r="J109" s="10" t="n"/>
      <c r="K109" s="11" t="n"/>
      <c r="L109" s="10" t="n"/>
      <c r="M109" s="11" t="n"/>
      <c r="N109" s="10" t="n"/>
      <c r="O109" s="11" t="n"/>
      <c r="P109" s="6" t="n"/>
      <c r="Q109" s="11" t="n"/>
      <c r="S109" s="8">
        <f>IF(B109="","",E109*F109)</f>
        <v/>
      </c>
      <c r="T109" s="8">
        <f>IF(OR(B109="",N(G109)=0),"",ABS(F109-G109)*E109)</f>
        <v/>
      </c>
      <c r="U109" s="8">
        <f>IF(OR(B109="",P109=""),"",IF(D109="Venda",-1,1)*((N(J109)*N(K109)+N(L109)*N(M109)+N(N109)*N(O109))-(N(J109)+N(L109)+N(N109))*F109)-N(Q109))</f>
        <v/>
      </c>
      <c r="V109" s="9">
        <f>IF(OR(B109="",P109=""),"",U109/S109)</f>
        <v/>
      </c>
      <c r="W109">
        <f>IF(OR(B109="",P109=""),"",P109-C109)</f>
        <v/>
      </c>
      <c r="X109">
        <f>IF(B109="","",IF(P109="","Aberto","Fechado"))</f>
        <v/>
      </c>
    </row>
    <row r="110">
      <c r="C110" s="6" t="n"/>
      <c r="E110" s="10" t="n"/>
      <c r="F110" s="11" t="n"/>
      <c r="G110" s="11" t="n"/>
      <c r="H110" s="11" t="n"/>
      <c r="J110" s="10" t="n"/>
      <c r="K110" s="11" t="n"/>
      <c r="L110" s="10" t="n"/>
      <c r="M110" s="11" t="n"/>
      <c r="N110" s="10" t="n"/>
      <c r="O110" s="11" t="n"/>
      <c r="P110" s="6" t="n"/>
      <c r="Q110" s="11" t="n"/>
      <c r="S110" s="8">
        <f>IF(B110="","",E110*F110)</f>
        <v/>
      </c>
      <c r="T110" s="8">
        <f>IF(OR(B110="",N(G110)=0),"",ABS(F110-G110)*E110)</f>
        <v/>
      </c>
      <c r="U110" s="8">
        <f>IF(OR(B110="",P110=""),"",IF(D110="Venda",-1,1)*((N(J110)*N(K110)+N(L110)*N(M110)+N(N110)*N(O110))-(N(J110)+N(L110)+N(N110))*F110)-N(Q110))</f>
        <v/>
      </c>
      <c r="V110" s="9">
        <f>IF(OR(B110="",P110=""),"",U110/S110)</f>
        <v/>
      </c>
      <c r="W110">
        <f>IF(OR(B110="",P110=""),"",P110-C110)</f>
        <v/>
      </c>
      <c r="X110">
        <f>IF(B110="","",IF(P110="","Aberto","Fechado"))</f>
        <v/>
      </c>
    </row>
    <row r="111">
      <c r="C111" s="6" t="n"/>
      <c r="E111" s="10" t="n"/>
      <c r="F111" s="11" t="n"/>
      <c r="G111" s="11" t="n"/>
      <c r="H111" s="11" t="n"/>
      <c r="J111" s="10" t="n"/>
      <c r="K111" s="11" t="n"/>
      <c r="L111" s="10" t="n"/>
      <c r="M111" s="11" t="n"/>
      <c r="N111" s="10" t="n"/>
      <c r="O111" s="11" t="n"/>
      <c r="P111" s="6" t="n"/>
      <c r="Q111" s="11" t="n"/>
      <c r="S111" s="8">
        <f>IF(B111="","",E111*F111)</f>
        <v/>
      </c>
      <c r="T111" s="8">
        <f>IF(OR(B111="",N(G111)=0),"",ABS(F111-G111)*E111)</f>
        <v/>
      </c>
      <c r="U111" s="8">
        <f>IF(OR(B111="",P111=""),"",IF(D111="Venda",-1,1)*((N(J111)*N(K111)+N(L111)*N(M111)+N(N111)*N(O111))-(N(J111)+N(L111)+N(N111))*F111)-N(Q111))</f>
        <v/>
      </c>
      <c r="V111" s="9">
        <f>IF(OR(B111="",P111=""),"",U111/S111)</f>
        <v/>
      </c>
      <c r="W111">
        <f>IF(OR(B111="",P111=""),"",P111-C111)</f>
        <v/>
      </c>
      <c r="X111">
        <f>IF(B111="","",IF(P111="","Aberto","Fechado"))</f>
        <v/>
      </c>
    </row>
    <row r="112">
      <c r="C112" s="6" t="n"/>
      <c r="E112" s="10" t="n"/>
      <c r="F112" s="11" t="n"/>
      <c r="G112" s="11" t="n"/>
      <c r="H112" s="11" t="n"/>
      <c r="J112" s="10" t="n"/>
      <c r="K112" s="11" t="n"/>
      <c r="L112" s="10" t="n"/>
      <c r="M112" s="11" t="n"/>
      <c r="N112" s="10" t="n"/>
      <c r="O112" s="11" t="n"/>
      <c r="P112" s="6" t="n"/>
      <c r="Q112" s="11" t="n"/>
      <c r="S112" s="8">
        <f>IF(B112="","",E112*F112)</f>
        <v/>
      </c>
      <c r="T112" s="8">
        <f>IF(OR(B112="",N(G112)=0),"",ABS(F112-G112)*E112)</f>
        <v/>
      </c>
      <c r="U112" s="8">
        <f>IF(OR(B112="",P112=""),"",IF(D112="Venda",-1,1)*((N(J112)*N(K112)+N(L112)*N(M112)+N(N112)*N(O112))-(N(J112)+N(L112)+N(N112))*F112)-N(Q112))</f>
        <v/>
      </c>
      <c r="V112" s="9">
        <f>IF(OR(B112="",P112=""),"",U112/S112)</f>
        <v/>
      </c>
      <c r="W112">
        <f>IF(OR(B112="",P112=""),"",P112-C112)</f>
        <v/>
      </c>
      <c r="X112">
        <f>IF(B112="","",IF(P112="","Aberto","Fechado"))</f>
        <v/>
      </c>
    </row>
    <row r="113">
      <c r="C113" s="6" t="n"/>
      <c r="E113" s="10" t="n"/>
      <c r="F113" s="11" t="n"/>
      <c r="G113" s="11" t="n"/>
      <c r="H113" s="11" t="n"/>
      <c r="J113" s="10" t="n"/>
      <c r="K113" s="11" t="n"/>
      <c r="L113" s="10" t="n"/>
      <c r="M113" s="11" t="n"/>
      <c r="N113" s="10" t="n"/>
      <c r="O113" s="11" t="n"/>
      <c r="P113" s="6" t="n"/>
      <c r="Q113" s="11" t="n"/>
      <c r="S113" s="8">
        <f>IF(B113="","",E113*F113)</f>
        <v/>
      </c>
      <c r="T113" s="8">
        <f>IF(OR(B113="",N(G113)=0),"",ABS(F113-G113)*E113)</f>
        <v/>
      </c>
      <c r="U113" s="8">
        <f>IF(OR(B113="",P113=""),"",IF(D113="Venda",-1,1)*((N(J113)*N(K113)+N(L113)*N(M113)+N(N113)*N(O113))-(N(J113)+N(L113)+N(N113))*F113)-N(Q113))</f>
        <v/>
      </c>
      <c r="V113" s="9">
        <f>IF(OR(B113="",P113=""),"",U113/S113)</f>
        <v/>
      </c>
      <c r="W113">
        <f>IF(OR(B113="",P113=""),"",P113-C113)</f>
        <v/>
      </c>
      <c r="X113">
        <f>IF(B113="","",IF(P113="","Aberto","Fechado"))</f>
        <v/>
      </c>
    </row>
    <row r="114">
      <c r="C114" s="6" t="n"/>
      <c r="E114" s="10" t="n"/>
      <c r="F114" s="11" t="n"/>
      <c r="G114" s="11" t="n"/>
      <c r="H114" s="11" t="n"/>
      <c r="J114" s="10" t="n"/>
      <c r="K114" s="11" t="n"/>
      <c r="L114" s="10" t="n"/>
      <c r="M114" s="11" t="n"/>
      <c r="N114" s="10" t="n"/>
      <c r="O114" s="11" t="n"/>
      <c r="P114" s="6" t="n"/>
      <c r="Q114" s="11" t="n"/>
      <c r="S114" s="8">
        <f>IF(B114="","",E114*F114)</f>
        <v/>
      </c>
      <c r="T114" s="8">
        <f>IF(OR(B114="",N(G114)=0),"",ABS(F114-G114)*E114)</f>
        <v/>
      </c>
      <c r="U114" s="8">
        <f>IF(OR(B114="",P114=""),"",IF(D114="Venda",-1,1)*((N(J114)*N(K114)+N(L114)*N(M114)+N(N114)*N(O114))-(N(J114)+N(L114)+N(N114))*F114)-N(Q114))</f>
        <v/>
      </c>
      <c r="V114" s="9">
        <f>IF(OR(B114="",P114=""),"",U114/S114)</f>
        <v/>
      </c>
      <c r="W114">
        <f>IF(OR(B114="",P114=""),"",P114-C114)</f>
        <v/>
      </c>
      <c r="X114">
        <f>IF(B114="","",IF(P114="","Aberto","Fechado"))</f>
        <v/>
      </c>
    </row>
    <row r="115">
      <c r="C115" s="6" t="n"/>
      <c r="E115" s="10" t="n"/>
      <c r="F115" s="11" t="n"/>
      <c r="G115" s="11" t="n"/>
      <c r="H115" s="11" t="n"/>
      <c r="J115" s="10" t="n"/>
      <c r="K115" s="11" t="n"/>
      <c r="L115" s="10" t="n"/>
      <c r="M115" s="11" t="n"/>
      <c r="N115" s="10" t="n"/>
      <c r="O115" s="11" t="n"/>
      <c r="P115" s="6" t="n"/>
      <c r="Q115" s="11" t="n"/>
      <c r="S115" s="8">
        <f>IF(B115="","",E115*F115)</f>
        <v/>
      </c>
      <c r="T115" s="8">
        <f>IF(OR(B115="",N(G115)=0),"",ABS(F115-G115)*E115)</f>
        <v/>
      </c>
      <c r="U115" s="8">
        <f>IF(OR(B115="",P115=""),"",IF(D115="Venda",-1,1)*((N(J115)*N(K115)+N(L115)*N(M115)+N(N115)*N(O115))-(N(J115)+N(L115)+N(N115))*F115)-N(Q115))</f>
        <v/>
      </c>
      <c r="V115" s="9">
        <f>IF(OR(B115="",P115=""),"",U115/S115)</f>
        <v/>
      </c>
      <c r="W115">
        <f>IF(OR(B115="",P115=""),"",P115-C115)</f>
        <v/>
      </c>
      <c r="X115">
        <f>IF(B115="","",IF(P115="","Aberto","Fechado"))</f>
        <v/>
      </c>
    </row>
    <row r="116">
      <c r="C116" s="6" t="n"/>
      <c r="E116" s="10" t="n"/>
      <c r="F116" s="11" t="n"/>
      <c r="G116" s="11" t="n"/>
      <c r="H116" s="11" t="n"/>
      <c r="J116" s="10" t="n"/>
      <c r="K116" s="11" t="n"/>
      <c r="L116" s="10" t="n"/>
      <c r="M116" s="11" t="n"/>
      <c r="N116" s="10" t="n"/>
      <c r="O116" s="11" t="n"/>
      <c r="P116" s="6" t="n"/>
      <c r="Q116" s="11" t="n"/>
      <c r="S116" s="8">
        <f>IF(B116="","",E116*F116)</f>
        <v/>
      </c>
      <c r="T116" s="8">
        <f>IF(OR(B116="",N(G116)=0),"",ABS(F116-G116)*E116)</f>
        <v/>
      </c>
      <c r="U116" s="8">
        <f>IF(OR(B116="",P116=""),"",IF(D116="Venda",-1,1)*((N(J116)*N(K116)+N(L116)*N(M116)+N(N116)*N(O116))-(N(J116)+N(L116)+N(N116))*F116)-N(Q116))</f>
        <v/>
      </c>
      <c r="V116" s="9">
        <f>IF(OR(B116="",P116=""),"",U116/S116)</f>
        <v/>
      </c>
      <c r="W116">
        <f>IF(OR(B116="",P116=""),"",P116-C116)</f>
        <v/>
      </c>
      <c r="X116">
        <f>IF(B116="","",IF(P116="","Aberto","Fechado"))</f>
        <v/>
      </c>
    </row>
    <row r="117">
      <c r="C117" s="6" t="n"/>
      <c r="E117" s="10" t="n"/>
      <c r="F117" s="11" t="n"/>
      <c r="G117" s="11" t="n"/>
      <c r="H117" s="11" t="n"/>
      <c r="J117" s="10" t="n"/>
      <c r="K117" s="11" t="n"/>
      <c r="L117" s="10" t="n"/>
      <c r="M117" s="11" t="n"/>
      <c r="N117" s="10" t="n"/>
      <c r="O117" s="11" t="n"/>
      <c r="P117" s="6" t="n"/>
      <c r="Q117" s="11" t="n"/>
      <c r="S117" s="8">
        <f>IF(B117="","",E117*F117)</f>
        <v/>
      </c>
      <c r="T117" s="8">
        <f>IF(OR(B117="",N(G117)=0),"",ABS(F117-G117)*E117)</f>
        <v/>
      </c>
      <c r="U117" s="8">
        <f>IF(OR(B117="",P117=""),"",IF(D117="Venda",-1,1)*((N(J117)*N(K117)+N(L117)*N(M117)+N(N117)*N(O117))-(N(J117)+N(L117)+N(N117))*F117)-N(Q117))</f>
        <v/>
      </c>
      <c r="V117" s="9">
        <f>IF(OR(B117="",P117=""),"",U117/S117)</f>
        <v/>
      </c>
      <c r="W117">
        <f>IF(OR(B117="",P117=""),"",P117-C117)</f>
        <v/>
      </c>
      <c r="X117">
        <f>IF(B117="","",IF(P117="","Aberto","Fechado"))</f>
        <v/>
      </c>
    </row>
    <row r="118">
      <c r="C118" s="6" t="n"/>
      <c r="E118" s="10" t="n"/>
      <c r="F118" s="11" t="n"/>
      <c r="G118" s="11" t="n"/>
      <c r="H118" s="11" t="n"/>
      <c r="J118" s="10" t="n"/>
      <c r="K118" s="11" t="n"/>
      <c r="L118" s="10" t="n"/>
      <c r="M118" s="11" t="n"/>
      <c r="N118" s="10" t="n"/>
      <c r="O118" s="11" t="n"/>
      <c r="P118" s="6" t="n"/>
      <c r="Q118" s="11" t="n"/>
      <c r="S118" s="8">
        <f>IF(B118="","",E118*F118)</f>
        <v/>
      </c>
      <c r="T118" s="8">
        <f>IF(OR(B118="",N(G118)=0),"",ABS(F118-G118)*E118)</f>
        <v/>
      </c>
      <c r="U118" s="8">
        <f>IF(OR(B118="",P118=""),"",IF(D118="Venda",-1,1)*((N(J118)*N(K118)+N(L118)*N(M118)+N(N118)*N(O118))-(N(J118)+N(L118)+N(N118))*F118)-N(Q118))</f>
        <v/>
      </c>
      <c r="V118" s="9">
        <f>IF(OR(B118="",P118=""),"",U118/S118)</f>
        <v/>
      </c>
      <c r="W118">
        <f>IF(OR(B118="",P118=""),"",P118-C118)</f>
        <v/>
      </c>
      <c r="X118">
        <f>IF(B118="","",IF(P118="","Aberto","Fechado"))</f>
        <v/>
      </c>
    </row>
    <row r="119">
      <c r="C119" s="6" t="n"/>
      <c r="E119" s="10" t="n"/>
      <c r="F119" s="11" t="n"/>
      <c r="G119" s="11" t="n"/>
      <c r="H119" s="11" t="n"/>
      <c r="J119" s="10" t="n"/>
      <c r="K119" s="11" t="n"/>
      <c r="L119" s="10" t="n"/>
      <c r="M119" s="11" t="n"/>
      <c r="N119" s="10" t="n"/>
      <c r="O119" s="11" t="n"/>
      <c r="P119" s="6" t="n"/>
      <c r="Q119" s="11" t="n"/>
      <c r="S119" s="8">
        <f>IF(B119="","",E119*F119)</f>
        <v/>
      </c>
      <c r="T119" s="8">
        <f>IF(OR(B119="",N(G119)=0),"",ABS(F119-G119)*E119)</f>
        <v/>
      </c>
      <c r="U119" s="8">
        <f>IF(OR(B119="",P119=""),"",IF(D119="Venda",-1,1)*((N(J119)*N(K119)+N(L119)*N(M119)+N(N119)*N(O119))-(N(J119)+N(L119)+N(N119))*F119)-N(Q119))</f>
        <v/>
      </c>
      <c r="V119" s="9">
        <f>IF(OR(B119="",P119=""),"",U119/S119)</f>
        <v/>
      </c>
      <c r="W119">
        <f>IF(OR(B119="",P119=""),"",P119-C119)</f>
        <v/>
      </c>
      <c r="X119">
        <f>IF(B119="","",IF(P119="","Aberto","Fechado"))</f>
        <v/>
      </c>
    </row>
    <row r="120">
      <c r="C120" s="6" t="n"/>
      <c r="E120" s="10" t="n"/>
      <c r="F120" s="11" t="n"/>
      <c r="G120" s="11" t="n"/>
      <c r="H120" s="11" t="n"/>
      <c r="J120" s="10" t="n"/>
      <c r="K120" s="11" t="n"/>
      <c r="L120" s="10" t="n"/>
      <c r="M120" s="11" t="n"/>
      <c r="N120" s="10" t="n"/>
      <c r="O120" s="11" t="n"/>
      <c r="P120" s="6" t="n"/>
      <c r="Q120" s="11" t="n"/>
      <c r="S120" s="8">
        <f>IF(B120="","",E120*F120)</f>
        <v/>
      </c>
      <c r="T120" s="8">
        <f>IF(OR(B120="",N(G120)=0),"",ABS(F120-G120)*E120)</f>
        <v/>
      </c>
      <c r="U120" s="8">
        <f>IF(OR(B120="",P120=""),"",IF(D120="Venda",-1,1)*((N(J120)*N(K120)+N(L120)*N(M120)+N(N120)*N(O120))-(N(J120)+N(L120)+N(N120))*F120)-N(Q120))</f>
        <v/>
      </c>
      <c r="V120" s="9">
        <f>IF(OR(B120="",P120=""),"",U120/S120)</f>
        <v/>
      </c>
      <c r="W120">
        <f>IF(OR(B120="",P120=""),"",P120-C120)</f>
        <v/>
      </c>
      <c r="X120">
        <f>IF(B120="","",IF(P120="","Aberto","Fechado"))</f>
        <v/>
      </c>
    </row>
    <row r="121">
      <c r="C121" s="6" t="n"/>
      <c r="E121" s="10" t="n"/>
      <c r="F121" s="11" t="n"/>
      <c r="G121" s="11" t="n"/>
      <c r="H121" s="11" t="n"/>
      <c r="J121" s="10" t="n"/>
      <c r="K121" s="11" t="n"/>
      <c r="L121" s="10" t="n"/>
      <c r="M121" s="11" t="n"/>
      <c r="N121" s="10" t="n"/>
      <c r="O121" s="11" t="n"/>
      <c r="P121" s="6" t="n"/>
      <c r="Q121" s="11" t="n"/>
      <c r="S121" s="8">
        <f>IF(B121="","",E121*F121)</f>
        <v/>
      </c>
      <c r="T121" s="8">
        <f>IF(OR(B121="",N(G121)=0),"",ABS(F121-G121)*E121)</f>
        <v/>
      </c>
      <c r="U121" s="8">
        <f>IF(OR(B121="",P121=""),"",IF(D121="Venda",-1,1)*((N(J121)*N(K121)+N(L121)*N(M121)+N(N121)*N(O121))-(N(J121)+N(L121)+N(N121))*F121)-N(Q121))</f>
        <v/>
      </c>
      <c r="V121" s="9">
        <f>IF(OR(B121="",P121=""),"",U121/S121)</f>
        <v/>
      </c>
      <c r="W121">
        <f>IF(OR(B121="",P121=""),"",P121-C121)</f>
        <v/>
      </c>
      <c r="X121">
        <f>IF(B121="","",IF(P121="","Aberto","Fechado"))</f>
        <v/>
      </c>
    </row>
    <row r="122">
      <c r="C122" s="6" t="n"/>
      <c r="E122" s="10" t="n"/>
      <c r="F122" s="11" t="n"/>
      <c r="G122" s="11" t="n"/>
      <c r="H122" s="11" t="n"/>
      <c r="J122" s="10" t="n"/>
      <c r="K122" s="11" t="n"/>
      <c r="L122" s="10" t="n"/>
      <c r="M122" s="11" t="n"/>
      <c r="N122" s="10" t="n"/>
      <c r="O122" s="11" t="n"/>
      <c r="P122" s="6" t="n"/>
      <c r="Q122" s="11" t="n"/>
      <c r="S122" s="8">
        <f>IF(B122="","",E122*F122)</f>
        <v/>
      </c>
      <c r="T122" s="8">
        <f>IF(OR(B122="",N(G122)=0),"",ABS(F122-G122)*E122)</f>
        <v/>
      </c>
      <c r="U122" s="8">
        <f>IF(OR(B122="",P122=""),"",IF(D122="Venda",-1,1)*((N(J122)*N(K122)+N(L122)*N(M122)+N(N122)*N(O122))-(N(J122)+N(L122)+N(N122))*F122)-N(Q122))</f>
        <v/>
      </c>
      <c r="V122" s="9">
        <f>IF(OR(B122="",P122=""),"",U122/S122)</f>
        <v/>
      </c>
      <c r="W122">
        <f>IF(OR(B122="",P122=""),"",P122-C122)</f>
        <v/>
      </c>
      <c r="X122">
        <f>IF(B122="","",IF(P122="","Aberto","Fechado"))</f>
        <v/>
      </c>
    </row>
    <row r="123">
      <c r="C123" s="6" t="n"/>
      <c r="E123" s="10" t="n"/>
      <c r="F123" s="11" t="n"/>
      <c r="G123" s="11" t="n"/>
      <c r="H123" s="11" t="n"/>
      <c r="J123" s="10" t="n"/>
      <c r="K123" s="11" t="n"/>
      <c r="L123" s="10" t="n"/>
      <c r="M123" s="11" t="n"/>
      <c r="N123" s="10" t="n"/>
      <c r="O123" s="11" t="n"/>
      <c r="P123" s="6" t="n"/>
      <c r="Q123" s="11" t="n"/>
      <c r="S123" s="8">
        <f>IF(B123="","",E123*F123)</f>
        <v/>
      </c>
      <c r="T123" s="8">
        <f>IF(OR(B123="",N(G123)=0),"",ABS(F123-G123)*E123)</f>
        <v/>
      </c>
      <c r="U123" s="8">
        <f>IF(OR(B123="",P123=""),"",IF(D123="Venda",-1,1)*((N(J123)*N(K123)+N(L123)*N(M123)+N(N123)*N(O123))-(N(J123)+N(L123)+N(N123))*F123)-N(Q123))</f>
        <v/>
      </c>
      <c r="V123" s="9">
        <f>IF(OR(B123="",P123=""),"",U123/S123)</f>
        <v/>
      </c>
      <c r="W123">
        <f>IF(OR(B123="",P123=""),"",P123-C123)</f>
        <v/>
      </c>
      <c r="X123">
        <f>IF(B123="","",IF(P123="","Aberto","Fechado"))</f>
        <v/>
      </c>
    </row>
    <row r="124">
      <c r="C124" s="6" t="n"/>
      <c r="E124" s="10" t="n"/>
      <c r="F124" s="11" t="n"/>
      <c r="G124" s="11" t="n"/>
      <c r="H124" s="11" t="n"/>
      <c r="J124" s="10" t="n"/>
      <c r="K124" s="11" t="n"/>
      <c r="L124" s="10" t="n"/>
      <c r="M124" s="11" t="n"/>
      <c r="N124" s="10" t="n"/>
      <c r="O124" s="11" t="n"/>
      <c r="P124" s="6" t="n"/>
      <c r="Q124" s="11" t="n"/>
      <c r="S124" s="8">
        <f>IF(B124="","",E124*F124)</f>
        <v/>
      </c>
      <c r="T124" s="8">
        <f>IF(OR(B124="",N(G124)=0),"",ABS(F124-G124)*E124)</f>
        <v/>
      </c>
      <c r="U124" s="8">
        <f>IF(OR(B124="",P124=""),"",IF(D124="Venda",-1,1)*((N(J124)*N(K124)+N(L124)*N(M124)+N(N124)*N(O124))-(N(J124)+N(L124)+N(N124))*F124)-N(Q124))</f>
        <v/>
      </c>
      <c r="V124" s="9">
        <f>IF(OR(B124="",P124=""),"",U124/S124)</f>
        <v/>
      </c>
      <c r="W124">
        <f>IF(OR(B124="",P124=""),"",P124-C124)</f>
        <v/>
      </c>
      <c r="X124">
        <f>IF(B124="","",IF(P124="","Aberto","Fechado"))</f>
        <v/>
      </c>
    </row>
    <row r="125">
      <c r="C125" s="6" t="n"/>
      <c r="E125" s="10" t="n"/>
      <c r="F125" s="11" t="n"/>
      <c r="G125" s="11" t="n"/>
      <c r="H125" s="11" t="n"/>
      <c r="J125" s="10" t="n"/>
      <c r="K125" s="11" t="n"/>
      <c r="L125" s="10" t="n"/>
      <c r="M125" s="11" t="n"/>
      <c r="N125" s="10" t="n"/>
      <c r="O125" s="11" t="n"/>
      <c r="P125" s="6" t="n"/>
      <c r="Q125" s="11" t="n"/>
      <c r="S125" s="8">
        <f>IF(B125="","",E125*F125)</f>
        <v/>
      </c>
      <c r="T125" s="8">
        <f>IF(OR(B125="",N(G125)=0),"",ABS(F125-G125)*E125)</f>
        <v/>
      </c>
      <c r="U125" s="8">
        <f>IF(OR(B125="",P125=""),"",IF(D125="Venda",-1,1)*((N(J125)*N(K125)+N(L125)*N(M125)+N(N125)*N(O125))-(N(J125)+N(L125)+N(N125))*F125)-N(Q125))</f>
        <v/>
      </c>
      <c r="V125" s="9">
        <f>IF(OR(B125="",P125=""),"",U125/S125)</f>
        <v/>
      </c>
      <c r="W125">
        <f>IF(OR(B125="",P125=""),"",P125-C125)</f>
        <v/>
      </c>
      <c r="X125">
        <f>IF(B125="","",IF(P125="","Aberto","Fechado"))</f>
        <v/>
      </c>
    </row>
    <row r="126">
      <c r="C126" s="6" t="n"/>
      <c r="E126" s="10" t="n"/>
      <c r="F126" s="11" t="n"/>
      <c r="G126" s="11" t="n"/>
      <c r="H126" s="11" t="n"/>
      <c r="J126" s="10" t="n"/>
      <c r="K126" s="11" t="n"/>
      <c r="L126" s="10" t="n"/>
      <c r="M126" s="11" t="n"/>
      <c r="N126" s="10" t="n"/>
      <c r="O126" s="11" t="n"/>
      <c r="P126" s="6" t="n"/>
      <c r="Q126" s="11" t="n"/>
      <c r="S126" s="8">
        <f>IF(B126="","",E126*F126)</f>
        <v/>
      </c>
      <c r="T126" s="8">
        <f>IF(OR(B126="",N(G126)=0),"",ABS(F126-G126)*E126)</f>
        <v/>
      </c>
      <c r="U126" s="8">
        <f>IF(OR(B126="",P126=""),"",IF(D126="Venda",-1,1)*((N(J126)*N(K126)+N(L126)*N(M126)+N(N126)*N(O126))-(N(J126)+N(L126)+N(N126))*F126)-N(Q126))</f>
        <v/>
      </c>
      <c r="V126" s="9">
        <f>IF(OR(B126="",P126=""),"",U126/S126)</f>
        <v/>
      </c>
      <c r="W126">
        <f>IF(OR(B126="",P126=""),"",P126-C126)</f>
        <v/>
      </c>
      <c r="X126">
        <f>IF(B126="","",IF(P126="","Aberto","Fechado"))</f>
        <v/>
      </c>
    </row>
    <row r="127">
      <c r="C127" s="6" t="n"/>
      <c r="E127" s="10" t="n"/>
      <c r="F127" s="11" t="n"/>
      <c r="G127" s="11" t="n"/>
      <c r="H127" s="11" t="n"/>
      <c r="J127" s="10" t="n"/>
      <c r="K127" s="11" t="n"/>
      <c r="L127" s="10" t="n"/>
      <c r="M127" s="11" t="n"/>
      <c r="N127" s="10" t="n"/>
      <c r="O127" s="11" t="n"/>
      <c r="P127" s="6" t="n"/>
      <c r="Q127" s="11" t="n"/>
      <c r="S127" s="8">
        <f>IF(B127="","",E127*F127)</f>
        <v/>
      </c>
      <c r="T127" s="8">
        <f>IF(OR(B127="",N(G127)=0),"",ABS(F127-G127)*E127)</f>
        <v/>
      </c>
      <c r="U127" s="8">
        <f>IF(OR(B127="",P127=""),"",IF(D127="Venda",-1,1)*((N(J127)*N(K127)+N(L127)*N(M127)+N(N127)*N(O127))-(N(J127)+N(L127)+N(N127))*F127)-N(Q127))</f>
        <v/>
      </c>
      <c r="V127" s="9">
        <f>IF(OR(B127="",P127=""),"",U127/S127)</f>
        <v/>
      </c>
      <c r="W127">
        <f>IF(OR(B127="",P127=""),"",P127-C127)</f>
        <v/>
      </c>
      <c r="X127">
        <f>IF(B127="","",IF(P127="","Aberto","Fechado"))</f>
        <v/>
      </c>
    </row>
    <row r="128">
      <c r="C128" s="6" t="n"/>
      <c r="E128" s="10" t="n"/>
      <c r="F128" s="11" t="n"/>
      <c r="G128" s="11" t="n"/>
      <c r="H128" s="11" t="n"/>
      <c r="J128" s="10" t="n"/>
      <c r="K128" s="11" t="n"/>
      <c r="L128" s="10" t="n"/>
      <c r="M128" s="11" t="n"/>
      <c r="N128" s="10" t="n"/>
      <c r="O128" s="11" t="n"/>
      <c r="P128" s="6" t="n"/>
      <c r="Q128" s="11" t="n"/>
      <c r="S128" s="8">
        <f>IF(B128="","",E128*F128)</f>
        <v/>
      </c>
      <c r="T128" s="8">
        <f>IF(OR(B128="",N(G128)=0),"",ABS(F128-G128)*E128)</f>
        <v/>
      </c>
      <c r="U128" s="8">
        <f>IF(OR(B128="",P128=""),"",IF(D128="Venda",-1,1)*((N(J128)*N(K128)+N(L128)*N(M128)+N(N128)*N(O128))-(N(J128)+N(L128)+N(N128))*F128)-N(Q128))</f>
        <v/>
      </c>
      <c r="V128" s="9">
        <f>IF(OR(B128="",P128=""),"",U128/S128)</f>
        <v/>
      </c>
      <c r="W128">
        <f>IF(OR(B128="",P128=""),"",P128-C128)</f>
        <v/>
      </c>
      <c r="X128">
        <f>IF(B128="","",IF(P128="","Aberto","Fechado"))</f>
        <v/>
      </c>
    </row>
    <row r="129">
      <c r="C129" s="6" t="n"/>
      <c r="E129" s="10" t="n"/>
      <c r="F129" s="11" t="n"/>
      <c r="G129" s="11" t="n"/>
      <c r="H129" s="11" t="n"/>
      <c r="J129" s="10" t="n"/>
      <c r="K129" s="11" t="n"/>
      <c r="L129" s="10" t="n"/>
      <c r="M129" s="11" t="n"/>
      <c r="N129" s="10" t="n"/>
      <c r="O129" s="11" t="n"/>
      <c r="P129" s="6" t="n"/>
      <c r="Q129" s="11" t="n"/>
      <c r="S129" s="8">
        <f>IF(B129="","",E129*F129)</f>
        <v/>
      </c>
      <c r="T129" s="8">
        <f>IF(OR(B129="",N(G129)=0),"",ABS(F129-G129)*E129)</f>
        <v/>
      </c>
      <c r="U129" s="8">
        <f>IF(OR(B129="",P129=""),"",IF(D129="Venda",-1,1)*((N(J129)*N(K129)+N(L129)*N(M129)+N(N129)*N(O129))-(N(J129)+N(L129)+N(N129))*F129)-N(Q129))</f>
        <v/>
      </c>
      <c r="V129" s="9">
        <f>IF(OR(B129="",P129=""),"",U129/S129)</f>
        <v/>
      </c>
      <c r="W129">
        <f>IF(OR(B129="",P129=""),"",P129-C129)</f>
        <v/>
      </c>
      <c r="X129">
        <f>IF(B129="","",IF(P129="","Aberto","Fechado"))</f>
        <v/>
      </c>
    </row>
    <row r="130">
      <c r="C130" s="6" t="n"/>
      <c r="E130" s="10" t="n"/>
      <c r="F130" s="11" t="n"/>
      <c r="G130" s="11" t="n"/>
      <c r="H130" s="11" t="n"/>
      <c r="J130" s="10" t="n"/>
      <c r="K130" s="11" t="n"/>
      <c r="L130" s="10" t="n"/>
      <c r="M130" s="11" t="n"/>
      <c r="N130" s="10" t="n"/>
      <c r="O130" s="11" t="n"/>
      <c r="P130" s="6" t="n"/>
      <c r="Q130" s="11" t="n"/>
      <c r="S130" s="8">
        <f>IF(B130="","",E130*F130)</f>
        <v/>
      </c>
      <c r="T130" s="8">
        <f>IF(OR(B130="",N(G130)=0),"",ABS(F130-G130)*E130)</f>
        <v/>
      </c>
      <c r="U130" s="8">
        <f>IF(OR(B130="",P130=""),"",IF(D130="Venda",-1,1)*((N(J130)*N(K130)+N(L130)*N(M130)+N(N130)*N(O130))-(N(J130)+N(L130)+N(N130))*F130)-N(Q130))</f>
        <v/>
      </c>
      <c r="V130" s="9">
        <f>IF(OR(B130="",P130=""),"",U130/S130)</f>
        <v/>
      </c>
      <c r="W130">
        <f>IF(OR(B130="",P130=""),"",P130-C130)</f>
        <v/>
      </c>
      <c r="X130">
        <f>IF(B130="","",IF(P130="","Aberto","Fechado"))</f>
        <v/>
      </c>
    </row>
    <row r="131">
      <c r="C131" s="6" t="n"/>
      <c r="E131" s="10" t="n"/>
      <c r="F131" s="11" t="n"/>
      <c r="G131" s="11" t="n"/>
      <c r="H131" s="11" t="n"/>
      <c r="J131" s="10" t="n"/>
      <c r="K131" s="11" t="n"/>
      <c r="L131" s="10" t="n"/>
      <c r="M131" s="11" t="n"/>
      <c r="N131" s="10" t="n"/>
      <c r="O131" s="11" t="n"/>
      <c r="P131" s="6" t="n"/>
      <c r="Q131" s="11" t="n"/>
      <c r="S131" s="8">
        <f>IF(B131="","",E131*F131)</f>
        <v/>
      </c>
      <c r="T131" s="8">
        <f>IF(OR(B131="",N(G131)=0),"",ABS(F131-G131)*E131)</f>
        <v/>
      </c>
      <c r="U131" s="8">
        <f>IF(OR(B131="",P131=""),"",IF(D131="Venda",-1,1)*((N(J131)*N(K131)+N(L131)*N(M131)+N(N131)*N(O131))-(N(J131)+N(L131)+N(N131))*F131)-N(Q131))</f>
        <v/>
      </c>
      <c r="V131" s="9">
        <f>IF(OR(B131="",P131=""),"",U131/S131)</f>
        <v/>
      </c>
      <c r="W131">
        <f>IF(OR(B131="",P131=""),"",P131-C131)</f>
        <v/>
      </c>
      <c r="X131">
        <f>IF(B131="","",IF(P131="","Aberto","Fechado"))</f>
        <v/>
      </c>
    </row>
    <row r="132">
      <c r="C132" s="6" t="n"/>
      <c r="E132" s="10" t="n"/>
      <c r="F132" s="11" t="n"/>
      <c r="G132" s="11" t="n"/>
      <c r="H132" s="11" t="n"/>
      <c r="J132" s="10" t="n"/>
      <c r="K132" s="11" t="n"/>
      <c r="L132" s="10" t="n"/>
      <c r="M132" s="11" t="n"/>
      <c r="N132" s="10" t="n"/>
      <c r="O132" s="11" t="n"/>
      <c r="P132" s="6" t="n"/>
      <c r="Q132" s="11" t="n"/>
      <c r="S132" s="8">
        <f>IF(B132="","",E132*F132)</f>
        <v/>
      </c>
      <c r="T132" s="8">
        <f>IF(OR(B132="",N(G132)=0),"",ABS(F132-G132)*E132)</f>
        <v/>
      </c>
      <c r="U132" s="8">
        <f>IF(OR(B132="",P132=""),"",IF(D132="Venda",-1,1)*((N(J132)*N(K132)+N(L132)*N(M132)+N(N132)*N(O132))-(N(J132)+N(L132)+N(N132))*F132)-N(Q132))</f>
        <v/>
      </c>
      <c r="V132" s="9">
        <f>IF(OR(B132="",P132=""),"",U132/S132)</f>
        <v/>
      </c>
      <c r="W132">
        <f>IF(OR(B132="",P132=""),"",P132-C132)</f>
        <v/>
      </c>
      <c r="X132">
        <f>IF(B132="","",IF(P132="","Aberto","Fechado"))</f>
        <v/>
      </c>
    </row>
    <row r="133">
      <c r="C133" s="6" t="n"/>
      <c r="E133" s="10" t="n"/>
      <c r="F133" s="11" t="n"/>
      <c r="G133" s="11" t="n"/>
      <c r="H133" s="11" t="n"/>
      <c r="J133" s="10" t="n"/>
      <c r="K133" s="11" t="n"/>
      <c r="L133" s="10" t="n"/>
      <c r="M133" s="11" t="n"/>
      <c r="N133" s="10" t="n"/>
      <c r="O133" s="11" t="n"/>
      <c r="P133" s="6" t="n"/>
      <c r="Q133" s="11" t="n"/>
      <c r="S133" s="8">
        <f>IF(B133="","",E133*F133)</f>
        <v/>
      </c>
      <c r="T133" s="8">
        <f>IF(OR(B133="",N(G133)=0),"",ABS(F133-G133)*E133)</f>
        <v/>
      </c>
      <c r="U133" s="8">
        <f>IF(OR(B133="",P133=""),"",IF(D133="Venda",-1,1)*((N(J133)*N(K133)+N(L133)*N(M133)+N(N133)*N(O133))-(N(J133)+N(L133)+N(N133))*F133)-N(Q133))</f>
        <v/>
      </c>
      <c r="V133" s="9">
        <f>IF(OR(B133="",P133=""),"",U133/S133)</f>
        <v/>
      </c>
      <c r="W133">
        <f>IF(OR(B133="",P133=""),"",P133-C133)</f>
        <v/>
      </c>
      <c r="X133">
        <f>IF(B133="","",IF(P133="","Aberto","Fechado"))</f>
        <v/>
      </c>
    </row>
    <row r="134">
      <c r="C134" s="6" t="n"/>
      <c r="E134" s="10" t="n"/>
      <c r="F134" s="11" t="n"/>
      <c r="G134" s="11" t="n"/>
      <c r="H134" s="11" t="n"/>
      <c r="J134" s="10" t="n"/>
      <c r="K134" s="11" t="n"/>
      <c r="L134" s="10" t="n"/>
      <c r="M134" s="11" t="n"/>
      <c r="N134" s="10" t="n"/>
      <c r="O134" s="11" t="n"/>
      <c r="P134" s="6" t="n"/>
      <c r="Q134" s="11" t="n"/>
      <c r="S134" s="8">
        <f>IF(B134="","",E134*F134)</f>
        <v/>
      </c>
      <c r="T134" s="8">
        <f>IF(OR(B134="",N(G134)=0),"",ABS(F134-G134)*E134)</f>
        <v/>
      </c>
      <c r="U134" s="8">
        <f>IF(OR(B134="",P134=""),"",IF(D134="Venda",-1,1)*((N(J134)*N(K134)+N(L134)*N(M134)+N(N134)*N(O134))-(N(J134)+N(L134)+N(N134))*F134)-N(Q134))</f>
        <v/>
      </c>
      <c r="V134" s="9">
        <f>IF(OR(B134="",P134=""),"",U134/S134)</f>
        <v/>
      </c>
      <c r="W134">
        <f>IF(OR(B134="",P134=""),"",P134-C134)</f>
        <v/>
      </c>
      <c r="X134">
        <f>IF(B134="","",IF(P134="","Aberto","Fechado"))</f>
        <v/>
      </c>
    </row>
    <row r="135">
      <c r="C135" s="6" t="n"/>
      <c r="E135" s="10" t="n"/>
      <c r="F135" s="11" t="n"/>
      <c r="G135" s="11" t="n"/>
      <c r="H135" s="11" t="n"/>
      <c r="J135" s="10" t="n"/>
      <c r="K135" s="11" t="n"/>
      <c r="L135" s="10" t="n"/>
      <c r="M135" s="11" t="n"/>
      <c r="N135" s="10" t="n"/>
      <c r="O135" s="11" t="n"/>
      <c r="P135" s="6" t="n"/>
      <c r="Q135" s="11" t="n"/>
      <c r="S135" s="8">
        <f>IF(B135="","",E135*F135)</f>
        <v/>
      </c>
      <c r="T135" s="8">
        <f>IF(OR(B135="",N(G135)=0),"",ABS(F135-G135)*E135)</f>
        <v/>
      </c>
      <c r="U135" s="8">
        <f>IF(OR(B135="",P135=""),"",IF(D135="Venda",-1,1)*((N(J135)*N(K135)+N(L135)*N(M135)+N(N135)*N(O135))-(N(J135)+N(L135)+N(N135))*F135)-N(Q135))</f>
        <v/>
      </c>
      <c r="V135" s="9">
        <f>IF(OR(B135="",P135=""),"",U135/S135)</f>
        <v/>
      </c>
      <c r="W135">
        <f>IF(OR(B135="",P135=""),"",P135-C135)</f>
        <v/>
      </c>
      <c r="X135">
        <f>IF(B135="","",IF(P135="","Aberto","Fechado"))</f>
        <v/>
      </c>
    </row>
    <row r="136">
      <c r="C136" s="6" t="n"/>
      <c r="E136" s="10" t="n"/>
      <c r="F136" s="11" t="n"/>
      <c r="G136" s="11" t="n"/>
      <c r="H136" s="11" t="n"/>
      <c r="J136" s="10" t="n"/>
      <c r="K136" s="11" t="n"/>
      <c r="L136" s="10" t="n"/>
      <c r="M136" s="11" t="n"/>
      <c r="N136" s="10" t="n"/>
      <c r="O136" s="11" t="n"/>
      <c r="P136" s="6" t="n"/>
      <c r="Q136" s="11" t="n"/>
      <c r="S136" s="8">
        <f>IF(B136="","",E136*F136)</f>
        <v/>
      </c>
      <c r="T136" s="8">
        <f>IF(OR(B136="",N(G136)=0),"",ABS(F136-G136)*E136)</f>
        <v/>
      </c>
      <c r="U136" s="8">
        <f>IF(OR(B136="",P136=""),"",IF(D136="Venda",-1,1)*((N(J136)*N(K136)+N(L136)*N(M136)+N(N136)*N(O136))-(N(J136)+N(L136)+N(N136))*F136)-N(Q136))</f>
        <v/>
      </c>
      <c r="V136" s="9">
        <f>IF(OR(B136="",P136=""),"",U136/S136)</f>
        <v/>
      </c>
      <c r="W136">
        <f>IF(OR(B136="",P136=""),"",P136-C136)</f>
        <v/>
      </c>
      <c r="X136">
        <f>IF(B136="","",IF(P136="","Aberto","Fechado"))</f>
        <v/>
      </c>
    </row>
    <row r="137">
      <c r="C137" s="6" t="n"/>
      <c r="E137" s="10" t="n"/>
      <c r="F137" s="11" t="n"/>
      <c r="G137" s="11" t="n"/>
      <c r="H137" s="11" t="n"/>
      <c r="J137" s="10" t="n"/>
      <c r="K137" s="11" t="n"/>
      <c r="L137" s="10" t="n"/>
      <c r="M137" s="11" t="n"/>
      <c r="N137" s="10" t="n"/>
      <c r="O137" s="11" t="n"/>
      <c r="P137" s="6" t="n"/>
      <c r="Q137" s="11" t="n"/>
      <c r="S137" s="8">
        <f>IF(B137="","",E137*F137)</f>
        <v/>
      </c>
      <c r="T137" s="8">
        <f>IF(OR(B137="",N(G137)=0),"",ABS(F137-G137)*E137)</f>
        <v/>
      </c>
      <c r="U137" s="8">
        <f>IF(OR(B137="",P137=""),"",IF(D137="Venda",-1,1)*((N(J137)*N(K137)+N(L137)*N(M137)+N(N137)*N(O137))-(N(J137)+N(L137)+N(N137))*F137)-N(Q137))</f>
        <v/>
      </c>
      <c r="V137" s="9">
        <f>IF(OR(B137="",P137=""),"",U137/S137)</f>
        <v/>
      </c>
      <c r="W137">
        <f>IF(OR(B137="",P137=""),"",P137-C137)</f>
        <v/>
      </c>
      <c r="X137">
        <f>IF(B137="","",IF(P137="","Aberto","Fechado"))</f>
        <v/>
      </c>
    </row>
    <row r="138">
      <c r="C138" s="6" t="n"/>
      <c r="E138" s="10" t="n"/>
      <c r="F138" s="11" t="n"/>
      <c r="G138" s="11" t="n"/>
      <c r="H138" s="11" t="n"/>
      <c r="J138" s="10" t="n"/>
      <c r="K138" s="11" t="n"/>
      <c r="L138" s="10" t="n"/>
      <c r="M138" s="11" t="n"/>
      <c r="N138" s="10" t="n"/>
      <c r="O138" s="11" t="n"/>
      <c r="P138" s="6" t="n"/>
      <c r="Q138" s="11" t="n"/>
      <c r="S138" s="8">
        <f>IF(B138="","",E138*F138)</f>
        <v/>
      </c>
      <c r="T138" s="8">
        <f>IF(OR(B138="",N(G138)=0),"",ABS(F138-G138)*E138)</f>
        <v/>
      </c>
      <c r="U138" s="8">
        <f>IF(OR(B138="",P138=""),"",IF(D138="Venda",-1,1)*((N(J138)*N(K138)+N(L138)*N(M138)+N(N138)*N(O138))-(N(J138)+N(L138)+N(N138))*F138)-N(Q138))</f>
        <v/>
      </c>
      <c r="V138" s="9">
        <f>IF(OR(B138="",P138=""),"",U138/S138)</f>
        <v/>
      </c>
      <c r="W138">
        <f>IF(OR(B138="",P138=""),"",P138-C138)</f>
        <v/>
      </c>
      <c r="X138">
        <f>IF(B138="","",IF(P138="","Aberto","Fechado"))</f>
        <v/>
      </c>
    </row>
    <row r="139">
      <c r="C139" s="6" t="n"/>
      <c r="E139" s="10" t="n"/>
      <c r="F139" s="11" t="n"/>
      <c r="G139" s="11" t="n"/>
      <c r="H139" s="11" t="n"/>
      <c r="J139" s="10" t="n"/>
      <c r="K139" s="11" t="n"/>
      <c r="L139" s="10" t="n"/>
      <c r="M139" s="11" t="n"/>
      <c r="N139" s="10" t="n"/>
      <c r="O139" s="11" t="n"/>
      <c r="P139" s="6" t="n"/>
      <c r="Q139" s="11" t="n"/>
      <c r="S139" s="8">
        <f>IF(B139="","",E139*F139)</f>
        <v/>
      </c>
      <c r="T139" s="8">
        <f>IF(OR(B139="",N(G139)=0),"",ABS(F139-G139)*E139)</f>
        <v/>
      </c>
      <c r="U139" s="8">
        <f>IF(OR(B139="",P139=""),"",IF(D139="Venda",-1,1)*((N(J139)*N(K139)+N(L139)*N(M139)+N(N139)*N(O139))-(N(J139)+N(L139)+N(N139))*F139)-N(Q139))</f>
        <v/>
      </c>
      <c r="V139" s="9">
        <f>IF(OR(B139="",P139=""),"",U139/S139)</f>
        <v/>
      </c>
      <c r="W139">
        <f>IF(OR(B139="",P139=""),"",P139-C139)</f>
        <v/>
      </c>
      <c r="X139">
        <f>IF(B139="","",IF(P139="","Aberto","Fechado"))</f>
        <v/>
      </c>
    </row>
    <row r="140">
      <c r="C140" s="6" t="n"/>
      <c r="E140" s="10" t="n"/>
      <c r="F140" s="11" t="n"/>
      <c r="G140" s="11" t="n"/>
      <c r="H140" s="11" t="n"/>
      <c r="J140" s="10" t="n"/>
      <c r="K140" s="11" t="n"/>
      <c r="L140" s="10" t="n"/>
      <c r="M140" s="11" t="n"/>
      <c r="N140" s="10" t="n"/>
      <c r="O140" s="11" t="n"/>
      <c r="P140" s="6" t="n"/>
      <c r="Q140" s="11" t="n"/>
      <c r="S140" s="8">
        <f>IF(B140="","",E140*F140)</f>
        <v/>
      </c>
      <c r="T140" s="8">
        <f>IF(OR(B140="",N(G140)=0),"",ABS(F140-G140)*E140)</f>
        <v/>
      </c>
      <c r="U140" s="8">
        <f>IF(OR(B140="",P140=""),"",IF(D140="Venda",-1,1)*((N(J140)*N(K140)+N(L140)*N(M140)+N(N140)*N(O140))-(N(J140)+N(L140)+N(N140))*F140)-N(Q140))</f>
        <v/>
      </c>
      <c r="V140" s="9">
        <f>IF(OR(B140="",P140=""),"",U140/S140)</f>
        <v/>
      </c>
      <c r="W140">
        <f>IF(OR(B140="",P140=""),"",P140-C140)</f>
        <v/>
      </c>
      <c r="X140">
        <f>IF(B140="","",IF(P140="","Aberto","Fechado"))</f>
        <v/>
      </c>
    </row>
    <row r="141">
      <c r="C141" s="6" t="n"/>
      <c r="E141" s="10" t="n"/>
      <c r="F141" s="11" t="n"/>
      <c r="G141" s="11" t="n"/>
      <c r="H141" s="11" t="n"/>
      <c r="J141" s="10" t="n"/>
      <c r="K141" s="11" t="n"/>
      <c r="L141" s="10" t="n"/>
      <c r="M141" s="11" t="n"/>
      <c r="N141" s="10" t="n"/>
      <c r="O141" s="11" t="n"/>
      <c r="P141" s="6" t="n"/>
      <c r="Q141" s="11" t="n"/>
      <c r="S141" s="8">
        <f>IF(B141="","",E141*F141)</f>
        <v/>
      </c>
      <c r="T141" s="8">
        <f>IF(OR(B141="",N(G141)=0),"",ABS(F141-G141)*E141)</f>
        <v/>
      </c>
      <c r="U141" s="8">
        <f>IF(OR(B141="",P141=""),"",IF(D141="Venda",-1,1)*((N(J141)*N(K141)+N(L141)*N(M141)+N(N141)*N(O141))-(N(J141)+N(L141)+N(N141))*F141)-N(Q141))</f>
        <v/>
      </c>
      <c r="V141" s="9">
        <f>IF(OR(B141="",P141=""),"",U141/S141)</f>
        <v/>
      </c>
      <c r="W141">
        <f>IF(OR(B141="",P141=""),"",P141-C141)</f>
        <v/>
      </c>
      <c r="X141">
        <f>IF(B141="","",IF(P141="","Aberto","Fechado"))</f>
        <v/>
      </c>
    </row>
    <row r="142">
      <c r="C142" s="6" t="n"/>
      <c r="E142" s="10" t="n"/>
      <c r="F142" s="11" t="n"/>
      <c r="G142" s="11" t="n"/>
      <c r="H142" s="11" t="n"/>
      <c r="J142" s="10" t="n"/>
      <c r="K142" s="11" t="n"/>
      <c r="L142" s="10" t="n"/>
      <c r="M142" s="11" t="n"/>
      <c r="N142" s="10" t="n"/>
      <c r="O142" s="11" t="n"/>
      <c r="P142" s="6" t="n"/>
      <c r="Q142" s="11" t="n"/>
      <c r="S142" s="8">
        <f>IF(B142="","",E142*F142)</f>
        <v/>
      </c>
      <c r="T142" s="8">
        <f>IF(OR(B142="",N(G142)=0),"",ABS(F142-G142)*E142)</f>
        <v/>
      </c>
      <c r="U142" s="8">
        <f>IF(OR(B142="",P142=""),"",IF(D142="Venda",-1,1)*((N(J142)*N(K142)+N(L142)*N(M142)+N(N142)*N(O142))-(N(J142)+N(L142)+N(N142))*F142)-N(Q142))</f>
        <v/>
      </c>
      <c r="V142" s="9">
        <f>IF(OR(B142="",P142=""),"",U142/S142)</f>
        <v/>
      </c>
      <c r="W142">
        <f>IF(OR(B142="",P142=""),"",P142-C142)</f>
        <v/>
      </c>
      <c r="X142">
        <f>IF(B142="","",IF(P142="","Aberto","Fechado"))</f>
        <v/>
      </c>
    </row>
    <row r="143">
      <c r="C143" s="6" t="n"/>
      <c r="E143" s="10" t="n"/>
      <c r="F143" s="11" t="n"/>
      <c r="G143" s="11" t="n"/>
      <c r="H143" s="11" t="n"/>
      <c r="J143" s="10" t="n"/>
      <c r="K143" s="11" t="n"/>
      <c r="L143" s="10" t="n"/>
      <c r="M143" s="11" t="n"/>
      <c r="N143" s="10" t="n"/>
      <c r="O143" s="11" t="n"/>
      <c r="P143" s="6" t="n"/>
      <c r="Q143" s="11" t="n"/>
      <c r="S143" s="8">
        <f>IF(B143="","",E143*F143)</f>
        <v/>
      </c>
      <c r="T143" s="8">
        <f>IF(OR(B143="",N(G143)=0),"",ABS(F143-G143)*E143)</f>
        <v/>
      </c>
      <c r="U143" s="8">
        <f>IF(OR(B143="",P143=""),"",IF(D143="Venda",-1,1)*((N(J143)*N(K143)+N(L143)*N(M143)+N(N143)*N(O143))-(N(J143)+N(L143)+N(N143))*F143)-N(Q143))</f>
        <v/>
      </c>
      <c r="V143" s="9">
        <f>IF(OR(B143="",P143=""),"",U143/S143)</f>
        <v/>
      </c>
      <c r="W143">
        <f>IF(OR(B143="",P143=""),"",P143-C143)</f>
        <v/>
      </c>
      <c r="X143">
        <f>IF(B143="","",IF(P143="","Aberto","Fechado"))</f>
        <v/>
      </c>
    </row>
    <row r="144">
      <c r="C144" s="6" t="n"/>
      <c r="E144" s="10" t="n"/>
      <c r="F144" s="11" t="n"/>
      <c r="G144" s="11" t="n"/>
      <c r="H144" s="11" t="n"/>
      <c r="J144" s="10" t="n"/>
      <c r="K144" s="11" t="n"/>
      <c r="L144" s="10" t="n"/>
      <c r="M144" s="11" t="n"/>
      <c r="N144" s="10" t="n"/>
      <c r="O144" s="11" t="n"/>
      <c r="P144" s="6" t="n"/>
      <c r="Q144" s="11" t="n"/>
      <c r="S144" s="8">
        <f>IF(B144="","",E144*F144)</f>
        <v/>
      </c>
      <c r="T144" s="8">
        <f>IF(OR(B144="",N(G144)=0),"",ABS(F144-G144)*E144)</f>
        <v/>
      </c>
      <c r="U144" s="8">
        <f>IF(OR(B144="",P144=""),"",IF(D144="Venda",-1,1)*((N(J144)*N(K144)+N(L144)*N(M144)+N(N144)*N(O144))-(N(J144)+N(L144)+N(N144))*F144)-N(Q144))</f>
        <v/>
      </c>
      <c r="V144" s="9">
        <f>IF(OR(B144="",P144=""),"",U144/S144)</f>
        <v/>
      </c>
      <c r="W144">
        <f>IF(OR(B144="",P144=""),"",P144-C144)</f>
        <v/>
      </c>
      <c r="X144">
        <f>IF(B144="","",IF(P144="","Aberto","Fechado"))</f>
        <v/>
      </c>
    </row>
    <row r="145">
      <c r="C145" s="6" t="n"/>
      <c r="E145" s="10" t="n"/>
      <c r="F145" s="11" t="n"/>
      <c r="G145" s="11" t="n"/>
      <c r="H145" s="11" t="n"/>
      <c r="J145" s="10" t="n"/>
      <c r="K145" s="11" t="n"/>
      <c r="L145" s="10" t="n"/>
      <c r="M145" s="11" t="n"/>
      <c r="N145" s="10" t="n"/>
      <c r="O145" s="11" t="n"/>
      <c r="P145" s="6" t="n"/>
      <c r="Q145" s="11" t="n"/>
      <c r="S145" s="8">
        <f>IF(B145="","",E145*F145)</f>
        <v/>
      </c>
      <c r="T145" s="8">
        <f>IF(OR(B145="",N(G145)=0),"",ABS(F145-G145)*E145)</f>
        <v/>
      </c>
      <c r="U145" s="8">
        <f>IF(OR(B145="",P145=""),"",IF(D145="Venda",-1,1)*((N(J145)*N(K145)+N(L145)*N(M145)+N(N145)*N(O145))-(N(J145)+N(L145)+N(N145))*F145)-N(Q145))</f>
        <v/>
      </c>
      <c r="V145" s="9">
        <f>IF(OR(B145="",P145=""),"",U145/S145)</f>
        <v/>
      </c>
      <c r="W145">
        <f>IF(OR(B145="",P145=""),"",P145-C145)</f>
        <v/>
      </c>
      <c r="X145">
        <f>IF(B145="","",IF(P145="","Aberto","Fechado"))</f>
        <v/>
      </c>
    </row>
    <row r="146">
      <c r="C146" s="6" t="n"/>
      <c r="E146" s="10" t="n"/>
      <c r="F146" s="11" t="n"/>
      <c r="G146" s="11" t="n"/>
      <c r="H146" s="11" t="n"/>
      <c r="J146" s="10" t="n"/>
      <c r="K146" s="11" t="n"/>
      <c r="L146" s="10" t="n"/>
      <c r="M146" s="11" t="n"/>
      <c r="N146" s="10" t="n"/>
      <c r="O146" s="11" t="n"/>
      <c r="P146" s="6" t="n"/>
      <c r="Q146" s="11" t="n"/>
      <c r="S146" s="8">
        <f>IF(B146="","",E146*F146)</f>
        <v/>
      </c>
      <c r="T146" s="8">
        <f>IF(OR(B146="",N(G146)=0),"",ABS(F146-G146)*E146)</f>
        <v/>
      </c>
      <c r="U146" s="8">
        <f>IF(OR(B146="",P146=""),"",IF(D146="Venda",-1,1)*((N(J146)*N(K146)+N(L146)*N(M146)+N(N146)*N(O146))-(N(J146)+N(L146)+N(N146))*F146)-N(Q146))</f>
        <v/>
      </c>
      <c r="V146" s="9">
        <f>IF(OR(B146="",P146=""),"",U146/S146)</f>
        <v/>
      </c>
      <c r="W146">
        <f>IF(OR(B146="",P146=""),"",P146-C146)</f>
        <v/>
      </c>
      <c r="X146">
        <f>IF(B146="","",IF(P146="","Aberto","Fechado"))</f>
        <v/>
      </c>
    </row>
    <row r="147">
      <c r="C147" s="6" t="n"/>
      <c r="E147" s="10" t="n"/>
      <c r="F147" s="11" t="n"/>
      <c r="G147" s="11" t="n"/>
      <c r="H147" s="11" t="n"/>
      <c r="J147" s="10" t="n"/>
      <c r="K147" s="11" t="n"/>
      <c r="L147" s="10" t="n"/>
      <c r="M147" s="11" t="n"/>
      <c r="N147" s="10" t="n"/>
      <c r="O147" s="11" t="n"/>
      <c r="P147" s="6" t="n"/>
      <c r="Q147" s="11" t="n"/>
      <c r="S147" s="8">
        <f>IF(B147="","",E147*F147)</f>
        <v/>
      </c>
      <c r="T147" s="8">
        <f>IF(OR(B147="",N(G147)=0),"",ABS(F147-G147)*E147)</f>
        <v/>
      </c>
      <c r="U147" s="8">
        <f>IF(OR(B147="",P147=""),"",IF(D147="Venda",-1,1)*((N(J147)*N(K147)+N(L147)*N(M147)+N(N147)*N(O147))-(N(J147)+N(L147)+N(N147))*F147)-N(Q147))</f>
        <v/>
      </c>
      <c r="V147" s="9">
        <f>IF(OR(B147="",P147=""),"",U147/S147)</f>
        <v/>
      </c>
      <c r="W147">
        <f>IF(OR(B147="",P147=""),"",P147-C147)</f>
        <v/>
      </c>
      <c r="X147">
        <f>IF(B147="","",IF(P147="","Aberto","Fechado"))</f>
        <v/>
      </c>
    </row>
    <row r="148">
      <c r="C148" s="6" t="n"/>
      <c r="E148" s="10" t="n"/>
      <c r="F148" s="11" t="n"/>
      <c r="G148" s="11" t="n"/>
      <c r="H148" s="11" t="n"/>
      <c r="J148" s="10" t="n"/>
      <c r="K148" s="11" t="n"/>
      <c r="L148" s="10" t="n"/>
      <c r="M148" s="11" t="n"/>
      <c r="N148" s="10" t="n"/>
      <c r="O148" s="11" t="n"/>
      <c r="P148" s="6" t="n"/>
      <c r="Q148" s="11" t="n"/>
      <c r="S148" s="8">
        <f>IF(B148="","",E148*F148)</f>
        <v/>
      </c>
      <c r="T148" s="8">
        <f>IF(OR(B148="",N(G148)=0),"",ABS(F148-G148)*E148)</f>
        <v/>
      </c>
      <c r="U148" s="8">
        <f>IF(OR(B148="",P148=""),"",IF(D148="Venda",-1,1)*((N(J148)*N(K148)+N(L148)*N(M148)+N(N148)*N(O148))-(N(J148)+N(L148)+N(N148))*F148)-N(Q148))</f>
        <v/>
      </c>
      <c r="V148" s="9">
        <f>IF(OR(B148="",P148=""),"",U148/S148)</f>
        <v/>
      </c>
      <c r="W148">
        <f>IF(OR(B148="",P148=""),"",P148-C148)</f>
        <v/>
      </c>
      <c r="X148">
        <f>IF(B148="","",IF(P148="","Aberto","Fechado"))</f>
        <v/>
      </c>
    </row>
    <row r="149">
      <c r="C149" s="6" t="n"/>
      <c r="E149" s="10" t="n"/>
      <c r="F149" s="11" t="n"/>
      <c r="G149" s="11" t="n"/>
      <c r="H149" s="11" t="n"/>
      <c r="J149" s="10" t="n"/>
      <c r="K149" s="11" t="n"/>
      <c r="L149" s="10" t="n"/>
      <c r="M149" s="11" t="n"/>
      <c r="N149" s="10" t="n"/>
      <c r="O149" s="11" t="n"/>
      <c r="P149" s="6" t="n"/>
      <c r="Q149" s="11" t="n"/>
      <c r="S149" s="8">
        <f>IF(B149="","",E149*F149)</f>
        <v/>
      </c>
      <c r="T149" s="8">
        <f>IF(OR(B149="",N(G149)=0),"",ABS(F149-G149)*E149)</f>
        <v/>
      </c>
      <c r="U149" s="8">
        <f>IF(OR(B149="",P149=""),"",IF(D149="Venda",-1,1)*((N(J149)*N(K149)+N(L149)*N(M149)+N(N149)*N(O149))-(N(J149)+N(L149)+N(N149))*F149)-N(Q149))</f>
        <v/>
      </c>
      <c r="V149" s="9">
        <f>IF(OR(B149="",P149=""),"",U149/S149)</f>
        <v/>
      </c>
      <c r="W149">
        <f>IF(OR(B149="",P149=""),"",P149-C149)</f>
        <v/>
      </c>
      <c r="X149">
        <f>IF(B149="","",IF(P149="","Aberto","Fechado"))</f>
        <v/>
      </c>
    </row>
    <row r="150">
      <c r="C150" s="6" t="n"/>
      <c r="E150" s="10" t="n"/>
      <c r="F150" s="11" t="n"/>
      <c r="G150" s="11" t="n"/>
      <c r="H150" s="11" t="n"/>
      <c r="J150" s="10" t="n"/>
      <c r="K150" s="11" t="n"/>
      <c r="L150" s="10" t="n"/>
      <c r="M150" s="11" t="n"/>
      <c r="N150" s="10" t="n"/>
      <c r="O150" s="11" t="n"/>
      <c r="P150" s="6" t="n"/>
      <c r="Q150" s="11" t="n"/>
      <c r="S150" s="8">
        <f>IF(B150="","",E150*F150)</f>
        <v/>
      </c>
      <c r="T150" s="8">
        <f>IF(OR(B150="",N(G150)=0),"",ABS(F150-G150)*E150)</f>
        <v/>
      </c>
      <c r="U150" s="8">
        <f>IF(OR(B150="",P150=""),"",IF(D150="Venda",-1,1)*((N(J150)*N(K150)+N(L150)*N(M150)+N(N150)*N(O150))-(N(J150)+N(L150)+N(N150))*F150)-N(Q150))</f>
        <v/>
      </c>
      <c r="V150" s="9">
        <f>IF(OR(B150="",P150=""),"",U150/S150)</f>
        <v/>
      </c>
      <c r="W150">
        <f>IF(OR(B150="",P150=""),"",P150-C150)</f>
        <v/>
      </c>
      <c r="X150">
        <f>IF(B150="","",IF(P150="","Aberto","Fechado"))</f>
        <v/>
      </c>
    </row>
    <row r="151">
      <c r="C151" s="6" t="n"/>
      <c r="E151" s="10" t="n"/>
      <c r="F151" s="11" t="n"/>
      <c r="G151" s="11" t="n"/>
      <c r="H151" s="11" t="n"/>
      <c r="J151" s="10" t="n"/>
      <c r="K151" s="11" t="n"/>
      <c r="L151" s="10" t="n"/>
      <c r="M151" s="11" t="n"/>
      <c r="N151" s="10" t="n"/>
      <c r="O151" s="11" t="n"/>
      <c r="P151" s="6" t="n"/>
      <c r="Q151" s="11" t="n"/>
      <c r="S151" s="8">
        <f>IF(B151="","",E151*F151)</f>
        <v/>
      </c>
      <c r="T151" s="8">
        <f>IF(OR(B151="",N(G151)=0),"",ABS(F151-G151)*E151)</f>
        <v/>
      </c>
      <c r="U151" s="8">
        <f>IF(OR(B151="",P151=""),"",IF(D151="Venda",-1,1)*((N(J151)*N(K151)+N(L151)*N(M151)+N(N151)*N(O151))-(N(J151)+N(L151)+N(N151))*F151)-N(Q151))</f>
        <v/>
      </c>
      <c r="V151" s="9">
        <f>IF(OR(B151="",P151=""),"",U151/S151)</f>
        <v/>
      </c>
      <c r="W151">
        <f>IF(OR(B151="",P151=""),"",P151-C151)</f>
        <v/>
      </c>
      <c r="X151">
        <f>IF(B151="","",IF(P151="","Aberto","Fechado"))</f>
        <v/>
      </c>
    </row>
    <row r="152">
      <c r="C152" s="6" t="n"/>
      <c r="E152" s="10" t="n"/>
      <c r="F152" s="11" t="n"/>
      <c r="G152" s="11" t="n"/>
      <c r="H152" s="11" t="n"/>
      <c r="J152" s="10" t="n"/>
      <c r="K152" s="11" t="n"/>
      <c r="L152" s="10" t="n"/>
      <c r="M152" s="11" t="n"/>
      <c r="N152" s="10" t="n"/>
      <c r="O152" s="11" t="n"/>
      <c r="P152" s="6" t="n"/>
      <c r="Q152" s="11" t="n"/>
      <c r="S152" s="8">
        <f>IF(B152="","",E152*F152)</f>
        <v/>
      </c>
      <c r="T152" s="8">
        <f>IF(OR(B152="",N(G152)=0),"",ABS(F152-G152)*E152)</f>
        <v/>
      </c>
      <c r="U152" s="8">
        <f>IF(OR(B152="",P152=""),"",IF(D152="Venda",-1,1)*((N(J152)*N(K152)+N(L152)*N(M152)+N(N152)*N(O152))-(N(J152)+N(L152)+N(N152))*F152)-N(Q152))</f>
        <v/>
      </c>
      <c r="V152" s="9">
        <f>IF(OR(B152="",P152=""),"",U152/S152)</f>
        <v/>
      </c>
      <c r="W152">
        <f>IF(OR(B152="",P152=""),"",P152-C152)</f>
        <v/>
      </c>
      <c r="X152">
        <f>IF(B152="","",IF(P152="","Aberto","Fechado"))</f>
        <v/>
      </c>
    </row>
    <row r="153">
      <c r="C153" s="6" t="n"/>
      <c r="E153" s="10" t="n"/>
      <c r="F153" s="11" t="n"/>
      <c r="G153" s="11" t="n"/>
      <c r="H153" s="11" t="n"/>
      <c r="J153" s="10" t="n"/>
      <c r="K153" s="11" t="n"/>
      <c r="L153" s="10" t="n"/>
      <c r="M153" s="11" t="n"/>
      <c r="N153" s="10" t="n"/>
      <c r="O153" s="11" t="n"/>
      <c r="P153" s="6" t="n"/>
      <c r="Q153" s="11" t="n"/>
      <c r="S153" s="8">
        <f>IF(B153="","",E153*F153)</f>
        <v/>
      </c>
      <c r="T153" s="8">
        <f>IF(OR(B153="",N(G153)=0),"",ABS(F153-G153)*E153)</f>
        <v/>
      </c>
      <c r="U153" s="8">
        <f>IF(OR(B153="",P153=""),"",IF(D153="Venda",-1,1)*((N(J153)*N(K153)+N(L153)*N(M153)+N(N153)*N(O153))-(N(J153)+N(L153)+N(N153))*F153)-N(Q153))</f>
        <v/>
      </c>
      <c r="V153" s="9">
        <f>IF(OR(B153="",P153=""),"",U153/S153)</f>
        <v/>
      </c>
      <c r="W153">
        <f>IF(OR(B153="",P153=""),"",P153-C153)</f>
        <v/>
      </c>
      <c r="X153">
        <f>IF(B153="","",IF(P153="","Aberto","Fechado"))</f>
        <v/>
      </c>
    </row>
    <row r="154">
      <c r="C154" s="6" t="n"/>
      <c r="E154" s="10" t="n"/>
      <c r="F154" s="11" t="n"/>
      <c r="G154" s="11" t="n"/>
      <c r="H154" s="11" t="n"/>
      <c r="J154" s="10" t="n"/>
      <c r="K154" s="11" t="n"/>
      <c r="L154" s="10" t="n"/>
      <c r="M154" s="11" t="n"/>
      <c r="N154" s="10" t="n"/>
      <c r="O154" s="11" t="n"/>
      <c r="P154" s="6" t="n"/>
      <c r="Q154" s="11" t="n"/>
      <c r="S154" s="8">
        <f>IF(B154="","",E154*F154)</f>
        <v/>
      </c>
      <c r="T154" s="8">
        <f>IF(OR(B154="",N(G154)=0),"",ABS(F154-G154)*E154)</f>
        <v/>
      </c>
      <c r="U154" s="8">
        <f>IF(OR(B154="",P154=""),"",IF(D154="Venda",-1,1)*((N(J154)*N(K154)+N(L154)*N(M154)+N(N154)*N(O154))-(N(J154)+N(L154)+N(N154))*F154)-N(Q154))</f>
        <v/>
      </c>
      <c r="V154" s="9">
        <f>IF(OR(B154="",P154=""),"",U154/S154)</f>
        <v/>
      </c>
      <c r="W154">
        <f>IF(OR(B154="",P154=""),"",P154-C154)</f>
        <v/>
      </c>
      <c r="X154">
        <f>IF(B154="","",IF(P154="","Aberto","Fechado"))</f>
        <v/>
      </c>
    </row>
    <row r="155">
      <c r="C155" s="6" t="n"/>
      <c r="E155" s="10" t="n"/>
      <c r="F155" s="11" t="n"/>
      <c r="G155" s="11" t="n"/>
      <c r="H155" s="11" t="n"/>
      <c r="J155" s="10" t="n"/>
      <c r="K155" s="11" t="n"/>
      <c r="L155" s="10" t="n"/>
      <c r="M155" s="11" t="n"/>
      <c r="N155" s="10" t="n"/>
      <c r="O155" s="11" t="n"/>
      <c r="P155" s="6" t="n"/>
      <c r="Q155" s="11" t="n"/>
      <c r="S155" s="8">
        <f>IF(B155="","",E155*F155)</f>
        <v/>
      </c>
      <c r="T155" s="8">
        <f>IF(OR(B155="",N(G155)=0),"",ABS(F155-G155)*E155)</f>
        <v/>
      </c>
      <c r="U155" s="8">
        <f>IF(OR(B155="",P155=""),"",IF(D155="Venda",-1,1)*((N(J155)*N(K155)+N(L155)*N(M155)+N(N155)*N(O155))-(N(J155)+N(L155)+N(N155))*F155)-N(Q155))</f>
        <v/>
      </c>
      <c r="V155" s="9">
        <f>IF(OR(B155="",P155=""),"",U155/S155)</f>
        <v/>
      </c>
      <c r="W155">
        <f>IF(OR(B155="",P155=""),"",P155-C155)</f>
        <v/>
      </c>
      <c r="X155">
        <f>IF(B155="","",IF(P155="","Aberto","Fechado"))</f>
        <v/>
      </c>
    </row>
    <row r="156">
      <c r="C156" s="6" t="n"/>
      <c r="E156" s="10" t="n"/>
      <c r="F156" s="11" t="n"/>
      <c r="G156" s="11" t="n"/>
      <c r="H156" s="11" t="n"/>
      <c r="J156" s="10" t="n"/>
      <c r="K156" s="11" t="n"/>
      <c r="L156" s="10" t="n"/>
      <c r="M156" s="11" t="n"/>
      <c r="N156" s="10" t="n"/>
      <c r="O156" s="11" t="n"/>
      <c r="P156" s="6" t="n"/>
      <c r="Q156" s="11" t="n"/>
      <c r="S156" s="8">
        <f>IF(B156="","",E156*F156)</f>
        <v/>
      </c>
      <c r="T156" s="8">
        <f>IF(OR(B156="",N(G156)=0),"",ABS(F156-G156)*E156)</f>
        <v/>
      </c>
      <c r="U156" s="8">
        <f>IF(OR(B156="",P156=""),"",IF(D156="Venda",-1,1)*((N(J156)*N(K156)+N(L156)*N(M156)+N(N156)*N(O156))-(N(J156)+N(L156)+N(N156))*F156)-N(Q156))</f>
        <v/>
      </c>
      <c r="V156" s="9">
        <f>IF(OR(B156="",P156=""),"",U156/S156)</f>
        <v/>
      </c>
      <c r="W156">
        <f>IF(OR(B156="",P156=""),"",P156-C156)</f>
        <v/>
      </c>
      <c r="X156">
        <f>IF(B156="","",IF(P156="","Aberto","Fechado"))</f>
        <v/>
      </c>
    </row>
    <row r="157">
      <c r="C157" s="6" t="n"/>
      <c r="E157" s="10" t="n"/>
      <c r="F157" s="11" t="n"/>
      <c r="G157" s="11" t="n"/>
      <c r="H157" s="11" t="n"/>
      <c r="J157" s="10" t="n"/>
      <c r="K157" s="11" t="n"/>
      <c r="L157" s="10" t="n"/>
      <c r="M157" s="11" t="n"/>
      <c r="N157" s="10" t="n"/>
      <c r="O157" s="11" t="n"/>
      <c r="P157" s="6" t="n"/>
      <c r="Q157" s="11" t="n"/>
      <c r="S157" s="8">
        <f>IF(B157="","",E157*F157)</f>
        <v/>
      </c>
      <c r="T157" s="8">
        <f>IF(OR(B157="",N(G157)=0),"",ABS(F157-G157)*E157)</f>
        <v/>
      </c>
      <c r="U157" s="8">
        <f>IF(OR(B157="",P157=""),"",IF(D157="Venda",-1,1)*((N(J157)*N(K157)+N(L157)*N(M157)+N(N157)*N(O157))-(N(J157)+N(L157)+N(N157))*F157)-N(Q157))</f>
        <v/>
      </c>
      <c r="V157" s="9">
        <f>IF(OR(B157="",P157=""),"",U157/S157)</f>
        <v/>
      </c>
      <c r="W157">
        <f>IF(OR(B157="",P157=""),"",P157-C157)</f>
        <v/>
      </c>
      <c r="X157">
        <f>IF(B157="","",IF(P157="","Aberto","Fechado"))</f>
        <v/>
      </c>
    </row>
    <row r="158">
      <c r="C158" s="6" t="n"/>
      <c r="E158" s="10" t="n"/>
      <c r="F158" s="11" t="n"/>
      <c r="G158" s="11" t="n"/>
      <c r="H158" s="11" t="n"/>
      <c r="J158" s="10" t="n"/>
      <c r="K158" s="11" t="n"/>
      <c r="L158" s="10" t="n"/>
      <c r="M158" s="11" t="n"/>
      <c r="N158" s="10" t="n"/>
      <c r="O158" s="11" t="n"/>
      <c r="P158" s="6" t="n"/>
      <c r="Q158" s="11" t="n"/>
      <c r="S158" s="8">
        <f>IF(B158="","",E158*F158)</f>
        <v/>
      </c>
      <c r="T158" s="8">
        <f>IF(OR(B158="",N(G158)=0),"",ABS(F158-G158)*E158)</f>
        <v/>
      </c>
      <c r="U158" s="8">
        <f>IF(OR(B158="",P158=""),"",IF(D158="Venda",-1,1)*((N(J158)*N(K158)+N(L158)*N(M158)+N(N158)*N(O158))-(N(J158)+N(L158)+N(N158))*F158)-N(Q158))</f>
        <v/>
      </c>
      <c r="V158" s="9">
        <f>IF(OR(B158="",P158=""),"",U158/S158)</f>
        <v/>
      </c>
      <c r="W158">
        <f>IF(OR(B158="",P158=""),"",P158-C158)</f>
        <v/>
      </c>
      <c r="X158">
        <f>IF(B158="","",IF(P158="","Aberto","Fechado"))</f>
        <v/>
      </c>
    </row>
    <row r="159">
      <c r="C159" s="6" t="n"/>
      <c r="E159" s="10" t="n"/>
      <c r="F159" s="11" t="n"/>
      <c r="G159" s="11" t="n"/>
      <c r="H159" s="11" t="n"/>
      <c r="J159" s="10" t="n"/>
      <c r="K159" s="11" t="n"/>
      <c r="L159" s="10" t="n"/>
      <c r="M159" s="11" t="n"/>
      <c r="N159" s="10" t="n"/>
      <c r="O159" s="11" t="n"/>
      <c r="P159" s="6" t="n"/>
      <c r="Q159" s="11" t="n"/>
      <c r="S159" s="8">
        <f>IF(B159="","",E159*F159)</f>
        <v/>
      </c>
      <c r="T159" s="8">
        <f>IF(OR(B159="",N(G159)=0),"",ABS(F159-G159)*E159)</f>
        <v/>
      </c>
      <c r="U159" s="8">
        <f>IF(OR(B159="",P159=""),"",IF(D159="Venda",-1,1)*((N(J159)*N(K159)+N(L159)*N(M159)+N(N159)*N(O159))-(N(J159)+N(L159)+N(N159))*F159)-N(Q159))</f>
        <v/>
      </c>
      <c r="V159" s="9">
        <f>IF(OR(B159="",P159=""),"",U159/S159)</f>
        <v/>
      </c>
      <c r="W159">
        <f>IF(OR(B159="",P159=""),"",P159-C159)</f>
        <v/>
      </c>
      <c r="X159">
        <f>IF(B159="","",IF(P159="","Aberto","Fechado"))</f>
        <v/>
      </c>
    </row>
    <row r="160">
      <c r="C160" s="6" t="n"/>
      <c r="E160" s="10" t="n"/>
      <c r="F160" s="11" t="n"/>
      <c r="G160" s="11" t="n"/>
      <c r="H160" s="11" t="n"/>
      <c r="J160" s="10" t="n"/>
      <c r="K160" s="11" t="n"/>
      <c r="L160" s="10" t="n"/>
      <c r="M160" s="11" t="n"/>
      <c r="N160" s="10" t="n"/>
      <c r="O160" s="11" t="n"/>
      <c r="P160" s="6" t="n"/>
      <c r="Q160" s="11" t="n"/>
      <c r="S160" s="8">
        <f>IF(B160="","",E160*F160)</f>
        <v/>
      </c>
      <c r="T160" s="8">
        <f>IF(OR(B160="",N(G160)=0),"",ABS(F160-G160)*E160)</f>
        <v/>
      </c>
      <c r="U160" s="8">
        <f>IF(OR(B160="",P160=""),"",IF(D160="Venda",-1,1)*((N(J160)*N(K160)+N(L160)*N(M160)+N(N160)*N(O160))-(N(J160)+N(L160)+N(N160))*F160)-N(Q160))</f>
        <v/>
      </c>
      <c r="V160" s="9">
        <f>IF(OR(B160="",P160=""),"",U160/S160)</f>
        <v/>
      </c>
      <c r="W160">
        <f>IF(OR(B160="",P160=""),"",P160-C160)</f>
        <v/>
      </c>
      <c r="X160">
        <f>IF(B160="","",IF(P160="","Aberto","Fechado"))</f>
        <v/>
      </c>
    </row>
    <row r="161">
      <c r="C161" s="6" t="n"/>
      <c r="E161" s="10" t="n"/>
      <c r="F161" s="11" t="n"/>
      <c r="G161" s="11" t="n"/>
      <c r="H161" s="11" t="n"/>
      <c r="J161" s="10" t="n"/>
      <c r="K161" s="11" t="n"/>
      <c r="L161" s="10" t="n"/>
      <c r="M161" s="11" t="n"/>
      <c r="N161" s="10" t="n"/>
      <c r="O161" s="11" t="n"/>
      <c r="P161" s="6" t="n"/>
      <c r="Q161" s="11" t="n"/>
      <c r="S161" s="8">
        <f>IF(B161="","",E161*F161)</f>
        <v/>
      </c>
      <c r="T161" s="8">
        <f>IF(OR(B161="",N(G161)=0),"",ABS(F161-G161)*E161)</f>
        <v/>
      </c>
      <c r="U161" s="8">
        <f>IF(OR(B161="",P161=""),"",IF(D161="Venda",-1,1)*((N(J161)*N(K161)+N(L161)*N(M161)+N(N161)*N(O161))-(N(J161)+N(L161)+N(N161))*F161)-N(Q161))</f>
        <v/>
      </c>
      <c r="V161" s="9">
        <f>IF(OR(B161="",P161=""),"",U161/S161)</f>
        <v/>
      </c>
      <c r="W161">
        <f>IF(OR(B161="",P161=""),"",P161-C161)</f>
        <v/>
      </c>
      <c r="X161">
        <f>IF(B161="","",IF(P161="","Aberto","Fechado"))</f>
        <v/>
      </c>
    </row>
    <row r="162">
      <c r="C162" s="6" t="n"/>
      <c r="E162" s="10" t="n"/>
      <c r="F162" s="11" t="n"/>
      <c r="G162" s="11" t="n"/>
      <c r="H162" s="11" t="n"/>
      <c r="J162" s="10" t="n"/>
      <c r="K162" s="11" t="n"/>
      <c r="L162" s="10" t="n"/>
      <c r="M162" s="11" t="n"/>
      <c r="N162" s="10" t="n"/>
      <c r="O162" s="11" t="n"/>
      <c r="P162" s="6" t="n"/>
      <c r="Q162" s="11" t="n"/>
      <c r="S162" s="8">
        <f>IF(B162="","",E162*F162)</f>
        <v/>
      </c>
      <c r="T162" s="8">
        <f>IF(OR(B162="",N(G162)=0),"",ABS(F162-G162)*E162)</f>
        <v/>
      </c>
      <c r="U162" s="8">
        <f>IF(OR(B162="",P162=""),"",IF(D162="Venda",-1,1)*((N(J162)*N(K162)+N(L162)*N(M162)+N(N162)*N(O162))-(N(J162)+N(L162)+N(N162))*F162)-N(Q162))</f>
        <v/>
      </c>
      <c r="V162" s="9">
        <f>IF(OR(B162="",P162=""),"",U162/S162)</f>
        <v/>
      </c>
      <c r="W162">
        <f>IF(OR(B162="",P162=""),"",P162-C162)</f>
        <v/>
      </c>
      <c r="X162">
        <f>IF(B162="","",IF(P162="","Aberto","Fechado"))</f>
        <v/>
      </c>
    </row>
    <row r="163">
      <c r="C163" s="6" t="n"/>
      <c r="E163" s="10" t="n"/>
      <c r="F163" s="11" t="n"/>
      <c r="G163" s="11" t="n"/>
      <c r="H163" s="11" t="n"/>
      <c r="J163" s="10" t="n"/>
      <c r="K163" s="11" t="n"/>
      <c r="L163" s="10" t="n"/>
      <c r="M163" s="11" t="n"/>
      <c r="N163" s="10" t="n"/>
      <c r="O163" s="11" t="n"/>
      <c r="P163" s="6" t="n"/>
      <c r="Q163" s="11" t="n"/>
      <c r="S163" s="8">
        <f>IF(B163="","",E163*F163)</f>
        <v/>
      </c>
      <c r="T163" s="8">
        <f>IF(OR(B163="",N(G163)=0),"",ABS(F163-G163)*E163)</f>
        <v/>
      </c>
      <c r="U163" s="8">
        <f>IF(OR(B163="",P163=""),"",IF(D163="Venda",-1,1)*((N(J163)*N(K163)+N(L163)*N(M163)+N(N163)*N(O163))-(N(J163)+N(L163)+N(N163))*F163)-N(Q163))</f>
        <v/>
      </c>
      <c r="V163" s="9">
        <f>IF(OR(B163="",P163=""),"",U163/S163)</f>
        <v/>
      </c>
      <c r="W163">
        <f>IF(OR(B163="",P163=""),"",P163-C163)</f>
        <v/>
      </c>
      <c r="X163">
        <f>IF(B163="","",IF(P163="","Aberto","Fechado"))</f>
        <v/>
      </c>
    </row>
    <row r="164">
      <c r="C164" s="6" t="n"/>
      <c r="E164" s="10" t="n"/>
      <c r="F164" s="11" t="n"/>
      <c r="G164" s="11" t="n"/>
      <c r="H164" s="11" t="n"/>
      <c r="J164" s="10" t="n"/>
      <c r="K164" s="11" t="n"/>
      <c r="L164" s="10" t="n"/>
      <c r="M164" s="11" t="n"/>
      <c r="N164" s="10" t="n"/>
      <c r="O164" s="11" t="n"/>
      <c r="P164" s="6" t="n"/>
      <c r="Q164" s="11" t="n"/>
      <c r="S164" s="8">
        <f>IF(B164="","",E164*F164)</f>
        <v/>
      </c>
      <c r="T164" s="8">
        <f>IF(OR(B164="",N(G164)=0),"",ABS(F164-G164)*E164)</f>
        <v/>
      </c>
      <c r="U164" s="8">
        <f>IF(OR(B164="",P164=""),"",IF(D164="Venda",-1,1)*((N(J164)*N(K164)+N(L164)*N(M164)+N(N164)*N(O164))-(N(J164)+N(L164)+N(N164))*F164)-N(Q164))</f>
        <v/>
      </c>
      <c r="V164" s="9">
        <f>IF(OR(B164="",P164=""),"",U164/S164)</f>
        <v/>
      </c>
      <c r="W164">
        <f>IF(OR(B164="",P164=""),"",P164-C164)</f>
        <v/>
      </c>
      <c r="X164">
        <f>IF(B164="","",IF(P164="","Aberto","Fechado"))</f>
        <v/>
      </c>
    </row>
    <row r="165">
      <c r="C165" s="6" t="n"/>
      <c r="E165" s="10" t="n"/>
      <c r="F165" s="11" t="n"/>
      <c r="G165" s="11" t="n"/>
      <c r="H165" s="11" t="n"/>
      <c r="J165" s="10" t="n"/>
      <c r="K165" s="11" t="n"/>
      <c r="L165" s="10" t="n"/>
      <c r="M165" s="11" t="n"/>
      <c r="N165" s="10" t="n"/>
      <c r="O165" s="11" t="n"/>
      <c r="P165" s="6" t="n"/>
      <c r="Q165" s="11" t="n"/>
      <c r="S165" s="8">
        <f>IF(B165="","",E165*F165)</f>
        <v/>
      </c>
      <c r="T165" s="8">
        <f>IF(OR(B165="",N(G165)=0),"",ABS(F165-G165)*E165)</f>
        <v/>
      </c>
      <c r="U165" s="8">
        <f>IF(OR(B165="",P165=""),"",IF(D165="Venda",-1,1)*((N(J165)*N(K165)+N(L165)*N(M165)+N(N165)*N(O165))-(N(J165)+N(L165)+N(N165))*F165)-N(Q165))</f>
        <v/>
      </c>
      <c r="V165" s="9">
        <f>IF(OR(B165="",P165=""),"",U165/S165)</f>
        <v/>
      </c>
      <c r="W165">
        <f>IF(OR(B165="",P165=""),"",P165-C165)</f>
        <v/>
      </c>
      <c r="X165">
        <f>IF(B165="","",IF(P165="","Aberto","Fechado"))</f>
        <v/>
      </c>
    </row>
    <row r="166">
      <c r="C166" s="6" t="n"/>
      <c r="E166" s="10" t="n"/>
      <c r="F166" s="11" t="n"/>
      <c r="G166" s="11" t="n"/>
      <c r="H166" s="11" t="n"/>
      <c r="J166" s="10" t="n"/>
      <c r="K166" s="11" t="n"/>
      <c r="L166" s="10" t="n"/>
      <c r="M166" s="11" t="n"/>
      <c r="N166" s="10" t="n"/>
      <c r="O166" s="11" t="n"/>
      <c r="P166" s="6" t="n"/>
      <c r="Q166" s="11" t="n"/>
      <c r="S166" s="8">
        <f>IF(B166="","",E166*F166)</f>
        <v/>
      </c>
      <c r="T166" s="8">
        <f>IF(OR(B166="",N(G166)=0),"",ABS(F166-G166)*E166)</f>
        <v/>
      </c>
      <c r="U166" s="8">
        <f>IF(OR(B166="",P166=""),"",IF(D166="Venda",-1,1)*((N(J166)*N(K166)+N(L166)*N(M166)+N(N166)*N(O166))-(N(J166)+N(L166)+N(N166))*F166)-N(Q166))</f>
        <v/>
      </c>
      <c r="V166" s="9">
        <f>IF(OR(B166="",P166=""),"",U166/S166)</f>
        <v/>
      </c>
      <c r="W166">
        <f>IF(OR(B166="",P166=""),"",P166-C166)</f>
        <v/>
      </c>
      <c r="X166">
        <f>IF(B166="","",IF(P166="","Aberto","Fechado"))</f>
        <v/>
      </c>
    </row>
    <row r="167">
      <c r="C167" s="6" t="n"/>
      <c r="E167" s="10" t="n"/>
      <c r="F167" s="11" t="n"/>
      <c r="G167" s="11" t="n"/>
      <c r="H167" s="11" t="n"/>
      <c r="J167" s="10" t="n"/>
      <c r="K167" s="11" t="n"/>
      <c r="L167" s="10" t="n"/>
      <c r="M167" s="11" t="n"/>
      <c r="N167" s="10" t="n"/>
      <c r="O167" s="11" t="n"/>
      <c r="P167" s="6" t="n"/>
      <c r="Q167" s="11" t="n"/>
      <c r="S167" s="8">
        <f>IF(B167="","",E167*F167)</f>
        <v/>
      </c>
      <c r="T167" s="8">
        <f>IF(OR(B167="",N(G167)=0),"",ABS(F167-G167)*E167)</f>
        <v/>
      </c>
      <c r="U167" s="8">
        <f>IF(OR(B167="",P167=""),"",IF(D167="Venda",-1,1)*((N(J167)*N(K167)+N(L167)*N(M167)+N(N167)*N(O167))-(N(J167)+N(L167)+N(N167))*F167)-N(Q167))</f>
        <v/>
      </c>
      <c r="V167" s="9">
        <f>IF(OR(B167="",P167=""),"",U167/S167)</f>
        <v/>
      </c>
      <c r="W167">
        <f>IF(OR(B167="",P167=""),"",P167-C167)</f>
        <v/>
      </c>
      <c r="X167">
        <f>IF(B167="","",IF(P167="","Aberto","Fechado"))</f>
        <v/>
      </c>
    </row>
    <row r="168">
      <c r="C168" s="6" t="n"/>
      <c r="E168" s="10" t="n"/>
      <c r="F168" s="11" t="n"/>
      <c r="G168" s="11" t="n"/>
      <c r="H168" s="11" t="n"/>
      <c r="J168" s="10" t="n"/>
      <c r="K168" s="11" t="n"/>
      <c r="L168" s="10" t="n"/>
      <c r="M168" s="11" t="n"/>
      <c r="N168" s="10" t="n"/>
      <c r="O168" s="11" t="n"/>
      <c r="P168" s="6" t="n"/>
      <c r="Q168" s="11" t="n"/>
      <c r="S168" s="8">
        <f>IF(B168="","",E168*F168)</f>
        <v/>
      </c>
      <c r="T168" s="8">
        <f>IF(OR(B168="",N(G168)=0),"",ABS(F168-G168)*E168)</f>
        <v/>
      </c>
      <c r="U168" s="8">
        <f>IF(OR(B168="",P168=""),"",IF(D168="Venda",-1,1)*((N(J168)*N(K168)+N(L168)*N(M168)+N(N168)*N(O168))-(N(J168)+N(L168)+N(N168))*F168)-N(Q168))</f>
        <v/>
      </c>
      <c r="V168" s="9">
        <f>IF(OR(B168="",P168=""),"",U168/S168)</f>
        <v/>
      </c>
      <c r="W168">
        <f>IF(OR(B168="",P168=""),"",P168-C168)</f>
        <v/>
      </c>
      <c r="X168">
        <f>IF(B168="","",IF(P168="","Aberto","Fechado"))</f>
        <v/>
      </c>
    </row>
    <row r="169">
      <c r="C169" s="6" t="n"/>
      <c r="E169" s="10" t="n"/>
      <c r="F169" s="11" t="n"/>
      <c r="G169" s="11" t="n"/>
      <c r="H169" s="11" t="n"/>
      <c r="J169" s="10" t="n"/>
      <c r="K169" s="11" t="n"/>
      <c r="L169" s="10" t="n"/>
      <c r="M169" s="11" t="n"/>
      <c r="N169" s="10" t="n"/>
      <c r="O169" s="11" t="n"/>
      <c r="P169" s="6" t="n"/>
      <c r="Q169" s="11" t="n"/>
      <c r="S169" s="8">
        <f>IF(B169="","",E169*F169)</f>
        <v/>
      </c>
      <c r="T169" s="8">
        <f>IF(OR(B169="",N(G169)=0),"",ABS(F169-G169)*E169)</f>
        <v/>
      </c>
      <c r="U169" s="8">
        <f>IF(OR(B169="",P169=""),"",IF(D169="Venda",-1,1)*((N(J169)*N(K169)+N(L169)*N(M169)+N(N169)*N(O169))-(N(J169)+N(L169)+N(N169))*F169)-N(Q169))</f>
        <v/>
      </c>
      <c r="V169" s="9">
        <f>IF(OR(B169="",P169=""),"",U169/S169)</f>
        <v/>
      </c>
      <c r="W169">
        <f>IF(OR(B169="",P169=""),"",P169-C169)</f>
        <v/>
      </c>
      <c r="X169">
        <f>IF(B169="","",IF(P169="","Aberto","Fechado"))</f>
        <v/>
      </c>
    </row>
    <row r="170">
      <c r="C170" s="6" t="n"/>
      <c r="E170" s="10" t="n"/>
      <c r="F170" s="11" t="n"/>
      <c r="G170" s="11" t="n"/>
      <c r="H170" s="11" t="n"/>
      <c r="J170" s="10" t="n"/>
      <c r="K170" s="11" t="n"/>
      <c r="L170" s="10" t="n"/>
      <c r="M170" s="11" t="n"/>
      <c r="N170" s="10" t="n"/>
      <c r="O170" s="11" t="n"/>
      <c r="P170" s="6" t="n"/>
      <c r="Q170" s="11" t="n"/>
      <c r="S170" s="8">
        <f>IF(B170="","",E170*F170)</f>
        <v/>
      </c>
      <c r="T170" s="8">
        <f>IF(OR(B170="",N(G170)=0),"",ABS(F170-G170)*E170)</f>
        <v/>
      </c>
      <c r="U170" s="8">
        <f>IF(OR(B170="",P170=""),"",IF(D170="Venda",-1,1)*((N(J170)*N(K170)+N(L170)*N(M170)+N(N170)*N(O170))-(N(J170)+N(L170)+N(N170))*F170)-N(Q170))</f>
        <v/>
      </c>
      <c r="V170" s="9">
        <f>IF(OR(B170="",P170=""),"",U170/S170)</f>
        <v/>
      </c>
      <c r="W170">
        <f>IF(OR(B170="",P170=""),"",P170-C170)</f>
        <v/>
      </c>
      <c r="X170">
        <f>IF(B170="","",IF(P170="","Aberto","Fechado"))</f>
        <v/>
      </c>
    </row>
    <row r="171">
      <c r="C171" s="6" t="n"/>
      <c r="E171" s="10" t="n"/>
      <c r="F171" s="11" t="n"/>
      <c r="G171" s="11" t="n"/>
      <c r="H171" s="11" t="n"/>
      <c r="J171" s="10" t="n"/>
      <c r="K171" s="11" t="n"/>
      <c r="L171" s="10" t="n"/>
      <c r="M171" s="11" t="n"/>
      <c r="N171" s="10" t="n"/>
      <c r="O171" s="11" t="n"/>
      <c r="P171" s="6" t="n"/>
      <c r="Q171" s="11" t="n"/>
      <c r="S171" s="8">
        <f>IF(B171="","",E171*F171)</f>
        <v/>
      </c>
      <c r="T171" s="8">
        <f>IF(OR(B171="",N(G171)=0),"",ABS(F171-G171)*E171)</f>
        <v/>
      </c>
      <c r="U171" s="8">
        <f>IF(OR(B171="",P171=""),"",IF(D171="Venda",-1,1)*((N(J171)*N(K171)+N(L171)*N(M171)+N(N171)*N(O171))-(N(J171)+N(L171)+N(N171))*F171)-N(Q171))</f>
        <v/>
      </c>
      <c r="V171" s="9">
        <f>IF(OR(B171="",P171=""),"",U171/S171)</f>
        <v/>
      </c>
      <c r="W171">
        <f>IF(OR(B171="",P171=""),"",P171-C171)</f>
        <v/>
      </c>
      <c r="X171">
        <f>IF(B171="","",IF(P171="","Aberto","Fechado"))</f>
        <v/>
      </c>
    </row>
    <row r="172">
      <c r="C172" s="6" t="n"/>
      <c r="E172" s="10" t="n"/>
      <c r="F172" s="11" t="n"/>
      <c r="G172" s="11" t="n"/>
      <c r="H172" s="11" t="n"/>
      <c r="J172" s="10" t="n"/>
      <c r="K172" s="11" t="n"/>
      <c r="L172" s="10" t="n"/>
      <c r="M172" s="11" t="n"/>
      <c r="N172" s="10" t="n"/>
      <c r="O172" s="11" t="n"/>
      <c r="P172" s="6" t="n"/>
      <c r="Q172" s="11" t="n"/>
      <c r="S172" s="8">
        <f>IF(B172="","",E172*F172)</f>
        <v/>
      </c>
      <c r="T172" s="8">
        <f>IF(OR(B172="",N(G172)=0),"",ABS(F172-G172)*E172)</f>
        <v/>
      </c>
      <c r="U172" s="8">
        <f>IF(OR(B172="",P172=""),"",IF(D172="Venda",-1,1)*((N(J172)*N(K172)+N(L172)*N(M172)+N(N172)*N(O172))-(N(J172)+N(L172)+N(N172))*F172)-N(Q172))</f>
        <v/>
      </c>
      <c r="V172" s="9">
        <f>IF(OR(B172="",P172=""),"",U172/S172)</f>
        <v/>
      </c>
      <c r="W172">
        <f>IF(OR(B172="",P172=""),"",P172-C172)</f>
        <v/>
      </c>
      <c r="X172">
        <f>IF(B172="","",IF(P172="","Aberto","Fechado"))</f>
        <v/>
      </c>
    </row>
    <row r="173">
      <c r="C173" s="6" t="n"/>
      <c r="E173" s="10" t="n"/>
      <c r="F173" s="11" t="n"/>
      <c r="G173" s="11" t="n"/>
      <c r="H173" s="11" t="n"/>
      <c r="J173" s="10" t="n"/>
      <c r="K173" s="11" t="n"/>
      <c r="L173" s="10" t="n"/>
      <c r="M173" s="11" t="n"/>
      <c r="N173" s="10" t="n"/>
      <c r="O173" s="11" t="n"/>
      <c r="P173" s="6" t="n"/>
      <c r="Q173" s="11" t="n"/>
      <c r="S173" s="8">
        <f>IF(B173="","",E173*F173)</f>
        <v/>
      </c>
      <c r="T173" s="8">
        <f>IF(OR(B173="",N(G173)=0),"",ABS(F173-G173)*E173)</f>
        <v/>
      </c>
      <c r="U173" s="8">
        <f>IF(OR(B173="",P173=""),"",IF(D173="Venda",-1,1)*((N(J173)*N(K173)+N(L173)*N(M173)+N(N173)*N(O173))-(N(J173)+N(L173)+N(N173))*F173)-N(Q173))</f>
        <v/>
      </c>
      <c r="V173" s="9">
        <f>IF(OR(B173="",P173=""),"",U173/S173)</f>
        <v/>
      </c>
      <c r="W173">
        <f>IF(OR(B173="",P173=""),"",P173-C173)</f>
        <v/>
      </c>
      <c r="X173">
        <f>IF(B173="","",IF(P173="","Aberto","Fechado"))</f>
        <v/>
      </c>
    </row>
    <row r="174">
      <c r="C174" s="6" t="n"/>
      <c r="E174" s="10" t="n"/>
      <c r="F174" s="11" t="n"/>
      <c r="G174" s="11" t="n"/>
      <c r="H174" s="11" t="n"/>
      <c r="J174" s="10" t="n"/>
      <c r="K174" s="11" t="n"/>
      <c r="L174" s="10" t="n"/>
      <c r="M174" s="11" t="n"/>
      <c r="N174" s="10" t="n"/>
      <c r="O174" s="11" t="n"/>
      <c r="P174" s="6" t="n"/>
      <c r="Q174" s="11" t="n"/>
      <c r="S174" s="8">
        <f>IF(B174="","",E174*F174)</f>
        <v/>
      </c>
      <c r="T174" s="8">
        <f>IF(OR(B174="",N(G174)=0),"",ABS(F174-G174)*E174)</f>
        <v/>
      </c>
      <c r="U174" s="8">
        <f>IF(OR(B174="",P174=""),"",IF(D174="Venda",-1,1)*((N(J174)*N(K174)+N(L174)*N(M174)+N(N174)*N(O174))-(N(J174)+N(L174)+N(N174))*F174)-N(Q174))</f>
        <v/>
      </c>
      <c r="V174" s="9">
        <f>IF(OR(B174="",P174=""),"",U174/S174)</f>
        <v/>
      </c>
      <c r="W174">
        <f>IF(OR(B174="",P174=""),"",P174-C174)</f>
        <v/>
      </c>
      <c r="X174">
        <f>IF(B174="","",IF(P174="","Aberto","Fechado"))</f>
        <v/>
      </c>
    </row>
    <row r="175">
      <c r="C175" s="6" t="n"/>
      <c r="E175" s="10" t="n"/>
      <c r="F175" s="11" t="n"/>
      <c r="G175" s="11" t="n"/>
      <c r="H175" s="11" t="n"/>
      <c r="J175" s="10" t="n"/>
      <c r="K175" s="11" t="n"/>
      <c r="L175" s="10" t="n"/>
      <c r="M175" s="11" t="n"/>
      <c r="N175" s="10" t="n"/>
      <c r="O175" s="11" t="n"/>
      <c r="P175" s="6" t="n"/>
      <c r="Q175" s="11" t="n"/>
      <c r="S175" s="8">
        <f>IF(B175="","",E175*F175)</f>
        <v/>
      </c>
      <c r="T175" s="8">
        <f>IF(OR(B175="",N(G175)=0),"",ABS(F175-G175)*E175)</f>
        <v/>
      </c>
      <c r="U175" s="8">
        <f>IF(OR(B175="",P175=""),"",IF(D175="Venda",-1,1)*((N(J175)*N(K175)+N(L175)*N(M175)+N(N175)*N(O175))-(N(J175)+N(L175)+N(N175))*F175)-N(Q175))</f>
        <v/>
      </c>
      <c r="V175" s="9">
        <f>IF(OR(B175="",P175=""),"",U175/S175)</f>
        <v/>
      </c>
      <c r="W175">
        <f>IF(OR(B175="",P175=""),"",P175-C175)</f>
        <v/>
      </c>
      <c r="X175">
        <f>IF(B175="","",IF(P175="","Aberto","Fechado"))</f>
        <v/>
      </c>
    </row>
    <row r="176">
      <c r="C176" s="6" t="n"/>
      <c r="E176" s="10" t="n"/>
      <c r="F176" s="11" t="n"/>
      <c r="G176" s="11" t="n"/>
      <c r="H176" s="11" t="n"/>
      <c r="J176" s="10" t="n"/>
      <c r="K176" s="11" t="n"/>
      <c r="L176" s="10" t="n"/>
      <c r="M176" s="11" t="n"/>
      <c r="N176" s="10" t="n"/>
      <c r="O176" s="11" t="n"/>
      <c r="P176" s="6" t="n"/>
      <c r="Q176" s="11" t="n"/>
      <c r="S176" s="8">
        <f>IF(B176="","",E176*F176)</f>
        <v/>
      </c>
      <c r="T176" s="8">
        <f>IF(OR(B176="",N(G176)=0),"",ABS(F176-G176)*E176)</f>
        <v/>
      </c>
      <c r="U176" s="8">
        <f>IF(OR(B176="",P176=""),"",IF(D176="Venda",-1,1)*((N(J176)*N(K176)+N(L176)*N(M176)+N(N176)*N(O176))-(N(J176)+N(L176)+N(N176))*F176)-N(Q176))</f>
        <v/>
      </c>
      <c r="V176" s="9">
        <f>IF(OR(B176="",P176=""),"",U176/S176)</f>
        <v/>
      </c>
      <c r="W176">
        <f>IF(OR(B176="",P176=""),"",P176-C176)</f>
        <v/>
      </c>
      <c r="X176">
        <f>IF(B176="","",IF(P176="","Aberto","Fechado"))</f>
        <v/>
      </c>
    </row>
    <row r="177">
      <c r="C177" s="6" t="n"/>
      <c r="E177" s="10" t="n"/>
      <c r="F177" s="11" t="n"/>
      <c r="G177" s="11" t="n"/>
      <c r="H177" s="11" t="n"/>
      <c r="J177" s="10" t="n"/>
      <c r="K177" s="11" t="n"/>
      <c r="L177" s="10" t="n"/>
      <c r="M177" s="11" t="n"/>
      <c r="N177" s="10" t="n"/>
      <c r="O177" s="11" t="n"/>
      <c r="P177" s="6" t="n"/>
      <c r="Q177" s="11" t="n"/>
      <c r="S177" s="8">
        <f>IF(B177="","",E177*F177)</f>
        <v/>
      </c>
      <c r="T177" s="8">
        <f>IF(OR(B177="",N(G177)=0),"",ABS(F177-G177)*E177)</f>
        <v/>
      </c>
      <c r="U177" s="8">
        <f>IF(OR(B177="",P177=""),"",IF(D177="Venda",-1,1)*((N(J177)*N(K177)+N(L177)*N(M177)+N(N177)*N(O177))-(N(J177)+N(L177)+N(N177))*F177)-N(Q177))</f>
        <v/>
      </c>
      <c r="V177" s="9">
        <f>IF(OR(B177="",P177=""),"",U177/S177)</f>
        <v/>
      </c>
      <c r="W177">
        <f>IF(OR(B177="",P177=""),"",P177-C177)</f>
        <v/>
      </c>
      <c r="X177">
        <f>IF(B177="","",IF(P177="","Aberto","Fechado"))</f>
        <v/>
      </c>
    </row>
    <row r="178">
      <c r="C178" s="6" t="n"/>
      <c r="E178" s="10" t="n"/>
      <c r="F178" s="11" t="n"/>
      <c r="G178" s="11" t="n"/>
      <c r="H178" s="11" t="n"/>
      <c r="J178" s="10" t="n"/>
      <c r="K178" s="11" t="n"/>
      <c r="L178" s="10" t="n"/>
      <c r="M178" s="11" t="n"/>
      <c r="N178" s="10" t="n"/>
      <c r="O178" s="11" t="n"/>
      <c r="P178" s="6" t="n"/>
      <c r="Q178" s="11" t="n"/>
      <c r="S178" s="8">
        <f>IF(B178="","",E178*F178)</f>
        <v/>
      </c>
      <c r="T178" s="8">
        <f>IF(OR(B178="",N(G178)=0),"",ABS(F178-G178)*E178)</f>
        <v/>
      </c>
      <c r="U178" s="8">
        <f>IF(OR(B178="",P178=""),"",IF(D178="Venda",-1,1)*((N(J178)*N(K178)+N(L178)*N(M178)+N(N178)*N(O178))-(N(J178)+N(L178)+N(N178))*F178)-N(Q178))</f>
        <v/>
      </c>
      <c r="V178" s="9">
        <f>IF(OR(B178="",P178=""),"",U178/S178)</f>
        <v/>
      </c>
      <c r="W178">
        <f>IF(OR(B178="",P178=""),"",P178-C178)</f>
        <v/>
      </c>
      <c r="X178">
        <f>IF(B178="","",IF(P178="","Aberto","Fechado"))</f>
        <v/>
      </c>
    </row>
    <row r="179">
      <c r="C179" s="6" t="n"/>
      <c r="E179" s="10" t="n"/>
      <c r="F179" s="11" t="n"/>
      <c r="G179" s="11" t="n"/>
      <c r="H179" s="11" t="n"/>
      <c r="J179" s="10" t="n"/>
      <c r="K179" s="11" t="n"/>
      <c r="L179" s="10" t="n"/>
      <c r="M179" s="11" t="n"/>
      <c r="N179" s="10" t="n"/>
      <c r="O179" s="11" t="n"/>
      <c r="P179" s="6" t="n"/>
      <c r="Q179" s="11" t="n"/>
      <c r="S179" s="8">
        <f>IF(B179="","",E179*F179)</f>
        <v/>
      </c>
      <c r="T179" s="8">
        <f>IF(OR(B179="",N(G179)=0),"",ABS(F179-G179)*E179)</f>
        <v/>
      </c>
      <c r="U179" s="8">
        <f>IF(OR(B179="",P179=""),"",IF(D179="Venda",-1,1)*((N(J179)*N(K179)+N(L179)*N(M179)+N(N179)*N(O179))-(N(J179)+N(L179)+N(N179))*F179)-N(Q179))</f>
        <v/>
      </c>
      <c r="V179" s="9">
        <f>IF(OR(B179="",P179=""),"",U179/S179)</f>
        <v/>
      </c>
      <c r="W179">
        <f>IF(OR(B179="",P179=""),"",P179-C179)</f>
        <v/>
      </c>
      <c r="X179">
        <f>IF(B179="","",IF(P179="","Aberto","Fechado"))</f>
        <v/>
      </c>
    </row>
    <row r="180">
      <c r="C180" s="6" t="n"/>
      <c r="E180" s="10" t="n"/>
      <c r="F180" s="11" t="n"/>
      <c r="G180" s="11" t="n"/>
      <c r="H180" s="11" t="n"/>
      <c r="J180" s="10" t="n"/>
      <c r="K180" s="11" t="n"/>
      <c r="L180" s="10" t="n"/>
      <c r="M180" s="11" t="n"/>
      <c r="N180" s="10" t="n"/>
      <c r="O180" s="11" t="n"/>
      <c r="P180" s="6" t="n"/>
      <c r="Q180" s="11" t="n"/>
      <c r="S180" s="8">
        <f>IF(B180="","",E180*F180)</f>
        <v/>
      </c>
      <c r="T180" s="8">
        <f>IF(OR(B180="",N(G180)=0),"",ABS(F180-G180)*E180)</f>
        <v/>
      </c>
      <c r="U180" s="8">
        <f>IF(OR(B180="",P180=""),"",IF(D180="Venda",-1,1)*((N(J180)*N(K180)+N(L180)*N(M180)+N(N180)*N(O180))-(N(J180)+N(L180)+N(N180))*F180)-N(Q180))</f>
        <v/>
      </c>
      <c r="V180" s="9">
        <f>IF(OR(B180="",P180=""),"",U180/S180)</f>
        <v/>
      </c>
      <c r="W180">
        <f>IF(OR(B180="",P180=""),"",P180-C180)</f>
        <v/>
      </c>
      <c r="X180">
        <f>IF(B180="","",IF(P180="","Aberto","Fechado"))</f>
        <v/>
      </c>
    </row>
    <row r="181">
      <c r="C181" s="6" t="n"/>
      <c r="E181" s="10" t="n"/>
      <c r="F181" s="11" t="n"/>
      <c r="G181" s="11" t="n"/>
      <c r="H181" s="11" t="n"/>
      <c r="J181" s="10" t="n"/>
      <c r="K181" s="11" t="n"/>
      <c r="L181" s="10" t="n"/>
      <c r="M181" s="11" t="n"/>
      <c r="N181" s="10" t="n"/>
      <c r="O181" s="11" t="n"/>
      <c r="P181" s="6" t="n"/>
      <c r="Q181" s="11" t="n"/>
      <c r="S181" s="8">
        <f>IF(B181="","",E181*F181)</f>
        <v/>
      </c>
      <c r="T181" s="8">
        <f>IF(OR(B181="",N(G181)=0),"",ABS(F181-G181)*E181)</f>
        <v/>
      </c>
      <c r="U181" s="8">
        <f>IF(OR(B181="",P181=""),"",IF(D181="Venda",-1,1)*((N(J181)*N(K181)+N(L181)*N(M181)+N(N181)*N(O181))-(N(J181)+N(L181)+N(N181))*F181)-N(Q181))</f>
        <v/>
      </c>
      <c r="V181" s="9">
        <f>IF(OR(B181="",P181=""),"",U181/S181)</f>
        <v/>
      </c>
      <c r="W181">
        <f>IF(OR(B181="",P181=""),"",P181-C181)</f>
        <v/>
      </c>
      <c r="X181">
        <f>IF(B181="","",IF(P181="","Aberto","Fechado"))</f>
        <v/>
      </c>
    </row>
    <row r="182">
      <c r="C182" s="6" t="n"/>
      <c r="E182" s="10" t="n"/>
      <c r="F182" s="11" t="n"/>
      <c r="G182" s="11" t="n"/>
      <c r="H182" s="11" t="n"/>
      <c r="J182" s="10" t="n"/>
      <c r="K182" s="11" t="n"/>
      <c r="L182" s="10" t="n"/>
      <c r="M182" s="11" t="n"/>
      <c r="N182" s="10" t="n"/>
      <c r="O182" s="11" t="n"/>
      <c r="P182" s="6" t="n"/>
      <c r="Q182" s="11" t="n"/>
      <c r="S182" s="8">
        <f>IF(B182="","",E182*F182)</f>
        <v/>
      </c>
      <c r="T182" s="8">
        <f>IF(OR(B182="",N(G182)=0),"",ABS(F182-G182)*E182)</f>
        <v/>
      </c>
      <c r="U182" s="8">
        <f>IF(OR(B182="",P182=""),"",IF(D182="Venda",-1,1)*((N(J182)*N(K182)+N(L182)*N(M182)+N(N182)*N(O182))-(N(J182)+N(L182)+N(N182))*F182)-N(Q182))</f>
        <v/>
      </c>
      <c r="V182" s="9">
        <f>IF(OR(B182="",P182=""),"",U182/S182)</f>
        <v/>
      </c>
      <c r="W182">
        <f>IF(OR(B182="",P182=""),"",P182-C182)</f>
        <v/>
      </c>
      <c r="X182">
        <f>IF(B182="","",IF(P182="","Aberto","Fechado"))</f>
        <v/>
      </c>
    </row>
    <row r="183">
      <c r="C183" s="6" t="n"/>
      <c r="E183" s="10" t="n"/>
      <c r="F183" s="11" t="n"/>
      <c r="G183" s="11" t="n"/>
      <c r="H183" s="11" t="n"/>
      <c r="J183" s="10" t="n"/>
      <c r="K183" s="11" t="n"/>
      <c r="L183" s="10" t="n"/>
      <c r="M183" s="11" t="n"/>
      <c r="N183" s="10" t="n"/>
      <c r="O183" s="11" t="n"/>
      <c r="P183" s="6" t="n"/>
      <c r="Q183" s="11" t="n"/>
      <c r="S183" s="8">
        <f>IF(B183="","",E183*F183)</f>
        <v/>
      </c>
      <c r="T183" s="8">
        <f>IF(OR(B183="",N(G183)=0),"",ABS(F183-G183)*E183)</f>
        <v/>
      </c>
      <c r="U183" s="8">
        <f>IF(OR(B183="",P183=""),"",IF(D183="Venda",-1,1)*((N(J183)*N(K183)+N(L183)*N(M183)+N(N183)*N(O183))-(N(J183)+N(L183)+N(N183))*F183)-N(Q183))</f>
        <v/>
      </c>
      <c r="V183" s="9">
        <f>IF(OR(B183="",P183=""),"",U183/S183)</f>
        <v/>
      </c>
      <c r="W183">
        <f>IF(OR(B183="",P183=""),"",P183-C183)</f>
        <v/>
      </c>
      <c r="X183">
        <f>IF(B183="","",IF(P183="","Aberto","Fechado"))</f>
        <v/>
      </c>
    </row>
    <row r="184">
      <c r="C184" s="6" t="n"/>
      <c r="E184" s="10" t="n"/>
      <c r="F184" s="11" t="n"/>
      <c r="G184" s="11" t="n"/>
      <c r="H184" s="11" t="n"/>
      <c r="J184" s="10" t="n"/>
      <c r="K184" s="11" t="n"/>
      <c r="L184" s="10" t="n"/>
      <c r="M184" s="11" t="n"/>
      <c r="N184" s="10" t="n"/>
      <c r="O184" s="11" t="n"/>
      <c r="P184" s="6" t="n"/>
      <c r="Q184" s="11" t="n"/>
      <c r="S184" s="8">
        <f>IF(B184="","",E184*F184)</f>
        <v/>
      </c>
      <c r="T184" s="8">
        <f>IF(OR(B184="",N(G184)=0),"",ABS(F184-G184)*E184)</f>
        <v/>
      </c>
      <c r="U184" s="8">
        <f>IF(OR(B184="",P184=""),"",IF(D184="Venda",-1,1)*((N(J184)*N(K184)+N(L184)*N(M184)+N(N184)*N(O184))-(N(J184)+N(L184)+N(N184))*F184)-N(Q184))</f>
        <v/>
      </c>
      <c r="V184" s="9">
        <f>IF(OR(B184="",P184=""),"",U184/S184)</f>
        <v/>
      </c>
      <c r="W184">
        <f>IF(OR(B184="",P184=""),"",P184-C184)</f>
        <v/>
      </c>
      <c r="X184">
        <f>IF(B184="","",IF(P184="","Aberto","Fechado"))</f>
        <v/>
      </c>
    </row>
    <row r="185">
      <c r="C185" s="6" t="n"/>
      <c r="E185" s="10" t="n"/>
      <c r="F185" s="11" t="n"/>
      <c r="G185" s="11" t="n"/>
      <c r="H185" s="11" t="n"/>
      <c r="J185" s="10" t="n"/>
      <c r="K185" s="11" t="n"/>
      <c r="L185" s="10" t="n"/>
      <c r="M185" s="11" t="n"/>
      <c r="N185" s="10" t="n"/>
      <c r="O185" s="11" t="n"/>
      <c r="P185" s="6" t="n"/>
      <c r="Q185" s="11" t="n"/>
      <c r="S185" s="8">
        <f>IF(B185="","",E185*F185)</f>
        <v/>
      </c>
      <c r="T185" s="8">
        <f>IF(OR(B185="",N(G185)=0),"",ABS(F185-G185)*E185)</f>
        <v/>
      </c>
      <c r="U185" s="8">
        <f>IF(OR(B185="",P185=""),"",IF(D185="Venda",-1,1)*((N(J185)*N(K185)+N(L185)*N(M185)+N(N185)*N(O185))-(N(J185)+N(L185)+N(N185))*F185)-N(Q185))</f>
        <v/>
      </c>
      <c r="V185" s="9">
        <f>IF(OR(B185="",P185=""),"",U185/S185)</f>
        <v/>
      </c>
      <c r="W185">
        <f>IF(OR(B185="",P185=""),"",P185-C185)</f>
        <v/>
      </c>
      <c r="X185">
        <f>IF(B185="","",IF(P185="","Aberto","Fechado"))</f>
        <v/>
      </c>
    </row>
    <row r="186">
      <c r="C186" s="6" t="n"/>
      <c r="E186" s="10" t="n"/>
      <c r="F186" s="11" t="n"/>
      <c r="G186" s="11" t="n"/>
      <c r="H186" s="11" t="n"/>
      <c r="J186" s="10" t="n"/>
      <c r="K186" s="11" t="n"/>
      <c r="L186" s="10" t="n"/>
      <c r="M186" s="11" t="n"/>
      <c r="N186" s="10" t="n"/>
      <c r="O186" s="11" t="n"/>
      <c r="P186" s="6" t="n"/>
      <c r="Q186" s="11" t="n"/>
      <c r="S186" s="8">
        <f>IF(B186="","",E186*F186)</f>
        <v/>
      </c>
      <c r="T186" s="8">
        <f>IF(OR(B186="",N(G186)=0),"",ABS(F186-G186)*E186)</f>
        <v/>
      </c>
      <c r="U186" s="8">
        <f>IF(OR(B186="",P186=""),"",IF(D186="Venda",-1,1)*((N(J186)*N(K186)+N(L186)*N(M186)+N(N186)*N(O186))-(N(J186)+N(L186)+N(N186))*F186)-N(Q186))</f>
        <v/>
      </c>
      <c r="V186" s="9">
        <f>IF(OR(B186="",P186=""),"",U186/S186)</f>
        <v/>
      </c>
      <c r="W186">
        <f>IF(OR(B186="",P186=""),"",P186-C186)</f>
        <v/>
      </c>
      <c r="X186">
        <f>IF(B186="","",IF(P186="","Aberto","Fechado"))</f>
        <v/>
      </c>
    </row>
    <row r="187">
      <c r="C187" s="6" t="n"/>
      <c r="E187" s="10" t="n"/>
      <c r="F187" s="11" t="n"/>
      <c r="G187" s="11" t="n"/>
      <c r="H187" s="11" t="n"/>
      <c r="J187" s="10" t="n"/>
      <c r="K187" s="11" t="n"/>
      <c r="L187" s="10" t="n"/>
      <c r="M187" s="11" t="n"/>
      <c r="N187" s="10" t="n"/>
      <c r="O187" s="11" t="n"/>
      <c r="P187" s="6" t="n"/>
      <c r="Q187" s="11" t="n"/>
      <c r="S187" s="8">
        <f>IF(B187="","",E187*F187)</f>
        <v/>
      </c>
      <c r="T187" s="8">
        <f>IF(OR(B187="",N(G187)=0),"",ABS(F187-G187)*E187)</f>
        <v/>
      </c>
      <c r="U187" s="8">
        <f>IF(OR(B187="",P187=""),"",IF(D187="Venda",-1,1)*((N(J187)*N(K187)+N(L187)*N(M187)+N(N187)*N(O187))-(N(J187)+N(L187)+N(N187))*F187)-N(Q187))</f>
        <v/>
      </c>
      <c r="V187" s="9">
        <f>IF(OR(B187="",P187=""),"",U187/S187)</f>
        <v/>
      </c>
      <c r="W187">
        <f>IF(OR(B187="",P187=""),"",P187-C187)</f>
        <v/>
      </c>
      <c r="X187">
        <f>IF(B187="","",IF(P187="","Aberto","Fechado"))</f>
        <v/>
      </c>
    </row>
    <row r="188">
      <c r="C188" s="6" t="n"/>
      <c r="E188" s="10" t="n"/>
      <c r="F188" s="11" t="n"/>
      <c r="G188" s="11" t="n"/>
      <c r="H188" s="11" t="n"/>
      <c r="J188" s="10" t="n"/>
      <c r="K188" s="11" t="n"/>
      <c r="L188" s="10" t="n"/>
      <c r="M188" s="11" t="n"/>
      <c r="N188" s="10" t="n"/>
      <c r="O188" s="11" t="n"/>
      <c r="P188" s="6" t="n"/>
      <c r="Q188" s="11" t="n"/>
      <c r="S188" s="8">
        <f>IF(B188="","",E188*F188)</f>
        <v/>
      </c>
      <c r="T188" s="8">
        <f>IF(OR(B188="",N(G188)=0),"",ABS(F188-G188)*E188)</f>
        <v/>
      </c>
      <c r="U188" s="8">
        <f>IF(OR(B188="",P188=""),"",IF(D188="Venda",-1,1)*((N(J188)*N(K188)+N(L188)*N(M188)+N(N188)*N(O188))-(N(J188)+N(L188)+N(N188))*F188)-N(Q188))</f>
        <v/>
      </c>
      <c r="V188" s="9">
        <f>IF(OR(B188="",P188=""),"",U188/S188)</f>
        <v/>
      </c>
      <c r="W188">
        <f>IF(OR(B188="",P188=""),"",P188-C188)</f>
        <v/>
      </c>
      <c r="X188">
        <f>IF(B188="","",IF(P188="","Aberto","Fechado"))</f>
        <v/>
      </c>
    </row>
    <row r="189">
      <c r="C189" s="6" t="n"/>
      <c r="E189" s="10" t="n"/>
      <c r="F189" s="11" t="n"/>
      <c r="G189" s="11" t="n"/>
      <c r="H189" s="11" t="n"/>
      <c r="J189" s="10" t="n"/>
      <c r="K189" s="11" t="n"/>
      <c r="L189" s="10" t="n"/>
      <c r="M189" s="11" t="n"/>
      <c r="N189" s="10" t="n"/>
      <c r="O189" s="11" t="n"/>
      <c r="P189" s="6" t="n"/>
      <c r="Q189" s="11" t="n"/>
      <c r="S189" s="8">
        <f>IF(B189="","",E189*F189)</f>
        <v/>
      </c>
      <c r="T189" s="8">
        <f>IF(OR(B189="",N(G189)=0),"",ABS(F189-G189)*E189)</f>
        <v/>
      </c>
      <c r="U189" s="8">
        <f>IF(OR(B189="",P189=""),"",IF(D189="Venda",-1,1)*((N(J189)*N(K189)+N(L189)*N(M189)+N(N189)*N(O189))-(N(J189)+N(L189)+N(N189))*F189)-N(Q189))</f>
        <v/>
      </c>
      <c r="V189" s="9">
        <f>IF(OR(B189="",P189=""),"",U189/S189)</f>
        <v/>
      </c>
      <c r="W189">
        <f>IF(OR(B189="",P189=""),"",P189-C189)</f>
        <v/>
      </c>
      <c r="X189">
        <f>IF(B189="","",IF(P189="","Aberto","Fechado"))</f>
        <v/>
      </c>
    </row>
    <row r="190">
      <c r="C190" s="6" t="n"/>
      <c r="E190" s="10" t="n"/>
      <c r="F190" s="11" t="n"/>
      <c r="G190" s="11" t="n"/>
      <c r="H190" s="11" t="n"/>
      <c r="J190" s="10" t="n"/>
      <c r="K190" s="11" t="n"/>
      <c r="L190" s="10" t="n"/>
      <c r="M190" s="11" t="n"/>
      <c r="N190" s="10" t="n"/>
      <c r="O190" s="11" t="n"/>
      <c r="P190" s="6" t="n"/>
      <c r="Q190" s="11" t="n"/>
      <c r="S190" s="8">
        <f>IF(B190="","",E190*F190)</f>
        <v/>
      </c>
      <c r="T190" s="8">
        <f>IF(OR(B190="",N(G190)=0),"",ABS(F190-G190)*E190)</f>
        <v/>
      </c>
      <c r="U190" s="8">
        <f>IF(OR(B190="",P190=""),"",IF(D190="Venda",-1,1)*((N(J190)*N(K190)+N(L190)*N(M190)+N(N190)*N(O190))-(N(J190)+N(L190)+N(N190))*F190)-N(Q190))</f>
        <v/>
      </c>
      <c r="V190" s="9">
        <f>IF(OR(B190="",P190=""),"",U190/S190)</f>
        <v/>
      </c>
      <c r="W190">
        <f>IF(OR(B190="",P190=""),"",P190-C190)</f>
        <v/>
      </c>
      <c r="X190">
        <f>IF(B190="","",IF(P190="","Aberto","Fechado"))</f>
        <v/>
      </c>
    </row>
    <row r="191">
      <c r="C191" s="6" t="n"/>
      <c r="E191" s="10" t="n"/>
      <c r="F191" s="11" t="n"/>
      <c r="G191" s="11" t="n"/>
      <c r="H191" s="11" t="n"/>
      <c r="J191" s="10" t="n"/>
      <c r="K191" s="11" t="n"/>
      <c r="L191" s="10" t="n"/>
      <c r="M191" s="11" t="n"/>
      <c r="N191" s="10" t="n"/>
      <c r="O191" s="11" t="n"/>
      <c r="P191" s="6" t="n"/>
      <c r="Q191" s="11" t="n"/>
      <c r="S191" s="8">
        <f>IF(B191="","",E191*F191)</f>
        <v/>
      </c>
      <c r="T191" s="8">
        <f>IF(OR(B191="",N(G191)=0),"",ABS(F191-G191)*E191)</f>
        <v/>
      </c>
      <c r="U191" s="8">
        <f>IF(OR(B191="",P191=""),"",IF(D191="Venda",-1,1)*((N(J191)*N(K191)+N(L191)*N(M191)+N(N191)*N(O191))-(N(J191)+N(L191)+N(N191))*F191)-N(Q191))</f>
        <v/>
      </c>
      <c r="V191" s="9">
        <f>IF(OR(B191="",P191=""),"",U191/S191)</f>
        <v/>
      </c>
      <c r="W191">
        <f>IF(OR(B191="",P191=""),"",P191-C191)</f>
        <v/>
      </c>
      <c r="X191">
        <f>IF(B191="","",IF(P191="","Aberto","Fechado"))</f>
        <v/>
      </c>
    </row>
    <row r="192">
      <c r="C192" s="6" t="n"/>
      <c r="E192" s="10" t="n"/>
      <c r="F192" s="11" t="n"/>
      <c r="G192" s="11" t="n"/>
      <c r="H192" s="11" t="n"/>
      <c r="J192" s="10" t="n"/>
      <c r="K192" s="11" t="n"/>
      <c r="L192" s="10" t="n"/>
      <c r="M192" s="11" t="n"/>
      <c r="N192" s="10" t="n"/>
      <c r="O192" s="11" t="n"/>
      <c r="P192" s="6" t="n"/>
      <c r="Q192" s="11" t="n"/>
      <c r="S192" s="8">
        <f>IF(B192="","",E192*F192)</f>
        <v/>
      </c>
      <c r="T192" s="8">
        <f>IF(OR(B192="",N(G192)=0),"",ABS(F192-G192)*E192)</f>
        <v/>
      </c>
      <c r="U192" s="8">
        <f>IF(OR(B192="",P192=""),"",IF(D192="Venda",-1,1)*((N(J192)*N(K192)+N(L192)*N(M192)+N(N192)*N(O192))-(N(J192)+N(L192)+N(N192))*F192)-N(Q192))</f>
        <v/>
      </c>
      <c r="V192" s="9">
        <f>IF(OR(B192="",P192=""),"",U192/S192)</f>
        <v/>
      </c>
      <c r="W192">
        <f>IF(OR(B192="",P192=""),"",P192-C192)</f>
        <v/>
      </c>
      <c r="X192">
        <f>IF(B192="","",IF(P192="","Aberto","Fechado"))</f>
        <v/>
      </c>
    </row>
    <row r="193">
      <c r="C193" s="6" t="n"/>
      <c r="E193" s="10" t="n"/>
      <c r="F193" s="11" t="n"/>
      <c r="G193" s="11" t="n"/>
      <c r="H193" s="11" t="n"/>
      <c r="J193" s="10" t="n"/>
      <c r="K193" s="11" t="n"/>
      <c r="L193" s="10" t="n"/>
      <c r="M193" s="11" t="n"/>
      <c r="N193" s="10" t="n"/>
      <c r="O193" s="11" t="n"/>
      <c r="P193" s="6" t="n"/>
      <c r="Q193" s="11" t="n"/>
      <c r="S193" s="8">
        <f>IF(B193="","",E193*F193)</f>
        <v/>
      </c>
      <c r="T193" s="8">
        <f>IF(OR(B193="",N(G193)=0),"",ABS(F193-G193)*E193)</f>
        <v/>
      </c>
      <c r="U193" s="8">
        <f>IF(OR(B193="",P193=""),"",IF(D193="Venda",-1,1)*((N(J193)*N(K193)+N(L193)*N(M193)+N(N193)*N(O193))-(N(J193)+N(L193)+N(N193))*F193)-N(Q193))</f>
        <v/>
      </c>
      <c r="V193" s="9">
        <f>IF(OR(B193="",P193=""),"",U193/S193)</f>
        <v/>
      </c>
      <c r="W193">
        <f>IF(OR(B193="",P193=""),"",P193-C193)</f>
        <v/>
      </c>
      <c r="X193">
        <f>IF(B193="","",IF(P193="","Aberto","Fechado"))</f>
        <v/>
      </c>
    </row>
    <row r="194">
      <c r="C194" s="6" t="n"/>
      <c r="E194" s="10" t="n"/>
      <c r="F194" s="11" t="n"/>
      <c r="G194" s="11" t="n"/>
      <c r="H194" s="11" t="n"/>
      <c r="J194" s="10" t="n"/>
      <c r="K194" s="11" t="n"/>
      <c r="L194" s="10" t="n"/>
      <c r="M194" s="11" t="n"/>
      <c r="N194" s="10" t="n"/>
      <c r="O194" s="11" t="n"/>
      <c r="P194" s="6" t="n"/>
      <c r="Q194" s="11" t="n"/>
      <c r="S194" s="8">
        <f>IF(B194="","",E194*F194)</f>
        <v/>
      </c>
      <c r="T194" s="8">
        <f>IF(OR(B194="",N(G194)=0),"",ABS(F194-G194)*E194)</f>
        <v/>
      </c>
      <c r="U194" s="8">
        <f>IF(OR(B194="",P194=""),"",IF(D194="Venda",-1,1)*((N(J194)*N(K194)+N(L194)*N(M194)+N(N194)*N(O194))-(N(J194)+N(L194)+N(N194))*F194)-N(Q194))</f>
        <v/>
      </c>
      <c r="V194" s="9">
        <f>IF(OR(B194="",P194=""),"",U194/S194)</f>
        <v/>
      </c>
      <c r="W194">
        <f>IF(OR(B194="",P194=""),"",P194-C194)</f>
        <v/>
      </c>
      <c r="X194">
        <f>IF(B194="","",IF(P194="","Aberto","Fechado"))</f>
        <v/>
      </c>
    </row>
    <row r="195">
      <c r="C195" s="6" t="n"/>
      <c r="E195" s="10" t="n"/>
      <c r="F195" s="11" t="n"/>
      <c r="G195" s="11" t="n"/>
      <c r="H195" s="11" t="n"/>
      <c r="J195" s="10" t="n"/>
      <c r="K195" s="11" t="n"/>
      <c r="L195" s="10" t="n"/>
      <c r="M195" s="11" t="n"/>
      <c r="N195" s="10" t="n"/>
      <c r="O195" s="11" t="n"/>
      <c r="P195" s="6" t="n"/>
      <c r="Q195" s="11" t="n"/>
      <c r="S195" s="8">
        <f>IF(B195="","",E195*F195)</f>
        <v/>
      </c>
      <c r="T195" s="8">
        <f>IF(OR(B195="",N(G195)=0),"",ABS(F195-G195)*E195)</f>
        <v/>
      </c>
      <c r="U195" s="8">
        <f>IF(OR(B195="",P195=""),"",IF(D195="Venda",-1,1)*((N(J195)*N(K195)+N(L195)*N(M195)+N(N195)*N(O195))-(N(J195)+N(L195)+N(N195))*F195)-N(Q195))</f>
        <v/>
      </c>
      <c r="V195" s="9">
        <f>IF(OR(B195="",P195=""),"",U195/S195)</f>
        <v/>
      </c>
      <c r="W195">
        <f>IF(OR(B195="",P195=""),"",P195-C195)</f>
        <v/>
      </c>
      <c r="X195">
        <f>IF(B195="","",IF(P195="","Aberto","Fechado"))</f>
        <v/>
      </c>
    </row>
    <row r="196">
      <c r="C196" s="6" t="n"/>
      <c r="E196" s="10" t="n"/>
      <c r="F196" s="11" t="n"/>
      <c r="G196" s="11" t="n"/>
      <c r="H196" s="11" t="n"/>
      <c r="J196" s="10" t="n"/>
      <c r="K196" s="11" t="n"/>
      <c r="L196" s="10" t="n"/>
      <c r="M196" s="11" t="n"/>
      <c r="N196" s="10" t="n"/>
      <c r="O196" s="11" t="n"/>
      <c r="P196" s="6" t="n"/>
      <c r="Q196" s="11" t="n"/>
      <c r="S196" s="8">
        <f>IF(B196="","",E196*F196)</f>
        <v/>
      </c>
      <c r="T196" s="8">
        <f>IF(OR(B196="",N(G196)=0),"",ABS(F196-G196)*E196)</f>
        <v/>
      </c>
      <c r="U196" s="8">
        <f>IF(OR(B196="",P196=""),"",IF(D196="Venda",-1,1)*((N(J196)*N(K196)+N(L196)*N(M196)+N(N196)*N(O196))-(N(J196)+N(L196)+N(N196))*F196)-N(Q196))</f>
        <v/>
      </c>
      <c r="V196" s="9">
        <f>IF(OR(B196="",P196=""),"",U196/S196)</f>
        <v/>
      </c>
      <c r="W196">
        <f>IF(OR(B196="",P196=""),"",P196-C196)</f>
        <v/>
      </c>
      <c r="X196">
        <f>IF(B196="","",IF(P196="","Aberto","Fechado"))</f>
        <v/>
      </c>
    </row>
    <row r="197">
      <c r="C197" s="6" t="n"/>
      <c r="E197" s="10" t="n"/>
      <c r="F197" s="11" t="n"/>
      <c r="G197" s="11" t="n"/>
      <c r="H197" s="11" t="n"/>
      <c r="J197" s="10" t="n"/>
      <c r="K197" s="11" t="n"/>
      <c r="L197" s="10" t="n"/>
      <c r="M197" s="11" t="n"/>
      <c r="N197" s="10" t="n"/>
      <c r="O197" s="11" t="n"/>
      <c r="P197" s="6" t="n"/>
      <c r="Q197" s="11" t="n"/>
      <c r="S197" s="8">
        <f>IF(B197="","",E197*F197)</f>
        <v/>
      </c>
      <c r="T197" s="8">
        <f>IF(OR(B197="",N(G197)=0),"",ABS(F197-G197)*E197)</f>
        <v/>
      </c>
      <c r="U197" s="8">
        <f>IF(OR(B197="",P197=""),"",IF(D197="Venda",-1,1)*((N(J197)*N(K197)+N(L197)*N(M197)+N(N197)*N(O197))-(N(J197)+N(L197)+N(N197))*F197)-N(Q197))</f>
        <v/>
      </c>
      <c r="V197" s="9">
        <f>IF(OR(B197="",P197=""),"",U197/S197)</f>
        <v/>
      </c>
      <c r="W197">
        <f>IF(OR(B197="",P197=""),"",P197-C197)</f>
        <v/>
      </c>
      <c r="X197">
        <f>IF(B197="","",IF(P197="","Aberto","Fechado"))</f>
        <v/>
      </c>
    </row>
    <row r="198">
      <c r="C198" s="6" t="n"/>
      <c r="E198" s="10" t="n"/>
      <c r="F198" s="11" t="n"/>
      <c r="G198" s="11" t="n"/>
      <c r="H198" s="11" t="n"/>
      <c r="J198" s="10" t="n"/>
      <c r="K198" s="11" t="n"/>
      <c r="L198" s="10" t="n"/>
      <c r="M198" s="11" t="n"/>
      <c r="N198" s="10" t="n"/>
      <c r="O198" s="11" t="n"/>
      <c r="P198" s="6" t="n"/>
      <c r="Q198" s="11" t="n"/>
      <c r="S198" s="8">
        <f>IF(B198="","",E198*F198)</f>
        <v/>
      </c>
      <c r="T198" s="8">
        <f>IF(OR(B198="",N(G198)=0),"",ABS(F198-G198)*E198)</f>
        <v/>
      </c>
      <c r="U198" s="8">
        <f>IF(OR(B198="",P198=""),"",IF(D198="Venda",-1,1)*((N(J198)*N(K198)+N(L198)*N(M198)+N(N198)*N(O198))-(N(J198)+N(L198)+N(N198))*F198)-N(Q198))</f>
        <v/>
      </c>
      <c r="V198" s="9">
        <f>IF(OR(B198="",P198=""),"",U198/S198)</f>
        <v/>
      </c>
      <c r="W198">
        <f>IF(OR(B198="",P198=""),"",P198-C198)</f>
        <v/>
      </c>
      <c r="X198">
        <f>IF(B198="","",IF(P198="","Aberto","Fechado"))</f>
        <v/>
      </c>
    </row>
    <row r="199">
      <c r="C199" s="6" t="n"/>
      <c r="E199" s="10" t="n"/>
      <c r="F199" s="11" t="n"/>
      <c r="G199" s="11" t="n"/>
      <c r="H199" s="11" t="n"/>
      <c r="J199" s="10" t="n"/>
      <c r="K199" s="11" t="n"/>
      <c r="L199" s="10" t="n"/>
      <c r="M199" s="11" t="n"/>
      <c r="N199" s="10" t="n"/>
      <c r="O199" s="11" t="n"/>
      <c r="P199" s="6" t="n"/>
      <c r="Q199" s="11" t="n"/>
      <c r="S199" s="8">
        <f>IF(B199="","",E199*F199)</f>
        <v/>
      </c>
      <c r="T199" s="8">
        <f>IF(OR(B199="",N(G199)=0),"",ABS(F199-G199)*E199)</f>
        <v/>
      </c>
      <c r="U199" s="8">
        <f>IF(OR(B199="",P199=""),"",IF(D199="Venda",-1,1)*((N(J199)*N(K199)+N(L199)*N(M199)+N(N199)*N(O199))-(N(J199)+N(L199)+N(N199))*F199)-N(Q199))</f>
        <v/>
      </c>
      <c r="V199" s="9">
        <f>IF(OR(B199="",P199=""),"",U199/S199)</f>
        <v/>
      </c>
      <c r="W199">
        <f>IF(OR(B199="",P199=""),"",P199-C199)</f>
        <v/>
      </c>
      <c r="X199">
        <f>IF(B199="","",IF(P199="","Aberto","Fechado"))</f>
        <v/>
      </c>
    </row>
    <row r="200">
      <c r="C200" s="6" t="n"/>
      <c r="E200" s="10" t="n"/>
      <c r="F200" s="11" t="n"/>
      <c r="G200" s="11" t="n"/>
      <c r="H200" s="11" t="n"/>
      <c r="J200" s="10" t="n"/>
      <c r="K200" s="11" t="n"/>
      <c r="L200" s="10" t="n"/>
      <c r="M200" s="11" t="n"/>
      <c r="N200" s="10" t="n"/>
      <c r="O200" s="11" t="n"/>
      <c r="P200" s="6" t="n"/>
      <c r="Q200" s="11" t="n"/>
      <c r="S200" s="8">
        <f>IF(B200="","",E200*F200)</f>
        <v/>
      </c>
      <c r="T200" s="8">
        <f>IF(OR(B200="",N(G200)=0),"",ABS(F200-G200)*E200)</f>
        <v/>
      </c>
      <c r="U200" s="8">
        <f>IF(OR(B200="",P200=""),"",IF(D200="Venda",-1,1)*((N(J200)*N(K200)+N(L200)*N(M200)+N(N200)*N(O200))-(N(J200)+N(L200)+N(N200))*F200)-N(Q200))</f>
        <v/>
      </c>
      <c r="V200" s="9">
        <f>IF(OR(B200="",P200=""),"",U200/S200)</f>
        <v/>
      </c>
      <c r="W200">
        <f>IF(OR(B200="",P200=""),"",P200-C200)</f>
        <v/>
      </c>
      <c r="X200">
        <f>IF(B200="","",IF(P200="","Aberto","Fechado"))</f>
        <v/>
      </c>
    </row>
    <row r="201">
      <c r="C201" s="6" t="n"/>
      <c r="E201" s="10" t="n"/>
      <c r="F201" s="11" t="n"/>
      <c r="G201" s="11" t="n"/>
      <c r="H201" s="11" t="n"/>
      <c r="J201" s="10" t="n"/>
      <c r="K201" s="11" t="n"/>
      <c r="L201" s="10" t="n"/>
      <c r="M201" s="11" t="n"/>
      <c r="N201" s="10" t="n"/>
      <c r="O201" s="11" t="n"/>
      <c r="P201" s="6" t="n"/>
      <c r="Q201" s="11" t="n"/>
      <c r="S201" s="8">
        <f>IF(B201="","",E201*F201)</f>
        <v/>
      </c>
      <c r="T201" s="8">
        <f>IF(OR(B201="",N(G201)=0),"",ABS(F201-G201)*E201)</f>
        <v/>
      </c>
      <c r="U201" s="8">
        <f>IF(OR(B201="",P201=""),"",IF(D201="Venda",-1,1)*((N(J201)*N(K201)+N(L201)*N(M201)+N(N201)*N(O201))-(N(J201)+N(L201)+N(N201))*F201)-N(Q201))</f>
        <v/>
      </c>
      <c r="V201" s="9">
        <f>IF(OR(B201="",P201=""),"",U201/S201)</f>
        <v/>
      </c>
      <c r="W201">
        <f>IF(OR(B201="",P201=""),"",P201-C201)</f>
        <v/>
      </c>
      <c r="X201">
        <f>IF(B201="","",IF(P201="","Aberto","Fechado"))</f>
        <v/>
      </c>
    </row>
    <row r="202">
      <c r="C202" s="6" t="n"/>
      <c r="E202" s="10" t="n"/>
      <c r="F202" s="11" t="n"/>
      <c r="G202" s="11" t="n"/>
      <c r="H202" s="11" t="n"/>
      <c r="J202" s="10" t="n"/>
      <c r="K202" s="11" t="n"/>
      <c r="L202" s="10" t="n"/>
      <c r="M202" s="11" t="n"/>
      <c r="N202" s="10" t="n"/>
      <c r="O202" s="11" t="n"/>
      <c r="P202" s="6" t="n"/>
      <c r="Q202" s="11" t="n"/>
      <c r="S202" s="8">
        <f>IF(B202="","",E202*F202)</f>
        <v/>
      </c>
      <c r="T202" s="8">
        <f>IF(OR(B202="",N(G202)=0),"",ABS(F202-G202)*E202)</f>
        <v/>
      </c>
      <c r="U202" s="8">
        <f>IF(OR(B202="",P202=""),"",IF(D202="Venda",-1,1)*((N(J202)*N(K202)+N(L202)*N(M202)+N(N202)*N(O202))-(N(J202)+N(L202)+N(N202))*F202)-N(Q202))</f>
        <v/>
      </c>
      <c r="V202" s="9">
        <f>IF(OR(B202="",P202=""),"",U202/S202)</f>
        <v/>
      </c>
      <c r="W202">
        <f>IF(OR(B202="",P202=""),"",P202-C202)</f>
        <v/>
      </c>
      <c r="X202">
        <f>IF(B202="","",IF(P202="","Aberto","Fechado"))</f>
        <v/>
      </c>
    </row>
    <row r="203">
      <c r="C203" s="6" t="n"/>
      <c r="E203" s="10" t="n"/>
      <c r="F203" s="11" t="n"/>
      <c r="G203" s="11" t="n"/>
      <c r="H203" s="11" t="n"/>
      <c r="J203" s="10" t="n"/>
      <c r="K203" s="11" t="n"/>
      <c r="L203" s="10" t="n"/>
      <c r="M203" s="11" t="n"/>
      <c r="N203" s="10" t="n"/>
      <c r="O203" s="11" t="n"/>
      <c r="P203" s="6" t="n"/>
      <c r="Q203" s="11" t="n"/>
      <c r="S203" s="8">
        <f>IF(B203="","",E203*F203)</f>
        <v/>
      </c>
      <c r="T203" s="8">
        <f>IF(OR(B203="",N(G203)=0),"",ABS(F203-G203)*E203)</f>
        <v/>
      </c>
      <c r="U203" s="8">
        <f>IF(OR(B203="",P203=""),"",IF(D203="Venda",-1,1)*((N(J203)*N(K203)+N(L203)*N(M203)+N(N203)*N(O203))-(N(J203)+N(L203)+N(N203))*F203)-N(Q203))</f>
        <v/>
      </c>
      <c r="V203" s="9">
        <f>IF(OR(B203="",P203=""),"",U203/S203)</f>
        <v/>
      </c>
      <c r="W203">
        <f>IF(OR(B203="",P203=""),"",P203-C203)</f>
        <v/>
      </c>
      <c r="X203">
        <f>IF(B203="","",IF(P203="","Aberto","Fechado"))</f>
        <v/>
      </c>
    </row>
    <row r="204">
      <c r="C204" s="6" t="n"/>
      <c r="E204" s="10" t="n"/>
      <c r="F204" s="11" t="n"/>
      <c r="G204" s="11" t="n"/>
      <c r="H204" s="11" t="n"/>
      <c r="J204" s="10" t="n"/>
      <c r="K204" s="11" t="n"/>
      <c r="L204" s="10" t="n"/>
      <c r="M204" s="11" t="n"/>
      <c r="N204" s="10" t="n"/>
      <c r="O204" s="11" t="n"/>
      <c r="P204" s="6" t="n"/>
      <c r="Q204" s="11" t="n"/>
      <c r="S204" s="8">
        <f>IF(B204="","",E204*F204)</f>
        <v/>
      </c>
      <c r="T204" s="8">
        <f>IF(OR(B204="",N(G204)=0),"",ABS(F204-G204)*E204)</f>
        <v/>
      </c>
      <c r="U204" s="8">
        <f>IF(OR(B204="",P204=""),"",IF(D204="Venda",-1,1)*((N(J204)*N(K204)+N(L204)*N(M204)+N(N204)*N(O204))-(N(J204)+N(L204)+N(N204))*F204)-N(Q204))</f>
        <v/>
      </c>
      <c r="V204" s="9">
        <f>IF(OR(B204="",P204=""),"",U204/S204)</f>
        <v/>
      </c>
      <c r="W204">
        <f>IF(OR(B204="",P204=""),"",P204-C204)</f>
        <v/>
      </c>
      <c r="X204">
        <f>IF(B204="","",IF(P204="","Aberto","Fechado"))</f>
        <v/>
      </c>
    </row>
    <row r="205">
      <c r="C205" s="6" t="n"/>
      <c r="E205" s="10" t="n"/>
      <c r="F205" s="11" t="n"/>
      <c r="G205" s="11" t="n"/>
      <c r="H205" s="11" t="n"/>
      <c r="J205" s="10" t="n"/>
      <c r="K205" s="11" t="n"/>
      <c r="L205" s="10" t="n"/>
      <c r="M205" s="11" t="n"/>
      <c r="N205" s="10" t="n"/>
      <c r="O205" s="11" t="n"/>
      <c r="P205" s="6" t="n"/>
      <c r="Q205" s="11" t="n"/>
      <c r="S205" s="8">
        <f>IF(B205="","",E205*F205)</f>
        <v/>
      </c>
      <c r="T205" s="8">
        <f>IF(OR(B205="",N(G205)=0),"",ABS(F205-G205)*E205)</f>
        <v/>
      </c>
      <c r="U205" s="8">
        <f>IF(OR(B205="",P205=""),"",IF(D205="Venda",-1,1)*((N(J205)*N(K205)+N(L205)*N(M205)+N(N205)*N(O205))-(N(J205)+N(L205)+N(N205))*F205)-N(Q205))</f>
        <v/>
      </c>
      <c r="V205" s="9">
        <f>IF(OR(B205="",P205=""),"",U205/S205)</f>
        <v/>
      </c>
      <c r="W205">
        <f>IF(OR(B205="",P205=""),"",P205-C205)</f>
        <v/>
      </c>
      <c r="X205">
        <f>IF(B205="","",IF(P205="","Aberto","Fechado"))</f>
        <v/>
      </c>
    </row>
    <row r="206">
      <c r="C206" s="6" t="n"/>
      <c r="E206" s="10" t="n"/>
      <c r="F206" s="11" t="n"/>
      <c r="G206" s="11" t="n"/>
      <c r="H206" s="11" t="n"/>
      <c r="J206" s="10" t="n"/>
      <c r="K206" s="11" t="n"/>
      <c r="L206" s="10" t="n"/>
      <c r="M206" s="11" t="n"/>
      <c r="N206" s="10" t="n"/>
      <c r="O206" s="11" t="n"/>
      <c r="P206" s="6" t="n"/>
      <c r="Q206" s="11" t="n"/>
      <c r="S206" s="8">
        <f>IF(B206="","",E206*F206)</f>
        <v/>
      </c>
      <c r="T206" s="8">
        <f>IF(OR(B206="",N(G206)=0),"",ABS(F206-G206)*E206)</f>
        <v/>
      </c>
      <c r="U206" s="8">
        <f>IF(OR(B206="",P206=""),"",IF(D206="Venda",-1,1)*((N(J206)*N(K206)+N(L206)*N(M206)+N(N206)*N(O206))-(N(J206)+N(L206)+N(N206))*F206)-N(Q206))</f>
        <v/>
      </c>
      <c r="V206" s="9">
        <f>IF(OR(B206="",P206=""),"",U206/S206)</f>
        <v/>
      </c>
      <c r="W206">
        <f>IF(OR(B206="",P206=""),"",P206-C206)</f>
        <v/>
      </c>
      <c r="X206">
        <f>IF(B206="","",IF(P206="","Aberto","Fechado"))</f>
        <v/>
      </c>
    </row>
    <row r="207">
      <c r="C207" s="6" t="n"/>
      <c r="E207" s="10" t="n"/>
      <c r="F207" s="11" t="n"/>
      <c r="G207" s="11" t="n"/>
      <c r="H207" s="11" t="n"/>
      <c r="J207" s="10" t="n"/>
      <c r="K207" s="11" t="n"/>
      <c r="L207" s="10" t="n"/>
      <c r="M207" s="11" t="n"/>
      <c r="N207" s="10" t="n"/>
      <c r="O207" s="11" t="n"/>
      <c r="P207" s="6" t="n"/>
      <c r="Q207" s="11" t="n"/>
      <c r="S207" s="8">
        <f>IF(B207="","",E207*F207)</f>
        <v/>
      </c>
      <c r="T207" s="8">
        <f>IF(OR(B207="",N(G207)=0),"",ABS(F207-G207)*E207)</f>
        <v/>
      </c>
      <c r="U207" s="8">
        <f>IF(OR(B207="",P207=""),"",IF(D207="Venda",-1,1)*((N(J207)*N(K207)+N(L207)*N(M207)+N(N207)*N(O207))-(N(J207)+N(L207)+N(N207))*F207)-N(Q207))</f>
        <v/>
      </c>
      <c r="V207" s="9">
        <f>IF(OR(B207="",P207=""),"",U207/S207)</f>
        <v/>
      </c>
      <c r="W207">
        <f>IF(OR(B207="",P207=""),"",P207-C207)</f>
        <v/>
      </c>
      <c r="X207">
        <f>IF(B207="","",IF(P207="","Aberto","Fechado"))</f>
        <v/>
      </c>
    </row>
    <row r="208">
      <c r="C208" s="6" t="n"/>
      <c r="E208" s="10" t="n"/>
      <c r="F208" s="11" t="n"/>
      <c r="G208" s="11" t="n"/>
      <c r="H208" s="11" t="n"/>
      <c r="J208" s="10" t="n"/>
      <c r="K208" s="11" t="n"/>
      <c r="L208" s="10" t="n"/>
      <c r="M208" s="11" t="n"/>
      <c r="N208" s="10" t="n"/>
      <c r="O208" s="11" t="n"/>
      <c r="P208" s="6" t="n"/>
      <c r="Q208" s="11" t="n"/>
      <c r="S208" s="8">
        <f>IF(B208="","",E208*F208)</f>
        <v/>
      </c>
      <c r="T208" s="8">
        <f>IF(OR(B208="",N(G208)=0),"",ABS(F208-G208)*E208)</f>
        <v/>
      </c>
      <c r="U208" s="8">
        <f>IF(OR(B208="",P208=""),"",IF(D208="Venda",-1,1)*((N(J208)*N(K208)+N(L208)*N(M208)+N(N208)*N(O208))-(N(J208)+N(L208)+N(N208))*F208)-N(Q208))</f>
        <v/>
      </c>
      <c r="V208" s="9">
        <f>IF(OR(B208="",P208=""),"",U208/S208)</f>
        <v/>
      </c>
      <c r="W208">
        <f>IF(OR(B208="",P208=""),"",P208-C208)</f>
        <v/>
      </c>
      <c r="X208">
        <f>IF(B208="","",IF(P208="","Aberto","Fechado"))</f>
        <v/>
      </c>
    </row>
    <row r="209">
      <c r="C209" s="6" t="n"/>
      <c r="E209" s="10" t="n"/>
      <c r="F209" s="11" t="n"/>
      <c r="G209" s="11" t="n"/>
      <c r="H209" s="11" t="n"/>
      <c r="J209" s="10" t="n"/>
      <c r="K209" s="11" t="n"/>
      <c r="L209" s="10" t="n"/>
      <c r="M209" s="11" t="n"/>
      <c r="N209" s="10" t="n"/>
      <c r="O209" s="11" t="n"/>
      <c r="P209" s="6" t="n"/>
      <c r="Q209" s="11" t="n"/>
      <c r="S209" s="8">
        <f>IF(B209="","",E209*F209)</f>
        <v/>
      </c>
      <c r="T209" s="8">
        <f>IF(OR(B209="",N(G209)=0),"",ABS(F209-G209)*E209)</f>
        <v/>
      </c>
      <c r="U209" s="8">
        <f>IF(OR(B209="",P209=""),"",IF(D209="Venda",-1,1)*((N(J209)*N(K209)+N(L209)*N(M209)+N(N209)*N(O209))-(N(J209)+N(L209)+N(N209))*F209)-N(Q209))</f>
        <v/>
      </c>
      <c r="V209" s="9">
        <f>IF(OR(B209="",P209=""),"",U209/S209)</f>
        <v/>
      </c>
      <c r="W209">
        <f>IF(OR(B209="",P209=""),"",P209-C209)</f>
        <v/>
      </c>
      <c r="X209">
        <f>IF(B209="","",IF(P209="","Aberto","Fechado"))</f>
        <v/>
      </c>
    </row>
    <row r="210">
      <c r="C210" s="6" t="n"/>
      <c r="E210" s="10" t="n"/>
      <c r="F210" s="11" t="n"/>
      <c r="G210" s="11" t="n"/>
      <c r="H210" s="11" t="n"/>
      <c r="J210" s="10" t="n"/>
      <c r="K210" s="11" t="n"/>
      <c r="L210" s="10" t="n"/>
      <c r="M210" s="11" t="n"/>
      <c r="N210" s="10" t="n"/>
      <c r="O210" s="11" t="n"/>
      <c r="P210" s="6" t="n"/>
      <c r="Q210" s="11" t="n"/>
      <c r="S210" s="8">
        <f>IF(B210="","",E210*F210)</f>
        <v/>
      </c>
      <c r="T210" s="8">
        <f>IF(OR(B210="",N(G210)=0),"",ABS(F210-G210)*E210)</f>
        <v/>
      </c>
      <c r="U210" s="8">
        <f>IF(OR(B210="",P210=""),"",IF(D210="Venda",-1,1)*((N(J210)*N(K210)+N(L210)*N(M210)+N(N210)*N(O210))-(N(J210)+N(L210)+N(N210))*F210)-N(Q210))</f>
        <v/>
      </c>
      <c r="V210" s="9">
        <f>IF(OR(B210="",P210=""),"",U210/S210)</f>
        <v/>
      </c>
      <c r="W210">
        <f>IF(OR(B210="",P210=""),"",P210-C210)</f>
        <v/>
      </c>
      <c r="X210">
        <f>IF(B210="","",IF(P210="","Aberto","Fechado"))</f>
        <v/>
      </c>
    </row>
    <row r="211">
      <c r="C211" s="6" t="n"/>
      <c r="E211" s="10" t="n"/>
      <c r="F211" s="11" t="n"/>
      <c r="G211" s="11" t="n"/>
      <c r="H211" s="11" t="n"/>
      <c r="J211" s="10" t="n"/>
      <c r="K211" s="11" t="n"/>
      <c r="L211" s="10" t="n"/>
      <c r="M211" s="11" t="n"/>
      <c r="N211" s="10" t="n"/>
      <c r="O211" s="11" t="n"/>
      <c r="P211" s="6" t="n"/>
      <c r="Q211" s="11" t="n"/>
      <c r="S211" s="8">
        <f>IF(B211="","",E211*F211)</f>
        <v/>
      </c>
      <c r="T211" s="8">
        <f>IF(OR(B211="",N(G211)=0),"",ABS(F211-G211)*E211)</f>
        <v/>
      </c>
      <c r="U211" s="8">
        <f>IF(OR(B211="",P211=""),"",IF(D211="Venda",-1,1)*((N(J211)*N(K211)+N(L211)*N(M211)+N(N211)*N(O211))-(N(J211)+N(L211)+N(N211))*F211)-N(Q211))</f>
        <v/>
      </c>
      <c r="V211" s="9">
        <f>IF(OR(B211="",P211=""),"",U211/S211)</f>
        <v/>
      </c>
      <c r="W211">
        <f>IF(OR(B211="",P211=""),"",P211-C211)</f>
        <v/>
      </c>
      <c r="X211">
        <f>IF(B211="","",IF(P211="","Aberto","Fechado"))</f>
        <v/>
      </c>
    </row>
    <row r="212">
      <c r="C212" s="6" t="n"/>
      <c r="E212" s="10" t="n"/>
      <c r="F212" s="11" t="n"/>
      <c r="G212" s="11" t="n"/>
      <c r="H212" s="11" t="n"/>
      <c r="J212" s="10" t="n"/>
      <c r="K212" s="11" t="n"/>
      <c r="L212" s="10" t="n"/>
      <c r="M212" s="11" t="n"/>
      <c r="N212" s="10" t="n"/>
      <c r="O212" s="11" t="n"/>
      <c r="P212" s="6" t="n"/>
      <c r="Q212" s="11" t="n"/>
      <c r="S212" s="8">
        <f>IF(B212="","",E212*F212)</f>
        <v/>
      </c>
      <c r="T212" s="8">
        <f>IF(OR(B212="",N(G212)=0),"",ABS(F212-G212)*E212)</f>
        <v/>
      </c>
      <c r="U212" s="8">
        <f>IF(OR(B212="",P212=""),"",IF(D212="Venda",-1,1)*((N(J212)*N(K212)+N(L212)*N(M212)+N(N212)*N(O212))-(N(J212)+N(L212)+N(N212))*F212)-N(Q212))</f>
        <v/>
      </c>
      <c r="V212" s="9">
        <f>IF(OR(B212="",P212=""),"",U212/S212)</f>
        <v/>
      </c>
      <c r="W212">
        <f>IF(OR(B212="",P212=""),"",P212-C212)</f>
        <v/>
      </c>
      <c r="X212">
        <f>IF(B212="","",IF(P212="","Aberto","Fechado"))</f>
        <v/>
      </c>
    </row>
    <row r="213">
      <c r="C213" s="6" t="n"/>
      <c r="E213" s="10" t="n"/>
      <c r="F213" s="11" t="n"/>
      <c r="G213" s="11" t="n"/>
      <c r="H213" s="11" t="n"/>
      <c r="J213" s="10" t="n"/>
      <c r="K213" s="11" t="n"/>
      <c r="L213" s="10" t="n"/>
      <c r="M213" s="11" t="n"/>
      <c r="N213" s="10" t="n"/>
      <c r="O213" s="11" t="n"/>
      <c r="P213" s="6" t="n"/>
      <c r="Q213" s="11" t="n"/>
      <c r="S213" s="8">
        <f>IF(B213="","",E213*F213)</f>
        <v/>
      </c>
      <c r="T213" s="8">
        <f>IF(OR(B213="",N(G213)=0),"",ABS(F213-G213)*E213)</f>
        <v/>
      </c>
      <c r="U213" s="8">
        <f>IF(OR(B213="",P213=""),"",IF(D213="Venda",-1,1)*((N(J213)*N(K213)+N(L213)*N(M213)+N(N213)*N(O213))-(N(J213)+N(L213)+N(N213))*F213)-N(Q213))</f>
        <v/>
      </c>
      <c r="V213" s="9">
        <f>IF(OR(B213="",P213=""),"",U213/S213)</f>
        <v/>
      </c>
      <c r="W213">
        <f>IF(OR(B213="",P213=""),"",P213-C213)</f>
        <v/>
      </c>
      <c r="X213">
        <f>IF(B213="","",IF(P213="","Aberto","Fechado"))</f>
        <v/>
      </c>
    </row>
    <row r="214">
      <c r="C214" s="6" t="n"/>
      <c r="E214" s="10" t="n"/>
      <c r="F214" s="11" t="n"/>
      <c r="G214" s="11" t="n"/>
      <c r="H214" s="11" t="n"/>
      <c r="J214" s="10" t="n"/>
      <c r="K214" s="11" t="n"/>
      <c r="L214" s="10" t="n"/>
      <c r="M214" s="11" t="n"/>
      <c r="N214" s="10" t="n"/>
      <c r="O214" s="11" t="n"/>
      <c r="P214" s="6" t="n"/>
      <c r="Q214" s="11" t="n"/>
      <c r="S214" s="8">
        <f>IF(B214="","",E214*F214)</f>
        <v/>
      </c>
      <c r="T214" s="8">
        <f>IF(OR(B214="",N(G214)=0),"",ABS(F214-G214)*E214)</f>
        <v/>
      </c>
      <c r="U214" s="8">
        <f>IF(OR(B214="",P214=""),"",IF(D214="Venda",-1,1)*((N(J214)*N(K214)+N(L214)*N(M214)+N(N214)*N(O214))-(N(J214)+N(L214)+N(N214))*F214)-N(Q214))</f>
        <v/>
      </c>
      <c r="V214" s="9">
        <f>IF(OR(B214="",P214=""),"",U214/S214)</f>
        <v/>
      </c>
      <c r="W214">
        <f>IF(OR(B214="",P214=""),"",P214-C214)</f>
        <v/>
      </c>
      <c r="X214">
        <f>IF(B214="","",IF(P214="","Aberto","Fechado"))</f>
        <v/>
      </c>
    </row>
    <row r="215">
      <c r="C215" s="6" t="n"/>
      <c r="E215" s="10" t="n"/>
      <c r="F215" s="11" t="n"/>
      <c r="G215" s="11" t="n"/>
      <c r="H215" s="11" t="n"/>
      <c r="J215" s="10" t="n"/>
      <c r="K215" s="11" t="n"/>
      <c r="L215" s="10" t="n"/>
      <c r="M215" s="11" t="n"/>
      <c r="N215" s="10" t="n"/>
      <c r="O215" s="11" t="n"/>
      <c r="P215" s="6" t="n"/>
      <c r="Q215" s="11" t="n"/>
      <c r="S215" s="8">
        <f>IF(B215="","",E215*F215)</f>
        <v/>
      </c>
      <c r="T215" s="8">
        <f>IF(OR(B215="",N(G215)=0),"",ABS(F215-G215)*E215)</f>
        <v/>
      </c>
      <c r="U215" s="8">
        <f>IF(OR(B215="",P215=""),"",IF(D215="Venda",-1,1)*((N(J215)*N(K215)+N(L215)*N(M215)+N(N215)*N(O215))-(N(J215)+N(L215)+N(N215))*F215)-N(Q215))</f>
        <v/>
      </c>
      <c r="V215" s="9">
        <f>IF(OR(B215="",P215=""),"",U215/S215)</f>
        <v/>
      </c>
      <c r="W215">
        <f>IF(OR(B215="",P215=""),"",P215-C215)</f>
        <v/>
      </c>
      <c r="X215">
        <f>IF(B215="","",IF(P215="","Aberto","Fechado"))</f>
        <v/>
      </c>
    </row>
    <row r="216">
      <c r="C216" s="6" t="n"/>
      <c r="E216" s="10" t="n"/>
      <c r="F216" s="11" t="n"/>
      <c r="G216" s="11" t="n"/>
      <c r="H216" s="11" t="n"/>
      <c r="J216" s="10" t="n"/>
      <c r="K216" s="11" t="n"/>
      <c r="L216" s="10" t="n"/>
      <c r="M216" s="11" t="n"/>
      <c r="N216" s="10" t="n"/>
      <c r="O216" s="11" t="n"/>
      <c r="P216" s="6" t="n"/>
      <c r="Q216" s="11" t="n"/>
      <c r="S216" s="8">
        <f>IF(B216="","",E216*F216)</f>
        <v/>
      </c>
      <c r="T216" s="8">
        <f>IF(OR(B216="",N(G216)=0),"",ABS(F216-G216)*E216)</f>
        <v/>
      </c>
      <c r="U216" s="8">
        <f>IF(OR(B216="",P216=""),"",IF(D216="Venda",-1,1)*((N(J216)*N(K216)+N(L216)*N(M216)+N(N216)*N(O216))-(N(J216)+N(L216)+N(N216))*F216)-N(Q216))</f>
        <v/>
      </c>
      <c r="V216" s="9">
        <f>IF(OR(B216="",P216=""),"",U216/S216)</f>
        <v/>
      </c>
      <c r="W216">
        <f>IF(OR(B216="",P216=""),"",P216-C216)</f>
        <v/>
      </c>
      <c r="X216">
        <f>IF(B216="","",IF(P216="","Aberto","Fechado"))</f>
        <v/>
      </c>
    </row>
    <row r="217">
      <c r="C217" s="6" t="n"/>
      <c r="E217" s="10" t="n"/>
      <c r="F217" s="11" t="n"/>
      <c r="G217" s="11" t="n"/>
      <c r="H217" s="11" t="n"/>
      <c r="J217" s="10" t="n"/>
      <c r="K217" s="11" t="n"/>
      <c r="L217" s="10" t="n"/>
      <c r="M217" s="11" t="n"/>
      <c r="N217" s="10" t="n"/>
      <c r="O217" s="11" t="n"/>
      <c r="P217" s="6" t="n"/>
      <c r="Q217" s="11" t="n"/>
      <c r="S217" s="8">
        <f>IF(B217="","",E217*F217)</f>
        <v/>
      </c>
      <c r="T217" s="8">
        <f>IF(OR(B217="",N(G217)=0),"",ABS(F217-G217)*E217)</f>
        <v/>
      </c>
      <c r="U217" s="8">
        <f>IF(OR(B217="",P217=""),"",IF(D217="Venda",-1,1)*((N(J217)*N(K217)+N(L217)*N(M217)+N(N217)*N(O217))-(N(J217)+N(L217)+N(N217))*F217)-N(Q217))</f>
        <v/>
      </c>
      <c r="V217" s="9">
        <f>IF(OR(B217="",P217=""),"",U217/S217)</f>
        <v/>
      </c>
      <c r="W217">
        <f>IF(OR(B217="",P217=""),"",P217-C217)</f>
        <v/>
      </c>
      <c r="X217">
        <f>IF(B217="","",IF(P217="","Aberto","Fechado"))</f>
        <v/>
      </c>
    </row>
    <row r="218">
      <c r="C218" s="6" t="n"/>
      <c r="E218" s="10" t="n"/>
      <c r="F218" s="11" t="n"/>
      <c r="G218" s="11" t="n"/>
      <c r="H218" s="11" t="n"/>
      <c r="J218" s="10" t="n"/>
      <c r="K218" s="11" t="n"/>
      <c r="L218" s="10" t="n"/>
      <c r="M218" s="11" t="n"/>
      <c r="N218" s="10" t="n"/>
      <c r="O218" s="11" t="n"/>
      <c r="P218" s="6" t="n"/>
      <c r="Q218" s="11" t="n"/>
      <c r="S218" s="8">
        <f>IF(B218="","",E218*F218)</f>
        <v/>
      </c>
      <c r="T218" s="8">
        <f>IF(OR(B218="",N(G218)=0),"",ABS(F218-G218)*E218)</f>
        <v/>
      </c>
      <c r="U218" s="8">
        <f>IF(OR(B218="",P218=""),"",IF(D218="Venda",-1,1)*((N(J218)*N(K218)+N(L218)*N(M218)+N(N218)*N(O218))-(N(J218)+N(L218)+N(N218))*F218)-N(Q218))</f>
        <v/>
      </c>
      <c r="V218" s="9">
        <f>IF(OR(B218="",P218=""),"",U218/S218)</f>
        <v/>
      </c>
      <c r="W218">
        <f>IF(OR(B218="",P218=""),"",P218-C218)</f>
        <v/>
      </c>
      <c r="X218">
        <f>IF(B218="","",IF(P218="","Aberto","Fechado"))</f>
        <v/>
      </c>
    </row>
    <row r="219">
      <c r="C219" s="6" t="n"/>
      <c r="E219" s="10" t="n"/>
      <c r="F219" s="11" t="n"/>
      <c r="G219" s="11" t="n"/>
      <c r="H219" s="11" t="n"/>
      <c r="J219" s="10" t="n"/>
      <c r="K219" s="11" t="n"/>
      <c r="L219" s="10" t="n"/>
      <c r="M219" s="11" t="n"/>
      <c r="N219" s="10" t="n"/>
      <c r="O219" s="11" t="n"/>
      <c r="P219" s="6" t="n"/>
      <c r="Q219" s="11" t="n"/>
      <c r="S219" s="8">
        <f>IF(B219="","",E219*F219)</f>
        <v/>
      </c>
      <c r="T219" s="8">
        <f>IF(OR(B219="",N(G219)=0),"",ABS(F219-G219)*E219)</f>
        <v/>
      </c>
      <c r="U219" s="8">
        <f>IF(OR(B219="",P219=""),"",IF(D219="Venda",-1,1)*((N(J219)*N(K219)+N(L219)*N(M219)+N(N219)*N(O219))-(N(J219)+N(L219)+N(N219))*F219)-N(Q219))</f>
        <v/>
      </c>
      <c r="V219" s="9">
        <f>IF(OR(B219="",P219=""),"",U219/S219)</f>
        <v/>
      </c>
      <c r="W219">
        <f>IF(OR(B219="",P219=""),"",P219-C219)</f>
        <v/>
      </c>
      <c r="X219">
        <f>IF(B219="","",IF(P219="","Aberto","Fechado"))</f>
        <v/>
      </c>
    </row>
    <row r="220">
      <c r="C220" s="6" t="n"/>
      <c r="E220" s="10" t="n"/>
      <c r="F220" s="11" t="n"/>
      <c r="G220" s="11" t="n"/>
      <c r="H220" s="11" t="n"/>
      <c r="J220" s="10" t="n"/>
      <c r="K220" s="11" t="n"/>
      <c r="L220" s="10" t="n"/>
      <c r="M220" s="11" t="n"/>
      <c r="N220" s="10" t="n"/>
      <c r="O220" s="11" t="n"/>
      <c r="P220" s="6" t="n"/>
      <c r="Q220" s="11" t="n"/>
      <c r="S220" s="8">
        <f>IF(B220="","",E220*F220)</f>
        <v/>
      </c>
      <c r="T220" s="8">
        <f>IF(OR(B220="",N(G220)=0),"",ABS(F220-G220)*E220)</f>
        <v/>
      </c>
      <c r="U220" s="8">
        <f>IF(OR(B220="",P220=""),"",IF(D220="Venda",-1,1)*((N(J220)*N(K220)+N(L220)*N(M220)+N(N220)*N(O220))-(N(J220)+N(L220)+N(N220))*F220)-N(Q220))</f>
        <v/>
      </c>
      <c r="V220" s="9">
        <f>IF(OR(B220="",P220=""),"",U220/S220)</f>
        <v/>
      </c>
      <c r="W220">
        <f>IF(OR(B220="",P220=""),"",P220-C220)</f>
        <v/>
      </c>
      <c r="X220">
        <f>IF(B220="","",IF(P220="","Aberto","Fechado"))</f>
        <v/>
      </c>
    </row>
    <row r="221">
      <c r="C221" s="6" t="n"/>
      <c r="E221" s="10" t="n"/>
      <c r="F221" s="11" t="n"/>
      <c r="G221" s="11" t="n"/>
      <c r="H221" s="11" t="n"/>
      <c r="J221" s="10" t="n"/>
      <c r="K221" s="11" t="n"/>
      <c r="L221" s="10" t="n"/>
      <c r="M221" s="11" t="n"/>
      <c r="N221" s="10" t="n"/>
      <c r="O221" s="11" t="n"/>
      <c r="P221" s="6" t="n"/>
      <c r="Q221" s="11" t="n"/>
      <c r="S221" s="8">
        <f>IF(B221="","",E221*F221)</f>
        <v/>
      </c>
      <c r="T221" s="8">
        <f>IF(OR(B221="",N(G221)=0),"",ABS(F221-G221)*E221)</f>
        <v/>
      </c>
      <c r="U221" s="8">
        <f>IF(OR(B221="",P221=""),"",IF(D221="Venda",-1,1)*((N(J221)*N(K221)+N(L221)*N(M221)+N(N221)*N(O221))-(N(J221)+N(L221)+N(N221))*F221)-N(Q221))</f>
        <v/>
      </c>
      <c r="V221" s="9">
        <f>IF(OR(B221="",P221=""),"",U221/S221)</f>
        <v/>
      </c>
      <c r="W221">
        <f>IF(OR(B221="",P221=""),"",P221-C221)</f>
        <v/>
      </c>
      <c r="X221">
        <f>IF(B221="","",IF(P221="","Aberto","Fechado"))</f>
        <v/>
      </c>
    </row>
    <row r="222">
      <c r="C222" s="6" t="n"/>
      <c r="E222" s="10" t="n"/>
      <c r="F222" s="11" t="n"/>
      <c r="G222" s="11" t="n"/>
      <c r="H222" s="11" t="n"/>
      <c r="J222" s="10" t="n"/>
      <c r="K222" s="11" t="n"/>
      <c r="L222" s="10" t="n"/>
      <c r="M222" s="11" t="n"/>
      <c r="N222" s="10" t="n"/>
      <c r="O222" s="11" t="n"/>
      <c r="P222" s="6" t="n"/>
      <c r="Q222" s="11" t="n"/>
      <c r="S222" s="8">
        <f>IF(B222="","",E222*F222)</f>
        <v/>
      </c>
      <c r="T222" s="8">
        <f>IF(OR(B222="",N(G222)=0),"",ABS(F222-G222)*E222)</f>
        <v/>
      </c>
      <c r="U222" s="8">
        <f>IF(OR(B222="",P222=""),"",IF(D222="Venda",-1,1)*((N(J222)*N(K222)+N(L222)*N(M222)+N(N222)*N(O222))-(N(J222)+N(L222)+N(N222))*F222)-N(Q222))</f>
        <v/>
      </c>
      <c r="V222" s="9">
        <f>IF(OR(B222="",P222=""),"",U222/S222)</f>
        <v/>
      </c>
      <c r="W222">
        <f>IF(OR(B222="",P222=""),"",P222-C222)</f>
        <v/>
      </c>
      <c r="X222">
        <f>IF(B222="","",IF(P222="","Aberto","Fechado"))</f>
        <v/>
      </c>
    </row>
    <row r="223">
      <c r="C223" s="6" t="n"/>
      <c r="E223" s="10" t="n"/>
      <c r="F223" s="11" t="n"/>
      <c r="G223" s="11" t="n"/>
      <c r="H223" s="11" t="n"/>
      <c r="J223" s="10" t="n"/>
      <c r="K223" s="11" t="n"/>
      <c r="L223" s="10" t="n"/>
      <c r="M223" s="11" t="n"/>
      <c r="N223" s="10" t="n"/>
      <c r="O223" s="11" t="n"/>
      <c r="P223" s="6" t="n"/>
      <c r="Q223" s="11" t="n"/>
      <c r="S223" s="8">
        <f>IF(B223="","",E223*F223)</f>
        <v/>
      </c>
      <c r="T223" s="8">
        <f>IF(OR(B223="",N(G223)=0),"",ABS(F223-G223)*E223)</f>
        <v/>
      </c>
      <c r="U223" s="8">
        <f>IF(OR(B223="",P223=""),"",IF(D223="Venda",-1,1)*((N(J223)*N(K223)+N(L223)*N(M223)+N(N223)*N(O223))-(N(J223)+N(L223)+N(N223))*F223)-N(Q223))</f>
        <v/>
      </c>
      <c r="V223" s="9">
        <f>IF(OR(B223="",P223=""),"",U223/S223)</f>
        <v/>
      </c>
      <c r="W223">
        <f>IF(OR(B223="",P223=""),"",P223-C223)</f>
        <v/>
      </c>
      <c r="X223">
        <f>IF(B223="","",IF(P223="","Aberto","Fechado"))</f>
        <v/>
      </c>
    </row>
    <row r="224">
      <c r="C224" s="6" t="n"/>
      <c r="E224" s="10" t="n"/>
      <c r="F224" s="11" t="n"/>
      <c r="G224" s="11" t="n"/>
      <c r="H224" s="11" t="n"/>
      <c r="J224" s="10" t="n"/>
      <c r="K224" s="11" t="n"/>
      <c r="L224" s="10" t="n"/>
      <c r="M224" s="11" t="n"/>
      <c r="N224" s="10" t="n"/>
      <c r="O224" s="11" t="n"/>
      <c r="P224" s="6" t="n"/>
      <c r="Q224" s="11" t="n"/>
      <c r="S224" s="8">
        <f>IF(B224="","",E224*F224)</f>
        <v/>
      </c>
      <c r="T224" s="8">
        <f>IF(OR(B224="",N(G224)=0),"",ABS(F224-G224)*E224)</f>
        <v/>
      </c>
      <c r="U224" s="8">
        <f>IF(OR(B224="",P224=""),"",IF(D224="Venda",-1,1)*((N(J224)*N(K224)+N(L224)*N(M224)+N(N224)*N(O224))-(N(J224)+N(L224)+N(N224))*F224)-N(Q224))</f>
        <v/>
      </c>
      <c r="V224" s="9">
        <f>IF(OR(B224="",P224=""),"",U224/S224)</f>
        <v/>
      </c>
      <c r="W224">
        <f>IF(OR(B224="",P224=""),"",P224-C224)</f>
        <v/>
      </c>
      <c r="X224">
        <f>IF(B224="","",IF(P224="","Aberto","Fechado"))</f>
        <v/>
      </c>
    </row>
    <row r="225">
      <c r="C225" s="6" t="n"/>
      <c r="E225" s="10" t="n"/>
      <c r="F225" s="11" t="n"/>
      <c r="G225" s="11" t="n"/>
      <c r="H225" s="11" t="n"/>
      <c r="J225" s="10" t="n"/>
      <c r="K225" s="11" t="n"/>
      <c r="L225" s="10" t="n"/>
      <c r="M225" s="11" t="n"/>
      <c r="N225" s="10" t="n"/>
      <c r="O225" s="11" t="n"/>
      <c r="P225" s="6" t="n"/>
      <c r="Q225" s="11" t="n"/>
      <c r="S225" s="8">
        <f>IF(B225="","",E225*F225)</f>
        <v/>
      </c>
      <c r="T225" s="8">
        <f>IF(OR(B225="",N(G225)=0),"",ABS(F225-G225)*E225)</f>
        <v/>
      </c>
      <c r="U225" s="8">
        <f>IF(OR(B225="",P225=""),"",IF(D225="Venda",-1,1)*((N(J225)*N(K225)+N(L225)*N(M225)+N(N225)*N(O225))-(N(J225)+N(L225)+N(N225))*F225)-N(Q225))</f>
        <v/>
      </c>
      <c r="V225" s="9">
        <f>IF(OR(B225="",P225=""),"",U225/S225)</f>
        <v/>
      </c>
      <c r="W225">
        <f>IF(OR(B225="",P225=""),"",P225-C225)</f>
        <v/>
      </c>
      <c r="X225">
        <f>IF(B225="","",IF(P225="","Aberto","Fechado"))</f>
        <v/>
      </c>
    </row>
    <row r="226">
      <c r="C226" s="6" t="n"/>
      <c r="E226" s="10" t="n"/>
      <c r="F226" s="11" t="n"/>
      <c r="G226" s="11" t="n"/>
      <c r="H226" s="11" t="n"/>
      <c r="J226" s="10" t="n"/>
      <c r="K226" s="11" t="n"/>
      <c r="L226" s="10" t="n"/>
      <c r="M226" s="11" t="n"/>
      <c r="N226" s="10" t="n"/>
      <c r="O226" s="11" t="n"/>
      <c r="P226" s="6" t="n"/>
      <c r="Q226" s="11" t="n"/>
      <c r="S226" s="8">
        <f>IF(B226="","",E226*F226)</f>
        <v/>
      </c>
      <c r="T226" s="8">
        <f>IF(OR(B226="",N(G226)=0),"",ABS(F226-G226)*E226)</f>
        <v/>
      </c>
      <c r="U226" s="8">
        <f>IF(OR(B226="",P226=""),"",IF(D226="Venda",-1,1)*((N(J226)*N(K226)+N(L226)*N(M226)+N(N226)*N(O226))-(N(J226)+N(L226)+N(N226))*F226)-N(Q226))</f>
        <v/>
      </c>
      <c r="V226" s="9">
        <f>IF(OR(B226="",P226=""),"",U226/S226)</f>
        <v/>
      </c>
      <c r="W226">
        <f>IF(OR(B226="",P226=""),"",P226-C226)</f>
        <v/>
      </c>
      <c r="X226">
        <f>IF(B226="","",IF(P226="","Aberto","Fechado"))</f>
        <v/>
      </c>
    </row>
    <row r="227">
      <c r="C227" s="6" t="n"/>
      <c r="E227" s="10" t="n"/>
      <c r="F227" s="11" t="n"/>
      <c r="G227" s="11" t="n"/>
      <c r="H227" s="11" t="n"/>
      <c r="J227" s="10" t="n"/>
      <c r="K227" s="11" t="n"/>
      <c r="L227" s="10" t="n"/>
      <c r="M227" s="11" t="n"/>
      <c r="N227" s="10" t="n"/>
      <c r="O227" s="11" t="n"/>
      <c r="P227" s="6" t="n"/>
      <c r="Q227" s="11" t="n"/>
      <c r="S227" s="8">
        <f>IF(B227="","",E227*F227)</f>
        <v/>
      </c>
      <c r="T227" s="8">
        <f>IF(OR(B227="",N(G227)=0),"",ABS(F227-G227)*E227)</f>
        <v/>
      </c>
      <c r="U227" s="8">
        <f>IF(OR(B227="",P227=""),"",IF(D227="Venda",-1,1)*((N(J227)*N(K227)+N(L227)*N(M227)+N(N227)*N(O227))-(N(J227)+N(L227)+N(N227))*F227)-N(Q227))</f>
        <v/>
      </c>
      <c r="V227" s="9">
        <f>IF(OR(B227="",P227=""),"",U227/S227)</f>
        <v/>
      </c>
      <c r="W227">
        <f>IF(OR(B227="",P227=""),"",P227-C227)</f>
        <v/>
      </c>
      <c r="X227">
        <f>IF(B227="","",IF(P227="","Aberto","Fechado"))</f>
        <v/>
      </c>
    </row>
    <row r="228">
      <c r="C228" s="6" t="n"/>
      <c r="E228" s="10" t="n"/>
      <c r="F228" s="11" t="n"/>
      <c r="G228" s="11" t="n"/>
      <c r="H228" s="11" t="n"/>
      <c r="J228" s="10" t="n"/>
      <c r="K228" s="11" t="n"/>
      <c r="L228" s="10" t="n"/>
      <c r="M228" s="11" t="n"/>
      <c r="N228" s="10" t="n"/>
      <c r="O228" s="11" t="n"/>
      <c r="P228" s="6" t="n"/>
      <c r="Q228" s="11" t="n"/>
      <c r="S228" s="8">
        <f>IF(B228="","",E228*F228)</f>
        <v/>
      </c>
      <c r="T228" s="8">
        <f>IF(OR(B228="",N(G228)=0),"",ABS(F228-G228)*E228)</f>
        <v/>
      </c>
      <c r="U228" s="8">
        <f>IF(OR(B228="",P228=""),"",IF(D228="Venda",-1,1)*((N(J228)*N(K228)+N(L228)*N(M228)+N(N228)*N(O228))-(N(J228)+N(L228)+N(N228))*F228)-N(Q228))</f>
        <v/>
      </c>
      <c r="V228" s="9">
        <f>IF(OR(B228="",P228=""),"",U228/S228)</f>
        <v/>
      </c>
      <c r="W228">
        <f>IF(OR(B228="",P228=""),"",P228-C228)</f>
        <v/>
      </c>
      <c r="X228">
        <f>IF(B228="","",IF(P228="","Aberto","Fechado"))</f>
        <v/>
      </c>
    </row>
    <row r="229">
      <c r="C229" s="6" t="n"/>
      <c r="E229" s="10" t="n"/>
      <c r="F229" s="11" t="n"/>
      <c r="G229" s="11" t="n"/>
      <c r="H229" s="11" t="n"/>
      <c r="J229" s="10" t="n"/>
      <c r="K229" s="11" t="n"/>
      <c r="L229" s="10" t="n"/>
      <c r="M229" s="11" t="n"/>
      <c r="N229" s="10" t="n"/>
      <c r="O229" s="11" t="n"/>
      <c r="P229" s="6" t="n"/>
      <c r="Q229" s="11" t="n"/>
      <c r="S229" s="8">
        <f>IF(B229="","",E229*F229)</f>
        <v/>
      </c>
      <c r="T229" s="8">
        <f>IF(OR(B229="",N(G229)=0),"",ABS(F229-G229)*E229)</f>
        <v/>
      </c>
      <c r="U229" s="8">
        <f>IF(OR(B229="",P229=""),"",IF(D229="Venda",-1,1)*((N(J229)*N(K229)+N(L229)*N(M229)+N(N229)*N(O229))-(N(J229)+N(L229)+N(N229))*F229)-N(Q229))</f>
        <v/>
      </c>
      <c r="V229" s="9">
        <f>IF(OR(B229="",P229=""),"",U229/S229)</f>
        <v/>
      </c>
      <c r="W229">
        <f>IF(OR(B229="",P229=""),"",P229-C229)</f>
        <v/>
      </c>
      <c r="X229">
        <f>IF(B229="","",IF(P229="","Aberto","Fechado"))</f>
        <v/>
      </c>
    </row>
    <row r="230">
      <c r="C230" s="6" t="n"/>
      <c r="E230" s="10" t="n"/>
      <c r="F230" s="11" t="n"/>
      <c r="G230" s="11" t="n"/>
      <c r="H230" s="11" t="n"/>
      <c r="J230" s="10" t="n"/>
      <c r="K230" s="11" t="n"/>
      <c r="L230" s="10" t="n"/>
      <c r="M230" s="11" t="n"/>
      <c r="N230" s="10" t="n"/>
      <c r="O230" s="11" t="n"/>
      <c r="P230" s="6" t="n"/>
      <c r="Q230" s="11" t="n"/>
      <c r="S230" s="8">
        <f>IF(B230="","",E230*F230)</f>
        <v/>
      </c>
      <c r="T230" s="8">
        <f>IF(OR(B230="",N(G230)=0),"",ABS(F230-G230)*E230)</f>
        <v/>
      </c>
      <c r="U230" s="8">
        <f>IF(OR(B230="",P230=""),"",IF(D230="Venda",-1,1)*((N(J230)*N(K230)+N(L230)*N(M230)+N(N230)*N(O230))-(N(J230)+N(L230)+N(N230))*F230)-N(Q230))</f>
        <v/>
      </c>
      <c r="V230" s="9">
        <f>IF(OR(B230="",P230=""),"",U230/S230)</f>
        <v/>
      </c>
      <c r="W230">
        <f>IF(OR(B230="",P230=""),"",P230-C230)</f>
        <v/>
      </c>
      <c r="X230">
        <f>IF(B230="","",IF(P230="","Aberto","Fechado"))</f>
        <v/>
      </c>
    </row>
    <row r="231">
      <c r="C231" s="6" t="n"/>
      <c r="E231" s="10" t="n"/>
      <c r="F231" s="11" t="n"/>
      <c r="G231" s="11" t="n"/>
      <c r="H231" s="11" t="n"/>
      <c r="J231" s="10" t="n"/>
      <c r="K231" s="11" t="n"/>
      <c r="L231" s="10" t="n"/>
      <c r="M231" s="11" t="n"/>
      <c r="N231" s="10" t="n"/>
      <c r="O231" s="11" t="n"/>
      <c r="P231" s="6" t="n"/>
      <c r="Q231" s="11" t="n"/>
      <c r="S231" s="8">
        <f>IF(B231="","",E231*F231)</f>
        <v/>
      </c>
      <c r="T231" s="8">
        <f>IF(OR(B231="",N(G231)=0),"",ABS(F231-G231)*E231)</f>
        <v/>
      </c>
      <c r="U231" s="8">
        <f>IF(OR(B231="",P231=""),"",IF(D231="Venda",-1,1)*((N(J231)*N(K231)+N(L231)*N(M231)+N(N231)*N(O231))-(N(J231)+N(L231)+N(N231))*F231)-N(Q231))</f>
        <v/>
      </c>
      <c r="V231" s="9">
        <f>IF(OR(B231="",P231=""),"",U231/S231)</f>
        <v/>
      </c>
      <c r="W231">
        <f>IF(OR(B231="",P231=""),"",P231-C231)</f>
        <v/>
      </c>
      <c r="X231">
        <f>IF(B231="","",IF(P231="","Aberto","Fechado"))</f>
        <v/>
      </c>
    </row>
    <row r="232">
      <c r="C232" s="6" t="n"/>
      <c r="E232" s="10" t="n"/>
      <c r="F232" s="11" t="n"/>
      <c r="G232" s="11" t="n"/>
      <c r="H232" s="11" t="n"/>
      <c r="J232" s="10" t="n"/>
      <c r="K232" s="11" t="n"/>
      <c r="L232" s="10" t="n"/>
      <c r="M232" s="11" t="n"/>
      <c r="N232" s="10" t="n"/>
      <c r="O232" s="11" t="n"/>
      <c r="P232" s="6" t="n"/>
      <c r="Q232" s="11" t="n"/>
      <c r="S232" s="8">
        <f>IF(B232="","",E232*F232)</f>
        <v/>
      </c>
      <c r="T232" s="8">
        <f>IF(OR(B232="",N(G232)=0),"",ABS(F232-G232)*E232)</f>
        <v/>
      </c>
      <c r="U232" s="8">
        <f>IF(OR(B232="",P232=""),"",IF(D232="Venda",-1,1)*((N(J232)*N(K232)+N(L232)*N(M232)+N(N232)*N(O232))-(N(J232)+N(L232)+N(N232))*F232)-N(Q232))</f>
        <v/>
      </c>
      <c r="V232" s="9">
        <f>IF(OR(B232="",P232=""),"",U232/S232)</f>
        <v/>
      </c>
      <c r="W232">
        <f>IF(OR(B232="",P232=""),"",P232-C232)</f>
        <v/>
      </c>
      <c r="X232">
        <f>IF(B232="","",IF(P232="","Aberto","Fechado"))</f>
        <v/>
      </c>
    </row>
    <row r="233">
      <c r="C233" s="6" t="n"/>
      <c r="E233" s="10" t="n"/>
      <c r="F233" s="11" t="n"/>
      <c r="G233" s="11" t="n"/>
      <c r="H233" s="11" t="n"/>
      <c r="J233" s="10" t="n"/>
      <c r="K233" s="11" t="n"/>
      <c r="L233" s="10" t="n"/>
      <c r="M233" s="11" t="n"/>
      <c r="N233" s="10" t="n"/>
      <c r="O233" s="11" t="n"/>
      <c r="P233" s="6" t="n"/>
      <c r="Q233" s="11" t="n"/>
      <c r="S233" s="8">
        <f>IF(B233="","",E233*F233)</f>
        <v/>
      </c>
      <c r="T233" s="8">
        <f>IF(OR(B233="",N(G233)=0),"",ABS(F233-G233)*E233)</f>
        <v/>
      </c>
      <c r="U233" s="8">
        <f>IF(OR(B233="",P233=""),"",IF(D233="Venda",-1,1)*((N(J233)*N(K233)+N(L233)*N(M233)+N(N233)*N(O233))-(N(J233)+N(L233)+N(N233))*F233)-N(Q233))</f>
        <v/>
      </c>
      <c r="V233" s="9">
        <f>IF(OR(B233="",P233=""),"",U233/S233)</f>
        <v/>
      </c>
      <c r="W233">
        <f>IF(OR(B233="",P233=""),"",P233-C233)</f>
        <v/>
      </c>
      <c r="X233">
        <f>IF(B233="","",IF(P233="","Aberto","Fechado"))</f>
        <v/>
      </c>
    </row>
    <row r="234">
      <c r="C234" s="6" t="n"/>
      <c r="E234" s="10" t="n"/>
      <c r="F234" s="11" t="n"/>
      <c r="G234" s="11" t="n"/>
      <c r="H234" s="11" t="n"/>
      <c r="J234" s="10" t="n"/>
      <c r="K234" s="11" t="n"/>
      <c r="L234" s="10" t="n"/>
      <c r="M234" s="11" t="n"/>
      <c r="N234" s="10" t="n"/>
      <c r="O234" s="11" t="n"/>
      <c r="P234" s="6" t="n"/>
      <c r="Q234" s="11" t="n"/>
      <c r="S234" s="8">
        <f>IF(B234="","",E234*F234)</f>
        <v/>
      </c>
      <c r="T234" s="8">
        <f>IF(OR(B234="",N(G234)=0),"",ABS(F234-G234)*E234)</f>
        <v/>
      </c>
      <c r="U234" s="8">
        <f>IF(OR(B234="",P234=""),"",IF(D234="Venda",-1,1)*((N(J234)*N(K234)+N(L234)*N(M234)+N(N234)*N(O234))-(N(J234)+N(L234)+N(N234))*F234)-N(Q234))</f>
        <v/>
      </c>
      <c r="V234" s="9">
        <f>IF(OR(B234="",P234=""),"",U234/S234)</f>
        <v/>
      </c>
      <c r="W234">
        <f>IF(OR(B234="",P234=""),"",P234-C234)</f>
        <v/>
      </c>
      <c r="X234">
        <f>IF(B234="","",IF(P234="","Aberto","Fechado"))</f>
        <v/>
      </c>
    </row>
    <row r="235">
      <c r="C235" s="6" t="n"/>
      <c r="E235" s="10" t="n"/>
      <c r="F235" s="11" t="n"/>
      <c r="G235" s="11" t="n"/>
      <c r="H235" s="11" t="n"/>
      <c r="J235" s="10" t="n"/>
      <c r="K235" s="11" t="n"/>
      <c r="L235" s="10" t="n"/>
      <c r="M235" s="11" t="n"/>
      <c r="N235" s="10" t="n"/>
      <c r="O235" s="11" t="n"/>
      <c r="P235" s="6" t="n"/>
      <c r="Q235" s="11" t="n"/>
      <c r="S235" s="8">
        <f>IF(B235="","",E235*F235)</f>
        <v/>
      </c>
      <c r="T235" s="8">
        <f>IF(OR(B235="",N(G235)=0),"",ABS(F235-G235)*E235)</f>
        <v/>
      </c>
      <c r="U235" s="8">
        <f>IF(OR(B235="",P235=""),"",IF(D235="Venda",-1,1)*((N(J235)*N(K235)+N(L235)*N(M235)+N(N235)*N(O235))-(N(J235)+N(L235)+N(N235))*F235)-N(Q235))</f>
        <v/>
      </c>
      <c r="V235" s="9">
        <f>IF(OR(B235="",P235=""),"",U235/S235)</f>
        <v/>
      </c>
      <c r="W235">
        <f>IF(OR(B235="",P235=""),"",P235-C235)</f>
        <v/>
      </c>
      <c r="X235">
        <f>IF(B235="","",IF(P235="","Aberto","Fechado"))</f>
        <v/>
      </c>
    </row>
    <row r="236">
      <c r="C236" s="6" t="n"/>
      <c r="E236" s="10" t="n"/>
      <c r="F236" s="11" t="n"/>
      <c r="G236" s="11" t="n"/>
      <c r="H236" s="11" t="n"/>
      <c r="J236" s="10" t="n"/>
      <c r="K236" s="11" t="n"/>
      <c r="L236" s="10" t="n"/>
      <c r="M236" s="11" t="n"/>
      <c r="N236" s="10" t="n"/>
      <c r="O236" s="11" t="n"/>
      <c r="P236" s="6" t="n"/>
      <c r="Q236" s="11" t="n"/>
      <c r="S236" s="8">
        <f>IF(B236="","",E236*F236)</f>
        <v/>
      </c>
      <c r="T236" s="8">
        <f>IF(OR(B236="",N(G236)=0),"",ABS(F236-G236)*E236)</f>
        <v/>
      </c>
      <c r="U236" s="8">
        <f>IF(OR(B236="",P236=""),"",IF(D236="Venda",-1,1)*((N(J236)*N(K236)+N(L236)*N(M236)+N(N236)*N(O236))-(N(J236)+N(L236)+N(N236))*F236)-N(Q236))</f>
        <v/>
      </c>
      <c r="V236" s="9">
        <f>IF(OR(B236="",P236=""),"",U236/S236)</f>
        <v/>
      </c>
      <c r="W236">
        <f>IF(OR(B236="",P236=""),"",P236-C236)</f>
        <v/>
      </c>
      <c r="X236">
        <f>IF(B236="","",IF(P236="","Aberto","Fechado"))</f>
        <v/>
      </c>
    </row>
    <row r="237">
      <c r="C237" s="6" t="n"/>
      <c r="E237" s="10" t="n"/>
      <c r="F237" s="11" t="n"/>
      <c r="G237" s="11" t="n"/>
      <c r="H237" s="11" t="n"/>
      <c r="J237" s="10" t="n"/>
      <c r="K237" s="11" t="n"/>
      <c r="L237" s="10" t="n"/>
      <c r="M237" s="11" t="n"/>
      <c r="N237" s="10" t="n"/>
      <c r="O237" s="11" t="n"/>
      <c r="P237" s="6" t="n"/>
      <c r="Q237" s="11" t="n"/>
      <c r="S237" s="8">
        <f>IF(B237="","",E237*F237)</f>
        <v/>
      </c>
      <c r="T237" s="8">
        <f>IF(OR(B237="",N(G237)=0),"",ABS(F237-G237)*E237)</f>
        <v/>
      </c>
      <c r="U237" s="8">
        <f>IF(OR(B237="",P237=""),"",IF(D237="Venda",-1,1)*((N(J237)*N(K237)+N(L237)*N(M237)+N(N237)*N(O237))-(N(J237)+N(L237)+N(N237))*F237)-N(Q237))</f>
        <v/>
      </c>
      <c r="V237" s="9">
        <f>IF(OR(B237="",P237=""),"",U237/S237)</f>
        <v/>
      </c>
      <c r="W237">
        <f>IF(OR(B237="",P237=""),"",P237-C237)</f>
        <v/>
      </c>
      <c r="X237">
        <f>IF(B237="","",IF(P237="","Aberto","Fechado"))</f>
        <v/>
      </c>
    </row>
    <row r="238">
      <c r="C238" s="6" t="n"/>
      <c r="E238" s="10" t="n"/>
      <c r="F238" s="11" t="n"/>
      <c r="G238" s="11" t="n"/>
      <c r="H238" s="11" t="n"/>
      <c r="J238" s="10" t="n"/>
      <c r="K238" s="11" t="n"/>
      <c r="L238" s="10" t="n"/>
      <c r="M238" s="11" t="n"/>
      <c r="N238" s="10" t="n"/>
      <c r="O238" s="11" t="n"/>
      <c r="P238" s="6" t="n"/>
      <c r="Q238" s="11" t="n"/>
      <c r="S238" s="8">
        <f>IF(B238="","",E238*F238)</f>
        <v/>
      </c>
      <c r="T238" s="8">
        <f>IF(OR(B238="",N(G238)=0),"",ABS(F238-G238)*E238)</f>
        <v/>
      </c>
      <c r="U238" s="8">
        <f>IF(OR(B238="",P238=""),"",IF(D238="Venda",-1,1)*((N(J238)*N(K238)+N(L238)*N(M238)+N(N238)*N(O238))-(N(J238)+N(L238)+N(N238))*F238)-N(Q238))</f>
        <v/>
      </c>
      <c r="V238" s="9">
        <f>IF(OR(B238="",P238=""),"",U238/S238)</f>
        <v/>
      </c>
      <c r="W238">
        <f>IF(OR(B238="",P238=""),"",P238-C238)</f>
        <v/>
      </c>
      <c r="X238">
        <f>IF(B238="","",IF(P238="","Aberto","Fechado"))</f>
        <v/>
      </c>
    </row>
    <row r="239">
      <c r="C239" s="6" t="n"/>
      <c r="E239" s="10" t="n"/>
      <c r="F239" s="11" t="n"/>
      <c r="G239" s="11" t="n"/>
      <c r="H239" s="11" t="n"/>
      <c r="J239" s="10" t="n"/>
      <c r="K239" s="11" t="n"/>
      <c r="L239" s="10" t="n"/>
      <c r="M239" s="11" t="n"/>
      <c r="N239" s="10" t="n"/>
      <c r="O239" s="11" t="n"/>
      <c r="P239" s="6" t="n"/>
      <c r="Q239" s="11" t="n"/>
      <c r="S239" s="8">
        <f>IF(B239="","",E239*F239)</f>
        <v/>
      </c>
      <c r="T239" s="8">
        <f>IF(OR(B239="",N(G239)=0),"",ABS(F239-G239)*E239)</f>
        <v/>
      </c>
      <c r="U239" s="8">
        <f>IF(OR(B239="",P239=""),"",IF(D239="Venda",-1,1)*((N(J239)*N(K239)+N(L239)*N(M239)+N(N239)*N(O239))-(N(J239)+N(L239)+N(N239))*F239)-N(Q239))</f>
        <v/>
      </c>
      <c r="V239" s="9">
        <f>IF(OR(B239="",P239=""),"",U239/S239)</f>
        <v/>
      </c>
      <c r="W239">
        <f>IF(OR(B239="",P239=""),"",P239-C239)</f>
        <v/>
      </c>
      <c r="X239">
        <f>IF(B239="","",IF(P239="","Aberto","Fechado"))</f>
        <v/>
      </c>
    </row>
    <row r="240">
      <c r="C240" s="6" t="n"/>
      <c r="E240" s="10" t="n"/>
      <c r="F240" s="11" t="n"/>
      <c r="G240" s="11" t="n"/>
      <c r="H240" s="11" t="n"/>
      <c r="J240" s="10" t="n"/>
      <c r="K240" s="11" t="n"/>
      <c r="L240" s="10" t="n"/>
      <c r="M240" s="11" t="n"/>
      <c r="N240" s="10" t="n"/>
      <c r="O240" s="11" t="n"/>
      <c r="P240" s="6" t="n"/>
      <c r="Q240" s="11" t="n"/>
      <c r="S240" s="8">
        <f>IF(B240="","",E240*F240)</f>
        <v/>
      </c>
      <c r="T240" s="8">
        <f>IF(OR(B240="",N(G240)=0),"",ABS(F240-G240)*E240)</f>
        <v/>
      </c>
      <c r="U240" s="8">
        <f>IF(OR(B240="",P240=""),"",IF(D240="Venda",-1,1)*((N(J240)*N(K240)+N(L240)*N(M240)+N(N240)*N(O240))-(N(J240)+N(L240)+N(N240))*F240)-N(Q240))</f>
        <v/>
      </c>
      <c r="V240" s="9">
        <f>IF(OR(B240="",P240=""),"",U240/S240)</f>
        <v/>
      </c>
      <c r="W240">
        <f>IF(OR(B240="",P240=""),"",P240-C240)</f>
        <v/>
      </c>
      <c r="X240">
        <f>IF(B240="","",IF(P240="","Aberto","Fechado"))</f>
        <v/>
      </c>
    </row>
    <row r="241">
      <c r="C241" s="6" t="n"/>
      <c r="E241" s="10" t="n"/>
      <c r="F241" s="11" t="n"/>
      <c r="G241" s="11" t="n"/>
      <c r="H241" s="11" t="n"/>
      <c r="J241" s="10" t="n"/>
      <c r="K241" s="11" t="n"/>
      <c r="L241" s="10" t="n"/>
      <c r="M241" s="11" t="n"/>
      <c r="N241" s="10" t="n"/>
      <c r="O241" s="11" t="n"/>
      <c r="P241" s="6" t="n"/>
      <c r="Q241" s="11" t="n"/>
      <c r="S241" s="8">
        <f>IF(B241="","",E241*F241)</f>
        <v/>
      </c>
      <c r="T241" s="8">
        <f>IF(OR(B241="",N(G241)=0),"",ABS(F241-G241)*E241)</f>
        <v/>
      </c>
      <c r="U241" s="8">
        <f>IF(OR(B241="",P241=""),"",IF(D241="Venda",-1,1)*((N(J241)*N(K241)+N(L241)*N(M241)+N(N241)*N(O241))-(N(J241)+N(L241)+N(N241))*F241)-N(Q241))</f>
        <v/>
      </c>
      <c r="V241" s="9">
        <f>IF(OR(B241="",P241=""),"",U241/S241)</f>
        <v/>
      </c>
      <c r="W241">
        <f>IF(OR(B241="",P241=""),"",P241-C241)</f>
        <v/>
      </c>
      <c r="X241">
        <f>IF(B241="","",IF(P241="","Aberto","Fechado"))</f>
        <v/>
      </c>
    </row>
    <row r="242">
      <c r="C242" s="6" t="n"/>
      <c r="E242" s="10" t="n"/>
      <c r="F242" s="11" t="n"/>
      <c r="G242" s="11" t="n"/>
      <c r="H242" s="11" t="n"/>
      <c r="J242" s="10" t="n"/>
      <c r="K242" s="11" t="n"/>
      <c r="L242" s="10" t="n"/>
      <c r="M242" s="11" t="n"/>
      <c r="N242" s="10" t="n"/>
      <c r="O242" s="11" t="n"/>
      <c r="P242" s="6" t="n"/>
      <c r="Q242" s="11" t="n"/>
      <c r="S242" s="8">
        <f>IF(B242="","",E242*F242)</f>
        <v/>
      </c>
      <c r="T242" s="8">
        <f>IF(OR(B242="",N(G242)=0),"",ABS(F242-G242)*E242)</f>
        <v/>
      </c>
      <c r="U242" s="8">
        <f>IF(OR(B242="",P242=""),"",IF(D242="Venda",-1,1)*((N(J242)*N(K242)+N(L242)*N(M242)+N(N242)*N(O242))-(N(J242)+N(L242)+N(N242))*F242)-N(Q242))</f>
        <v/>
      </c>
      <c r="V242" s="9">
        <f>IF(OR(B242="",P242=""),"",U242/S242)</f>
        <v/>
      </c>
      <c r="W242">
        <f>IF(OR(B242="",P242=""),"",P242-C242)</f>
        <v/>
      </c>
      <c r="X242">
        <f>IF(B242="","",IF(P242="","Aberto","Fechado"))</f>
        <v/>
      </c>
    </row>
    <row r="243">
      <c r="C243" s="6" t="n"/>
      <c r="E243" s="10" t="n"/>
      <c r="F243" s="11" t="n"/>
      <c r="G243" s="11" t="n"/>
      <c r="H243" s="11" t="n"/>
      <c r="J243" s="10" t="n"/>
      <c r="K243" s="11" t="n"/>
      <c r="L243" s="10" t="n"/>
      <c r="M243" s="11" t="n"/>
      <c r="N243" s="10" t="n"/>
      <c r="O243" s="11" t="n"/>
      <c r="P243" s="6" t="n"/>
      <c r="Q243" s="11" t="n"/>
      <c r="S243" s="8">
        <f>IF(B243="","",E243*F243)</f>
        <v/>
      </c>
      <c r="T243" s="8">
        <f>IF(OR(B243="",N(G243)=0),"",ABS(F243-G243)*E243)</f>
        <v/>
      </c>
      <c r="U243" s="8">
        <f>IF(OR(B243="",P243=""),"",IF(D243="Venda",-1,1)*((N(J243)*N(K243)+N(L243)*N(M243)+N(N243)*N(O243))-(N(J243)+N(L243)+N(N243))*F243)-N(Q243))</f>
        <v/>
      </c>
      <c r="V243" s="9">
        <f>IF(OR(B243="",P243=""),"",U243/S243)</f>
        <v/>
      </c>
      <c r="W243">
        <f>IF(OR(B243="",P243=""),"",P243-C243)</f>
        <v/>
      </c>
      <c r="X243">
        <f>IF(B243="","",IF(P243="","Aberto","Fechado"))</f>
        <v/>
      </c>
    </row>
    <row r="244">
      <c r="C244" s="6" t="n"/>
      <c r="E244" s="10" t="n"/>
      <c r="F244" s="11" t="n"/>
      <c r="G244" s="11" t="n"/>
      <c r="H244" s="11" t="n"/>
      <c r="J244" s="10" t="n"/>
      <c r="K244" s="11" t="n"/>
      <c r="L244" s="10" t="n"/>
      <c r="M244" s="11" t="n"/>
      <c r="N244" s="10" t="n"/>
      <c r="O244" s="11" t="n"/>
      <c r="P244" s="6" t="n"/>
      <c r="Q244" s="11" t="n"/>
      <c r="S244" s="8">
        <f>IF(B244="","",E244*F244)</f>
        <v/>
      </c>
      <c r="T244" s="8">
        <f>IF(OR(B244="",N(G244)=0),"",ABS(F244-G244)*E244)</f>
        <v/>
      </c>
      <c r="U244" s="8">
        <f>IF(OR(B244="",P244=""),"",IF(D244="Venda",-1,1)*((N(J244)*N(K244)+N(L244)*N(M244)+N(N244)*N(O244))-(N(J244)+N(L244)+N(N244))*F244)-N(Q244))</f>
        <v/>
      </c>
      <c r="V244" s="9">
        <f>IF(OR(B244="",P244=""),"",U244/S244)</f>
        <v/>
      </c>
      <c r="W244">
        <f>IF(OR(B244="",P244=""),"",P244-C244)</f>
        <v/>
      </c>
      <c r="X244">
        <f>IF(B244="","",IF(P244="","Aberto","Fechado"))</f>
        <v/>
      </c>
    </row>
    <row r="245">
      <c r="C245" s="6" t="n"/>
      <c r="E245" s="10" t="n"/>
      <c r="F245" s="11" t="n"/>
      <c r="G245" s="11" t="n"/>
      <c r="H245" s="11" t="n"/>
      <c r="J245" s="10" t="n"/>
      <c r="K245" s="11" t="n"/>
      <c r="L245" s="10" t="n"/>
      <c r="M245" s="11" t="n"/>
      <c r="N245" s="10" t="n"/>
      <c r="O245" s="11" t="n"/>
      <c r="P245" s="6" t="n"/>
      <c r="Q245" s="11" t="n"/>
      <c r="S245" s="8">
        <f>IF(B245="","",E245*F245)</f>
        <v/>
      </c>
      <c r="T245" s="8">
        <f>IF(OR(B245="",N(G245)=0),"",ABS(F245-G245)*E245)</f>
        <v/>
      </c>
      <c r="U245" s="8">
        <f>IF(OR(B245="",P245=""),"",IF(D245="Venda",-1,1)*((N(J245)*N(K245)+N(L245)*N(M245)+N(N245)*N(O245))-(N(J245)+N(L245)+N(N245))*F245)-N(Q245))</f>
        <v/>
      </c>
      <c r="V245" s="9">
        <f>IF(OR(B245="",P245=""),"",U245/S245)</f>
        <v/>
      </c>
      <c r="W245">
        <f>IF(OR(B245="",P245=""),"",P245-C245)</f>
        <v/>
      </c>
      <c r="X245">
        <f>IF(B245="","",IF(P245="","Aberto","Fechado"))</f>
        <v/>
      </c>
    </row>
    <row r="246">
      <c r="C246" s="6" t="n"/>
      <c r="E246" s="10" t="n"/>
      <c r="F246" s="11" t="n"/>
      <c r="G246" s="11" t="n"/>
      <c r="H246" s="11" t="n"/>
      <c r="J246" s="10" t="n"/>
      <c r="K246" s="11" t="n"/>
      <c r="L246" s="10" t="n"/>
      <c r="M246" s="11" t="n"/>
      <c r="N246" s="10" t="n"/>
      <c r="O246" s="11" t="n"/>
      <c r="P246" s="6" t="n"/>
      <c r="Q246" s="11" t="n"/>
      <c r="S246" s="8">
        <f>IF(B246="","",E246*F246)</f>
        <v/>
      </c>
      <c r="T246" s="8">
        <f>IF(OR(B246="",N(G246)=0),"",ABS(F246-G246)*E246)</f>
        <v/>
      </c>
      <c r="U246" s="8">
        <f>IF(OR(B246="",P246=""),"",IF(D246="Venda",-1,1)*((N(J246)*N(K246)+N(L246)*N(M246)+N(N246)*N(O246))-(N(J246)+N(L246)+N(N246))*F246)-N(Q246))</f>
        <v/>
      </c>
      <c r="V246" s="9">
        <f>IF(OR(B246="",P246=""),"",U246/S246)</f>
        <v/>
      </c>
      <c r="W246">
        <f>IF(OR(B246="",P246=""),"",P246-C246)</f>
        <v/>
      </c>
      <c r="X246">
        <f>IF(B246="","",IF(P246="","Aberto","Fechado"))</f>
        <v/>
      </c>
    </row>
    <row r="247">
      <c r="C247" s="6" t="n"/>
      <c r="E247" s="10" t="n"/>
      <c r="F247" s="11" t="n"/>
      <c r="G247" s="11" t="n"/>
      <c r="H247" s="11" t="n"/>
      <c r="J247" s="10" t="n"/>
      <c r="K247" s="11" t="n"/>
      <c r="L247" s="10" t="n"/>
      <c r="M247" s="11" t="n"/>
      <c r="N247" s="10" t="n"/>
      <c r="O247" s="11" t="n"/>
      <c r="P247" s="6" t="n"/>
      <c r="Q247" s="11" t="n"/>
      <c r="S247" s="8">
        <f>IF(B247="","",E247*F247)</f>
        <v/>
      </c>
      <c r="T247" s="8">
        <f>IF(OR(B247="",N(G247)=0),"",ABS(F247-G247)*E247)</f>
        <v/>
      </c>
      <c r="U247" s="8">
        <f>IF(OR(B247="",P247=""),"",IF(D247="Venda",-1,1)*((N(J247)*N(K247)+N(L247)*N(M247)+N(N247)*N(O247))-(N(J247)+N(L247)+N(N247))*F247)-N(Q247))</f>
        <v/>
      </c>
      <c r="V247" s="9">
        <f>IF(OR(B247="",P247=""),"",U247/S247)</f>
        <v/>
      </c>
      <c r="W247">
        <f>IF(OR(B247="",P247=""),"",P247-C247)</f>
        <v/>
      </c>
      <c r="X247">
        <f>IF(B247="","",IF(P247="","Aberto","Fechado"))</f>
        <v/>
      </c>
    </row>
    <row r="248">
      <c r="C248" s="6" t="n"/>
      <c r="E248" s="10" t="n"/>
      <c r="F248" s="11" t="n"/>
      <c r="G248" s="11" t="n"/>
      <c r="H248" s="11" t="n"/>
      <c r="J248" s="10" t="n"/>
      <c r="K248" s="11" t="n"/>
      <c r="L248" s="10" t="n"/>
      <c r="M248" s="11" t="n"/>
      <c r="N248" s="10" t="n"/>
      <c r="O248" s="11" t="n"/>
      <c r="P248" s="6" t="n"/>
      <c r="Q248" s="11" t="n"/>
      <c r="S248" s="8">
        <f>IF(B248="","",E248*F248)</f>
        <v/>
      </c>
      <c r="T248" s="8">
        <f>IF(OR(B248="",N(G248)=0),"",ABS(F248-G248)*E248)</f>
        <v/>
      </c>
      <c r="U248" s="8">
        <f>IF(OR(B248="",P248=""),"",IF(D248="Venda",-1,1)*((N(J248)*N(K248)+N(L248)*N(M248)+N(N248)*N(O248))-(N(J248)+N(L248)+N(N248))*F248)-N(Q248))</f>
        <v/>
      </c>
      <c r="V248" s="9">
        <f>IF(OR(B248="",P248=""),"",U248/S248)</f>
        <v/>
      </c>
      <c r="W248">
        <f>IF(OR(B248="",P248=""),"",P248-C248)</f>
        <v/>
      </c>
      <c r="X248">
        <f>IF(B248="","",IF(P248="","Aberto","Fechado"))</f>
        <v/>
      </c>
    </row>
    <row r="249">
      <c r="C249" s="6" t="n"/>
      <c r="E249" s="10" t="n"/>
      <c r="F249" s="11" t="n"/>
      <c r="G249" s="11" t="n"/>
      <c r="H249" s="11" t="n"/>
      <c r="J249" s="10" t="n"/>
      <c r="K249" s="11" t="n"/>
      <c r="L249" s="10" t="n"/>
      <c r="M249" s="11" t="n"/>
      <c r="N249" s="10" t="n"/>
      <c r="O249" s="11" t="n"/>
      <c r="P249" s="6" t="n"/>
      <c r="Q249" s="11" t="n"/>
      <c r="S249" s="8">
        <f>IF(B249="","",E249*F249)</f>
        <v/>
      </c>
      <c r="T249" s="8">
        <f>IF(OR(B249="",N(G249)=0),"",ABS(F249-G249)*E249)</f>
        <v/>
      </c>
      <c r="U249" s="8">
        <f>IF(OR(B249="",P249=""),"",IF(D249="Venda",-1,1)*((N(J249)*N(K249)+N(L249)*N(M249)+N(N249)*N(O249))-(N(J249)+N(L249)+N(N249))*F249)-N(Q249))</f>
        <v/>
      </c>
      <c r="V249" s="9">
        <f>IF(OR(B249="",P249=""),"",U249/S249)</f>
        <v/>
      </c>
      <c r="W249">
        <f>IF(OR(B249="",P249=""),"",P249-C249)</f>
        <v/>
      </c>
      <c r="X249">
        <f>IF(B249="","",IF(P249="","Aberto","Fechado"))</f>
        <v/>
      </c>
    </row>
    <row r="250">
      <c r="C250" s="6" t="n"/>
      <c r="E250" s="10" t="n"/>
      <c r="F250" s="11" t="n"/>
      <c r="G250" s="11" t="n"/>
      <c r="H250" s="11" t="n"/>
      <c r="J250" s="10" t="n"/>
      <c r="K250" s="11" t="n"/>
      <c r="L250" s="10" t="n"/>
      <c r="M250" s="11" t="n"/>
      <c r="N250" s="10" t="n"/>
      <c r="O250" s="11" t="n"/>
      <c r="P250" s="6" t="n"/>
      <c r="Q250" s="11" t="n"/>
      <c r="S250" s="8">
        <f>IF(B250="","",E250*F250)</f>
        <v/>
      </c>
      <c r="T250" s="8">
        <f>IF(OR(B250="",N(G250)=0),"",ABS(F250-G250)*E250)</f>
        <v/>
      </c>
      <c r="U250" s="8">
        <f>IF(OR(B250="",P250=""),"",IF(D250="Venda",-1,1)*((N(J250)*N(K250)+N(L250)*N(M250)+N(N250)*N(O250))-(N(J250)+N(L250)+N(N250))*F250)-N(Q250))</f>
        <v/>
      </c>
      <c r="V250" s="9">
        <f>IF(OR(B250="",P250=""),"",U250/S250)</f>
        <v/>
      </c>
      <c r="W250">
        <f>IF(OR(B250="",P250=""),"",P250-C250)</f>
        <v/>
      </c>
      <c r="X250">
        <f>IF(B250="","",IF(P250="","Aberto","Fechado"))</f>
        <v/>
      </c>
    </row>
    <row r="251">
      <c r="C251" s="6" t="n"/>
      <c r="E251" s="10" t="n"/>
      <c r="F251" s="11" t="n"/>
      <c r="G251" s="11" t="n"/>
      <c r="H251" s="11" t="n"/>
      <c r="J251" s="10" t="n"/>
      <c r="K251" s="11" t="n"/>
      <c r="L251" s="10" t="n"/>
      <c r="M251" s="11" t="n"/>
      <c r="N251" s="10" t="n"/>
      <c r="O251" s="11" t="n"/>
      <c r="P251" s="6" t="n"/>
      <c r="Q251" s="11" t="n"/>
      <c r="S251" s="8">
        <f>IF(B251="","",E251*F251)</f>
        <v/>
      </c>
      <c r="T251" s="8">
        <f>IF(OR(B251="",N(G251)=0),"",ABS(F251-G251)*E251)</f>
        <v/>
      </c>
      <c r="U251" s="8">
        <f>IF(OR(B251="",P251=""),"",IF(D251="Venda",-1,1)*((N(J251)*N(K251)+N(L251)*N(M251)+N(N251)*N(O251))-(N(J251)+N(L251)+N(N251))*F251)-N(Q251))</f>
        <v/>
      </c>
      <c r="V251" s="9">
        <f>IF(OR(B251="",P251=""),"",U251/S251)</f>
        <v/>
      </c>
      <c r="W251">
        <f>IF(OR(B251="",P251=""),"",P251-C251)</f>
        <v/>
      </c>
      <c r="X251">
        <f>IF(B251="","",IF(P251="","Aberto","Fechado"))</f>
        <v/>
      </c>
    </row>
    <row r="252">
      <c r="C252" s="6" t="n"/>
      <c r="E252" s="10" t="n"/>
      <c r="F252" s="11" t="n"/>
      <c r="G252" s="11" t="n"/>
      <c r="H252" s="11" t="n"/>
      <c r="J252" s="10" t="n"/>
      <c r="K252" s="11" t="n"/>
      <c r="L252" s="10" t="n"/>
      <c r="M252" s="11" t="n"/>
      <c r="N252" s="10" t="n"/>
      <c r="O252" s="11" t="n"/>
      <c r="P252" s="6" t="n"/>
      <c r="Q252" s="11" t="n"/>
      <c r="S252" s="8">
        <f>IF(B252="","",E252*F252)</f>
        <v/>
      </c>
      <c r="T252" s="8">
        <f>IF(OR(B252="",N(G252)=0),"",ABS(F252-G252)*E252)</f>
        <v/>
      </c>
      <c r="U252" s="8">
        <f>IF(OR(B252="",P252=""),"",IF(D252="Venda",-1,1)*((N(J252)*N(K252)+N(L252)*N(M252)+N(N252)*N(O252))-(N(J252)+N(L252)+N(N252))*F252)-N(Q252))</f>
        <v/>
      </c>
      <c r="V252" s="9">
        <f>IF(OR(B252="",P252=""),"",U252/S252)</f>
        <v/>
      </c>
      <c r="W252">
        <f>IF(OR(B252="",P252=""),"",P252-C252)</f>
        <v/>
      </c>
      <c r="X252">
        <f>IF(B252="","",IF(P252="","Aberto","Fechado"))</f>
        <v/>
      </c>
    </row>
    <row r="253">
      <c r="C253" s="6" t="n"/>
      <c r="E253" s="10" t="n"/>
      <c r="F253" s="11" t="n"/>
      <c r="G253" s="11" t="n"/>
      <c r="H253" s="11" t="n"/>
      <c r="J253" s="10" t="n"/>
      <c r="K253" s="11" t="n"/>
      <c r="L253" s="10" t="n"/>
      <c r="M253" s="11" t="n"/>
      <c r="N253" s="10" t="n"/>
      <c r="O253" s="11" t="n"/>
      <c r="P253" s="6" t="n"/>
      <c r="Q253" s="11" t="n"/>
      <c r="S253" s="8">
        <f>IF(B253="","",E253*F253)</f>
        <v/>
      </c>
      <c r="T253" s="8">
        <f>IF(OR(B253="",N(G253)=0),"",ABS(F253-G253)*E253)</f>
        <v/>
      </c>
      <c r="U253" s="8">
        <f>IF(OR(B253="",P253=""),"",IF(D253="Venda",-1,1)*((N(J253)*N(K253)+N(L253)*N(M253)+N(N253)*N(O253))-(N(J253)+N(L253)+N(N253))*F253)-N(Q253))</f>
        <v/>
      </c>
      <c r="V253" s="9">
        <f>IF(OR(B253="",P253=""),"",U253/S253)</f>
        <v/>
      </c>
      <c r="W253">
        <f>IF(OR(B253="",P253=""),"",P253-C253)</f>
        <v/>
      </c>
      <c r="X253">
        <f>IF(B253="","",IF(P253="","Aberto","Fechado"))</f>
        <v/>
      </c>
    </row>
    <row r="254">
      <c r="C254" s="6" t="n"/>
      <c r="E254" s="10" t="n"/>
      <c r="F254" s="11" t="n"/>
      <c r="G254" s="11" t="n"/>
      <c r="H254" s="11" t="n"/>
      <c r="J254" s="10" t="n"/>
      <c r="K254" s="11" t="n"/>
      <c r="L254" s="10" t="n"/>
      <c r="M254" s="11" t="n"/>
      <c r="N254" s="10" t="n"/>
      <c r="O254" s="11" t="n"/>
      <c r="P254" s="6" t="n"/>
      <c r="Q254" s="11" t="n"/>
      <c r="S254" s="8">
        <f>IF(B254="","",E254*F254)</f>
        <v/>
      </c>
      <c r="T254" s="8">
        <f>IF(OR(B254="",N(G254)=0),"",ABS(F254-G254)*E254)</f>
        <v/>
      </c>
      <c r="U254" s="8">
        <f>IF(OR(B254="",P254=""),"",IF(D254="Venda",-1,1)*((N(J254)*N(K254)+N(L254)*N(M254)+N(N254)*N(O254))-(N(J254)+N(L254)+N(N254))*F254)-N(Q254))</f>
        <v/>
      </c>
      <c r="V254" s="9">
        <f>IF(OR(B254="",P254=""),"",U254/S254)</f>
        <v/>
      </c>
      <c r="W254">
        <f>IF(OR(B254="",P254=""),"",P254-C254)</f>
        <v/>
      </c>
      <c r="X254">
        <f>IF(B254="","",IF(P254="","Aberto","Fechado"))</f>
        <v/>
      </c>
    </row>
    <row r="255">
      <c r="C255" s="6" t="n"/>
      <c r="E255" s="10" t="n"/>
      <c r="F255" s="11" t="n"/>
      <c r="G255" s="11" t="n"/>
      <c r="H255" s="11" t="n"/>
      <c r="J255" s="10" t="n"/>
      <c r="K255" s="11" t="n"/>
      <c r="L255" s="10" t="n"/>
      <c r="M255" s="11" t="n"/>
      <c r="N255" s="10" t="n"/>
      <c r="O255" s="11" t="n"/>
      <c r="P255" s="6" t="n"/>
      <c r="Q255" s="11" t="n"/>
      <c r="S255" s="8">
        <f>IF(B255="","",E255*F255)</f>
        <v/>
      </c>
      <c r="T255" s="8">
        <f>IF(OR(B255="",N(G255)=0),"",ABS(F255-G255)*E255)</f>
        <v/>
      </c>
      <c r="U255" s="8">
        <f>IF(OR(B255="",P255=""),"",IF(D255="Venda",-1,1)*((N(J255)*N(K255)+N(L255)*N(M255)+N(N255)*N(O255))-(N(J255)+N(L255)+N(N255))*F255)-N(Q255))</f>
        <v/>
      </c>
      <c r="V255" s="9">
        <f>IF(OR(B255="",P255=""),"",U255/S255)</f>
        <v/>
      </c>
      <c r="W255">
        <f>IF(OR(B255="",P255=""),"",P255-C255)</f>
        <v/>
      </c>
      <c r="X255">
        <f>IF(B255="","",IF(P255="","Aberto","Fechado"))</f>
        <v/>
      </c>
    </row>
    <row r="256">
      <c r="C256" s="6" t="n"/>
      <c r="E256" s="10" t="n"/>
      <c r="F256" s="11" t="n"/>
      <c r="G256" s="11" t="n"/>
      <c r="H256" s="11" t="n"/>
      <c r="J256" s="10" t="n"/>
      <c r="K256" s="11" t="n"/>
      <c r="L256" s="10" t="n"/>
      <c r="M256" s="11" t="n"/>
      <c r="N256" s="10" t="n"/>
      <c r="O256" s="11" t="n"/>
      <c r="P256" s="6" t="n"/>
      <c r="Q256" s="11" t="n"/>
      <c r="S256" s="8">
        <f>IF(B256="","",E256*F256)</f>
        <v/>
      </c>
      <c r="T256" s="8">
        <f>IF(OR(B256="",N(G256)=0),"",ABS(F256-G256)*E256)</f>
        <v/>
      </c>
      <c r="U256" s="8">
        <f>IF(OR(B256="",P256=""),"",IF(D256="Venda",-1,1)*((N(J256)*N(K256)+N(L256)*N(M256)+N(N256)*N(O256))-(N(J256)+N(L256)+N(N256))*F256)-N(Q256))</f>
        <v/>
      </c>
      <c r="V256" s="9">
        <f>IF(OR(B256="",P256=""),"",U256/S256)</f>
        <v/>
      </c>
      <c r="W256">
        <f>IF(OR(B256="",P256=""),"",P256-C256)</f>
        <v/>
      </c>
      <c r="X256">
        <f>IF(B256="","",IF(P256="","Aberto","Fechado"))</f>
        <v/>
      </c>
    </row>
    <row r="257">
      <c r="C257" s="6" t="n"/>
      <c r="E257" s="10" t="n"/>
      <c r="F257" s="11" t="n"/>
      <c r="G257" s="11" t="n"/>
      <c r="H257" s="11" t="n"/>
      <c r="J257" s="10" t="n"/>
      <c r="K257" s="11" t="n"/>
      <c r="L257" s="10" t="n"/>
      <c r="M257" s="11" t="n"/>
      <c r="N257" s="10" t="n"/>
      <c r="O257" s="11" t="n"/>
      <c r="P257" s="6" t="n"/>
      <c r="Q257" s="11" t="n"/>
      <c r="S257" s="8">
        <f>IF(B257="","",E257*F257)</f>
        <v/>
      </c>
      <c r="T257" s="8">
        <f>IF(OR(B257="",N(G257)=0),"",ABS(F257-G257)*E257)</f>
        <v/>
      </c>
      <c r="U257" s="8">
        <f>IF(OR(B257="",P257=""),"",IF(D257="Venda",-1,1)*((N(J257)*N(K257)+N(L257)*N(M257)+N(N257)*N(O257))-(N(J257)+N(L257)+N(N257))*F257)-N(Q257))</f>
        <v/>
      </c>
      <c r="V257" s="9">
        <f>IF(OR(B257="",P257=""),"",U257/S257)</f>
        <v/>
      </c>
      <c r="W257">
        <f>IF(OR(B257="",P257=""),"",P257-C257)</f>
        <v/>
      </c>
      <c r="X257">
        <f>IF(B257="","",IF(P257="","Aberto","Fechado"))</f>
        <v/>
      </c>
    </row>
    <row r="258">
      <c r="C258" s="6" t="n"/>
      <c r="E258" s="10" t="n"/>
      <c r="F258" s="11" t="n"/>
      <c r="G258" s="11" t="n"/>
      <c r="H258" s="11" t="n"/>
      <c r="J258" s="10" t="n"/>
      <c r="K258" s="11" t="n"/>
      <c r="L258" s="10" t="n"/>
      <c r="M258" s="11" t="n"/>
      <c r="N258" s="10" t="n"/>
      <c r="O258" s="11" t="n"/>
      <c r="P258" s="6" t="n"/>
      <c r="Q258" s="11" t="n"/>
      <c r="S258" s="8">
        <f>IF(B258="","",E258*F258)</f>
        <v/>
      </c>
      <c r="T258" s="8">
        <f>IF(OR(B258="",N(G258)=0),"",ABS(F258-G258)*E258)</f>
        <v/>
      </c>
      <c r="U258" s="8">
        <f>IF(OR(B258="",P258=""),"",IF(D258="Venda",-1,1)*((N(J258)*N(K258)+N(L258)*N(M258)+N(N258)*N(O258))-(N(J258)+N(L258)+N(N258))*F258)-N(Q258))</f>
        <v/>
      </c>
      <c r="V258" s="9">
        <f>IF(OR(B258="",P258=""),"",U258/S258)</f>
        <v/>
      </c>
      <c r="W258">
        <f>IF(OR(B258="",P258=""),"",P258-C258)</f>
        <v/>
      </c>
      <c r="X258">
        <f>IF(B258="","",IF(P258="","Aberto","Fechado"))</f>
        <v/>
      </c>
    </row>
    <row r="259">
      <c r="C259" s="6" t="n"/>
      <c r="E259" s="10" t="n"/>
      <c r="F259" s="11" t="n"/>
      <c r="G259" s="11" t="n"/>
      <c r="H259" s="11" t="n"/>
      <c r="J259" s="10" t="n"/>
      <c r="K259" s="11" t="n"/>
      <c r="L259" s="10" t="n"/>
      <c r="M259" s="11" t="n"/>
      <c r="N259" s="10" t="n"/>
      <c r="O259" s="11" t="n"/>
      <c r="P259" s="6" t="n"/>
      <c r="Q259" s="11" t="n"/>
      <c r="S259" s="8">
        <f>IF(B259="","",E259*F259)</f>
        <v/>
      </c>
      <c r="T259" s="8">
        <f>IF(OR(B259="",N(G259)=0),"",ABS(F259-G259)*E259)</f>
        <v/>
      </c>
      <c r="U259" s="8">
        <f>IF(OR(B259="",P259=""),"",IF(D259="Venda",-1,1)*((N(J259)*N(K259)+N(L259)*N(M259)+N(N259)*N(O259))-(N(J259)+N(L259)+N(N259))*F259)-N(Q259))</f>
        <v/>
      </c>
      <c r="V259" s="9">
        <f>IF(OR(B259="",P259=""),"",U259/S259)</f>
        <v/>
      </c>
      <c r="W259">
        <f>IF(OR(B259="",P259=""),"",P259-C259)</f>
        <v/>
      </c>
      <c r="X259">
        <f>IF(B259="","",IF(P259="","Aberto","Fechado"))</f>
        <v/>
      </c>
    </row>
    <row r="260">
      <c r="C260" s="6" t="n"/>
      <c r="E260" s="10" t="n"/>
      <c r="F260" s="11" t="n"/>
      <c r="G260" s="11" t="n"/>
      <c r="H260" s="11" t="n"/>
      <c r="J260" s="10" t="n"/>
      <c r="K260" s="11" t="n"/>
      <c r="L260" s="10" t="n"/>
      <c r="M260" s="11" t="n"/>
      <c r="N260" s="10" t="n"/>
      <c r="O260" s="11" t="n"/>
      <c r="P260" s="6" t="n"/>
      <c r="Q260" s="11" t="n"/>
      <c r="S260" s="8">
        <f>IF(B260="","",E260*F260)</f>
        <v/>
      </c>
      <c r="T260" s="8">
        <f>IF(OR(B260="",N(G260)=0),"",ABS(F260-G260)*E260)</f>
        <v/>
      </c>
      <c r="U260" s="8">
        <f>IF(OR(B260="",P260=""),"",IF(D260="Venda",-1,1)*((N(J260)*N(K260)+N(L260)*N(M260)+N(N260)*N(O260))-(N(J260)+N(L260)+N(N260))*F260)-N(Q260))</f>
        <v/>
      </c>
      <c r="V260" s="9">
        <f>IF(OR(B260="",P260=""),"",U260/S260)</f>
        <v/>
      </c>
      <c r="W260">
        <f>IF(OR(B260="",P260=""),"",P260-C260)</f>
        <v/>
      </c>
      <c r="X260">
        <f>IF(B260="","",IF(P260="","Aberto","Fechado"))</f>
        <v/>
      </c>
    </row>
    <row r="261">
      <c r="C261" s="6" t="n"/>
      <c r="E261" s="10" t="n"/>
      <c r="F261" s="11" t="n"/>
      <c r="G261" s="11" t="n"/>
      <c r="H261" s="11" t="n"/>
      <c r="J261" s="10" t="n"/>
      <c r="K261" s="11" t="n"/>
      <c r="L261" s="10" t="n"/>
      <c r="M261" s="11" t="n"/>
      <c r="N261" s="10" t="n"/>
      <c r="O261" s="11" t="n"/>
      <c r="P261" s="6" t="n"/>
      <c r="Q261" s="11" t="n"/>
      <c r="S261" s="8">
        <f>IF(B261="","",E261*F261)</f>
        <v/>
      </c>
      <c r="T261" s="8">
        <f>IF(OR(B261="",N(G261)=0),"",ABS(F261-G261)*E261)</f>
        <v/>
      </c>
      <c r="U261" s="8">
        <f>IF(OR(B261="",P261=""),"",IF(D261="Venda",-1,1)*((N(J261)*N(K261)+N(L261)*N(M261)+N(N261)*N(O261))-(N(J261)+N(L261)+N(N261))*F261)-N(Q261))</f>
        <v/>
      </c>
      <c r="V261" s="9">
        <f>IF(OR(B261="",P261=""),"",U261/S261)</f>
        <v/>
      </c>
      <c r="W261">
        <f>IF(OR(B261="",P261=""),"",P261-C261)</f>
        <v/>
      </c>
      <c r="X261">
        <f>IF(B261="","",IF(P261="","Aberto","Fechado"))</f>
        <v/>
      </c>
    </row>
    <row r="262">
      <c r="C262" s="6" t="n"/>
      <c r="E262" s="10" t="n"/>
      <c r="F262" s="11" t="n"/>
      <c r="G262" s="11" t="n"/>
      <c r="H262" s="11" t="n"/>
      <c r="J262" s="10" t="n"/>
      <c r="K262" s="11" t="n"/>
      <c r="L262" s="10" t="n"/>
      <c r="M262" s="11" t="n"/>
      <c r="N262" s="10" t="n"/>
      <c r="O262" s="11" t="n"/>
      <c r="P262" s="6" t="n"/>
      <c r="Q262" s="11" t="n"/>
      <c r="S262" s="8">
        <f>IF(B262="","",E262*F262)</f>
        <v/>
      </c>
      <c r="T262" s="8">
        <f>IF(OR(B262="",N(G262)=0),"",ABS(F262-G262)*E262)</f>
        <v/>
      </c>
      <c r="U262" s="8">
        <f>IF(OR(B262="",P262=""),"",IF(D262="Venda",-1,1)*((N(J262)*N(K262)+N(L262)*N(M262)+N(N262)*N(O262))-(N(J262)+N(L262)+N(N262))*F262)-N(Q262))</f>
        <v/>
      </c>
      <c r="V262" s="9">
        <f>IF(OR(B262="",P262=""),"",U262/S262)</f>
        <v/>
      </c>
      <c r="W262">
        <f>IF(OR(B262="",P262=""),"",P262-C262)</f>
        <v/>
      </c>
      <c r="X262">
        <f>IF(B262="","",IF(P262="","Aberto","Fechado"))</f>
        <v/>
      </c>
    </row>
    <row r="263">
      <c r="C263" s="6" t="n"/>
      <c r="E263" s="10" t="n"/>
      <c r="F263" s="11" t="n"/>
      <c r="G263" s="11" t="n"/>
      <c r="H263" s="11" t="n"/>
      <c r="J263" s="10" t="n"/>
      <c r="K263" s="11" t="n"/>
      <c r="L263" s="10" t="n"/>
      <c r="M263" s="11" t="n"/>
      <c r="N263" s="10" t="n"/>
      <c r="O263" s="11" t="n"/>
      <c r="P263" s="6" t="n"/>
      <c r="Q263" s="11" t="n"/>
      <c r="S263" s="8">
        <f>IF(B263="","",E263*F263)</f>
        <v/>
      </c>
      <c r="T263" s="8">
        <f>IF(OR(B263="",N(G263)=0),"",ABS(F263-G263)*E263)</f>
        <v/>
      </c>
      <c r="U263" s="8">
        <f>IF(OR(B263="",P263=""),"",IF(D263="Venda",-1,1)*((N(J263)*N(K263)+N(L263)*N(M263)+N(N263)*N(O263))-(N(J263)+N(L263)+N(N263))*F263)-N(Q263))</f>
        <v/>
      </c>
      <c r="V263" s="9">
        <f>IF(OR(B263="",P263=""),"",U263/S263)</f>
        <v/>
      </c>
      <c r="W263">
        <f>IF(OR(B263="",P263=""),"",P263-C263)</f>
        <v/>
      </c>
      <c r="X263">
        <f>IF(B263="","",IF(P263="","Aberto","Fechado"))</f>
        <v/>
      </c>
    </row>
    <row r="264">
      <c r="C264" s="6" t="n"/>
      <c r="E264" s="10" t="n"/>
      <c r="F264" s="11" t="n"/>
      <c r="G264" s="11" t="n"/>
      <c r="H264" s="11" t="n"/>
      <c r="J264" s="10" t="n"/>
      <c r="K264" s="11" t="n"/>
      <c r="L264" s="10" t="n"/>
      <c r="M264" s="11" t="n"/>
      <c r="N264" s="10" t="n"/>
      <c r="O264" s="11" t="n"/>
      <c r="P264" s="6" t="n"/>
      <c r="Q264" s="11" t="n"/>
      <c r="S264" s="8">
        <f>IF(B264="","",E264*F264)</f>
        <v/>
      </c>
      <c r="T264" s="8">
        <f>IF(OR(B264="",N(G264)=0),"",ABS(F264-G264)*E264)</f>
        <v/>
      </c>
      <c r="U264" s="8">
        <f>IF(OR(B264="",P264=""),"",IF(D264="Venda",-1,1)*((N(J264)*N(K264)+N(L264)*N(M264)+N(N264)*N(O264))-(N(J264)+N(L264)+N(N264))*F264)-N(Q264))</f>
        <v/>
      </c>
      <c r="V264" s="9">
        <f>IF(OR(B264="",P264=""),"",U264/S264)</f>
        <v/>
      </c>
      <c r="W264">
        <f>IF(OR(B264="",P264=""),"",P264-C264)</f>
        <v/>
      </c>
      <c r="X264">
        <f>IF(B264="","",IF(P264="","Aberto","Fechado"))</f>
        <v/>
      </c>
    </row>
    <row r="265">
      <c r="C265" s="6" t="n"/>
      <c r="E265" s="10" t="n"/>
      <c r="F265" s="11" t="n"/>
      <c r="G265" s="11" t="n"/>
      <c r="H265" s="11" t="n"/>
      <c r="J265" s="10" t="n"/>
      <c r="K265" s="11" t="n"/>
      <c r="L265" s="10" t="n"/>
      <c r="M265" s="11" t="n"/>
      <c r="N265" s="10" t="n"/>
      <c r="O265" s="11" t="n"/>
      <c r="P265" s="6" t="n"/>
      <c r="Q265" s="11" t="n"/>
      <c r="S265" s="8">
        <f>IF(B265="","",E265*F265)</f>
        <v/>
      </c>
      <c r="T265" s="8">
        <f>IF(OR(B265="",N(G265)=0),"",ABS(F265-G265)*E265)</f>
        <v/>
      </c>
      <c r="U265" s="8">
        <f>IF(OR(B265="",P265=""),"",IF(D265="Venda",-1,1)*((N(J265)*N(K265)+N(L265)*N(M265)+N(N265)*N(O265))-(N(J265)+N(L265)+N(N265))*F265)-N(Q265))</f>
        <v/>
      </c>
      <c r="V265" s="9">
        <f>IF(OR(B265="",P265=""),"",U265/S265)</f>
        <v/>
      </c>
      <c r="W265">
        <f>IF(OR(B265="",P265=""),"",P265-C265)</f>
        <v/>
      </c>
      <c r="X265">
        <f>IF(B265="","",IF(P265="","Aberto","Fechado"))</f>
        <v/>
      </c>
    </row>
    <row r="266">
      <c r="C266" s="6" t="n"/>
      <c r="E266" s="10" t="n"/>
      <c r="F266" s="11" t="n"/>
      <c r="G266" s="11" t="n"/>
      <c r="H266" s="11" t="n"/>
      <c r="J266" s="10" t="n"/>
      <c r="K266" s="11" t="n"/>
      <c r="L266" s="10" t="n"/>
      <c r="M266" s="11" t="n"/>
      <c r="N266" s="10" t="n"/>
      <c r="O266" s="11" t="n"/>
      <c r="P266" s="6" t="n"/>
      <c r="Q266" s="11" t="n"/>
      <c r="S266" s="8">
        <f>IF(B266="","",E266*F266)</f>
        <v/>
      </c>
      <c r="T266" s="8">
        <f>IF(OR(B266="",N(G266)=0),"",ABS(F266-G266)*E266)</f>
        <v/>
      </c>
      <c r="U266" s="8">
        <f>IF(OR(B266="",P266=""),"",IF(D266="Venda",-1,1)*((N(J266)*N(K266)+N(L266)*N(M266)+N(N266)*N(O266))-(N(J266)+N(L266)+N(N266))*F266)-N(Q266))</f>
        <v/>
      </c>
      <c r="V266" s="9">
        <f>IF(OR(B266="",P266=""),"",U266/S266)</f>
        <v/>
      </c>
      <c r="W266">
        <f>IF(OR(B266="",P266=""),"",P266-C266)</f>
        <v/>
      </c>
      <c r="X266">
        <f>IF(B266="","",IF(P266="","Aberto","Fechado"))</f>
        <v/>
      </c>
    </row>
    <row r="267">
      <c r="C267" s="6" t="n"/>
      <c r="E267" s="10" t="n"/>
      <c r="F267" s="11" t="n"/>
      <c r="G267" s="11" t="n"/>
      <c r="H267" s="11" t="n"/>
      <c r="J267" s="10" t="n"/>
      <c r="K267" s="11" t="n"/>
      <c r="L267" s="10" t="n"/>
      <c r="M267" s="11" t="n"/>
      <c r="N267" s="10" t="n"/>
      <c r="O267" s="11" t="n"/>
      <c r="P267" s="6" t="n"/>
      <c r="Q267" s="11" t="n"/>
      <c r="S267" s="8">
        <f>IF(B267="","",E267*F267)</f>
        <v/>
      </c>
      <c r="T267" s="8">
        <f>IF(OR(B267="",N(G267)=0),"",ABS(F267-G267)*E267)</f>
        <v/>
      </c>
      <c r="U267" s="8">
        <f>IF(OR(B267="",P267=""),"",IF(D267="Venda",-1,1)*((N(J267)*N(K267)+N(L267)*N(M267)+N(N267)*N(O267))-(N(J267)+N(L267)+N(N267))*F267)-N(Q267))</f>
        <v/>
      </c>
      <c r="V267" s="9">
        <f>IF(OR(B267="",P267=""),"",U267/S267)</f>
        <v/>
      </c>
      <c r="W267">
        <f>IF(OR(B267="",P267=""),"",P267-C267)</f>
        <v/>
      </c>
      <c r="X267">
        <f>IF(B267="","",IF(P267="","Aberto","Fechado"))</f>
        <v/>
      </c>
    </row>
    <row r="268">
      <c r="C268" s="6" t="n"/>
      <c r="E268" s="10" t="n"/>
      <c r="F268" s="11" t="n"/>
      <c r="G268" s="11" t="n"/>
      <c r="H268" s="11" t="n"/>
      <c r="J268" s="10" t="n"/>
      <c r="K268" s="11" t="n"/>
      <c r="L268" s="10" t="n"/>
      <c r="M268" s="11" t="n"/>
      <c r="N268" s="10" t="n"/>
      <c r="O268" s="11" t="n"/>
      <c r="P268" s="6" t="n"/>
      <c r="Q268" s="11" t="n"/>
      <c r="S268" s="8">
        <f>IF(B268="","",E268*F268)</f>
        <v/>
      </c>
      <c r="T268" s="8">
        <f>IF(OR(B268="",N(G268)=0),"",ABS(F268-G268)*E268)</f>
        <v/>
      </c>
      <c r="U268" s="8">
        <f>IF(OR(B268="",P268=""),"",IF(D268="Venda",-1,1)*((N(J268)*N(K268)+N(L268)*N(M268)+N(N268)*N(O268))-(N(J268)+N(L268)+N(N268))*F268)-N(Q268))</f>
        <v/>
      </c>
      <c r="V268" s="9">
        <f>IF(OR(B268="",P268=""),"",U268/S268)</f>
        <v/>
      </c>
      <c r="W268">
        <f>IF(OR(B268="",P268=""),"",P268-C268)</f>
        <v/>
      </c>
      <c r="X268">
        <f>IF(B268="","",IF(P268="","Aberto","Fechado"))</f>
        <v/>
      </c>
    </row>
    <row r="269">
      <c r="C269" s="6" t="n"/>
      <c r="E269" s="10" t="n"/>
      <c r="F269" s="11" t="n"/>
      <c r="G269" s="11" t="n"/>
      <c r="H269" s="11" t="n"/>
      <c r="J269" s="10" t="n"/>
      <c r="K269" s="11" t="n"/>
      <c r="L269" s="10" t="n"/>
      <c r="M269" s="11" t="n"/>
      <c r="N269" s="10" t="n"/>
      <c r="O269" s="11" t="n"/>
      <c r="P269" s="6" t="n"/>
      <c r="Q269" s="11" t="n"/>
      <c r="S269" s="8">
        <f>IF(B269="","",E269*F269)</f>
        <v/>
      </c>
      <c r="T269" s="8">
        <f>IF(OR(B269="",N(G269)=0),"",ABS(F269-G269)*E269)</f>
        <v/>
      </c>
      <c r="U269" s="8">
        <f>IF(OR(B269="",P269=""),"",IF(D269="Venda",-1,1)*((N(J269)*N(K269)+N(L269)*N(M269)+N(N269)*N(O269))-(N(J269)+N(L269)+N(N269))*F269)-N(Q269))</f>
        <v/>
      </c>
      <c r="V269" s="9">
        <f>IF(OR(B269="",P269=""),"",U269/S269)</f>
        <v/>
      </c>
      <c r="W269">
        <f>IF(OR(B269="",P269=""),"",P269-C269)</f>
        <v/>
      </c>
      <c r="X269">
        <f>IF(B269="","",IF(P269="","Aberto","Fechado"))</f>
        <v/>
      </c>
    </row>
    <row r="270">
      <c r="C270" s="6" t="n"/>
      <c r="E270" s="10" t="n"/>
      <c r="F270" s="11" t="n"/>
      <c r="G270" s="11" t="n"/>
      <c r="H270" s="11" t="n"/>
      <c r="J270" s="10" t="n"/>
      <c r="K270" s="11" t="n"/>
      <c r="L270" s="10" t="n"/>
      <c r="M270" s="11" t="n"/>
      <c r="N270" s="10" t="n"/>
      <c r="O270" s="11" t="n"/>
      <c r="P270" s="6" t="n"/>
      <c r="Q270" s="11" t="n"/>
      <c r="S270" s="8">
        <f>IF(B270="","",E270*F270)</f>
        <v/>
      </c>
      <c r="T270" s="8">
        <f>IF(OR(B270="",N(G270)=0),"",ABS(F270-G270)*E270)</f>
        <v/>
      </c>
      <c r="U270" s="8">
        <f>IF(OR(B270="",P270=""),"",IF(D270="Venda",-1,1)*((N(J270)*N(K270)+N(L270)*N(M270)+N(N270)*N(O270))-(N(J270)+N(L270)+N(N270))*F270)-N(Q270))</f>
        <v/>
      </c>
      <c r="V270" s="9">
        <f>IF(OR(B270="",P270=""),"",U270/S270)</f>
        <v/>
      </c>
      <c r="W270">
        <f>IF(OR(B270="",P270=""),"",P270-C270)</f>
        <v/>
      </c>
      <c r="X270">
        <f>IF(B270="","",IF(P270="","Aberto","Fechado"))</f>
        <v/>
      </c>
    </row>
    <row r="271">
      <c r="C271" s="6" t="n"/>
      <c r="E271" s="10" t="n"/>
      <c r="F271" s="11" t="n"/>
      <c r="G271" s="11" t="n"/>
      <c r="H271" s="11" t="n"/>
      <c r="J271" s="10" t="n"/>
      <c r="K271" s="11" t="n"/>
      <c r="L271" s="10" t="n"/>
      <c r="M271" s="11" t="n"/>
      <c r="N271" s="10" t="n"/>
      <c r="O271" s="11" t="n"/>
      <c r="P271" s="6" t="n"/>
      <c r="Q271" s="11" t="n"/>
      <c r="S271" s="8">
        <f>IF(B271="","",E271*F271)</f>
        <v/>
      </c>
      <c r="T271" s="8">
        <f>IF(OR(B271="",N(G271)=0),"",ABS(F271-G271)*E271)</f>
        <v/>
      </c>
      <c r="U271" s="8">
        <f>IF(OR(B271="",P271=""),"",IF(D271="Venda",-1,1)*((N(J271)*N(K271)+N(L271)*N(M271)+N(N271)*N(O271))-(N(J271)+N(L271)+N(N271))*F271)-N(Q271))</f>
        <v/>
      </c>
      <c r="V271" s="9">
        <f>IF(OR(B271="",P271=""),"",U271/S271)</f>
        <v/>
      </c>
      <c r="W271">
        <f>IF(OR(B271="",P271=""),"",P271-C271)</f>
        <v/>
      </c>
      <c r="X271">
        <f>IF(B271="","",IF(P271="","Aberto","Fechado"))</f>
        <v/>
      </c>
    </row>
    <row r="272">
      <c r="C272" s="6" t="n"/>
      <c r="E272" s="10" t="n"/>
      <c r="F272" s="11" t="n"/>
      <c r="G272" s="11" t="n"/>
      <c r="H272" s="11" t="n"/>
      <c r="J272" s="10" t="n"/>
      <c r="K272" s="11" t="n"/>
      <c r="L272" s="10" t="n"/>
      <c r="M272" s="11" t="n"/>
      <c r="N272" s="10" t="n"/>
      <c r="O272" s="11" t="n"/>
      <c r="P272" s="6" t="n"/>
      <c r="Q272" s="11" t="n"/>
      <c r="S272" s="8">
        <f>IF(B272="","",E272*F272)</f>
        <v/>
      </c>
      <c r="T272" s="8">
        <f>IF(OR(B272="",N(G272)=0),"",ABS(F272-G272)*E272)</f>
        <v/>
      </c>
      <c r="U272" s="8">
        <f>IF(OR(B272="",P272=""),"",IF(D272="Venda",-1,1)*((N(J272)*N(K272)+N(L272)*N(M272)+N(N272)*N(O272))-(N(J272)+N(L272)+N(N272))*F272)-N(Q272))</f>
        <v/>
      </c>
      <c r="V272" s="9">
        <f>IF(OR(B272="",P272=""),"",U272/S272)</f>
        <v/>
      </c>
      <c r="W272">
        <f>IF(OR(B272="",P272=""),"",P272-C272)</f>
        <v/>
      </c>
      <c r="X272">
        <f>IF(B272="","",IF(P272="","Aberto","Fechado"))</f>
        <v/>
      </c>
    </row>
    <row r="273">
      <c r="C273" s="6" t="n"/>
      <c r="E273" s="10" t="n"/>
      <c r="F273" s="11" t="n"/>
      <c r="G273" s="11" t="n"/>
      <c r="H273" s="11" t="n"/>
      <c r="J273" s="10" t="n"/>
      <c r="K273" s="11" t="n"/>
      <c r="L273" s="10" t="n"/>
      <c r="M273" s="11" t="n"/>
      <c r="N273" s="10" t="n"/>
      <c r="O273" s="11" t="n"/>
      <c r="P273" s="6" t="n"/>
      <c r="Q273" s="11" t="n"/>
      <c r="S273" s="8">
        <f>IF(B273="","",E273*F273)</f>
        <v/>
      </c>
      <c r="T273" s="8">
        <f>IF(OR(B273="",N(G273)=0),"",ABS(F273-G273)*E273)</f>
        <v/>
      </c>
      <c r="U273" s="8">
        <f>IF(OR(B273="",P273=""),"",IF(D273="Venda",-1,1)*((N(J273)*N(K273)+N(L273)*N(M273)+N(N273)*N(O273))-(N(J273)+N(L273)+N(N273))*F273)-N(Q273))</f>
        <v/>
      </c>
      <c r="V273" s="9">
        <f>IF(OR(B273="",P273=""),"",U273/S273)</f>
        <v/>
      </c>
      <c r="W273">
        <f>IF(OR(B273="",P273=""),"",P273-C273)</f>
        <v/>
      </c>
      <c r="X273">
        <f>IF(B273="","",IF(P273="","Aberto","Fechado"))</f>
        <v/>
      </c>
    </row>
    <row r="274">
      <c r="C274" s="6" t="n"/>
      <c r="E274" s="10" t="n"/>
      <c r="F274" s="11" t="n"/>
      <c r="G274" s="11" t="n"/>
      <c r="H274" s="11" t="n"/>
      <c r="J274" s="10" t="n"/>
      <c r="K274" s="11" t="n"/>
      <c r="L274" s="10" t="n"/>
      <c r="M274" s="11" t="n"/>
      <c r="N274" s="10" t="n"/>
      <c r="O274" s="11" t="n"/>
      <c r="P274" s="6" t="n"/>
      <c r="Q274" s="11" t="n"/>
      <c r="S274" s="8">
        <f>IF(B274="","",E274*F274)</f>
        <v/>
      </c>
      <c r="T274" s="8">
        <f>IF(OR(B274="",N(G274)=0),"",ABS(F274-G274)*E274)</f>
        <v/>
      </c>
      <c r="U274" s="8">
        <f>IF(OR(B274="",P274=""),"",IF(D274="Venda",-1,1)*((N(J274)*N(K274)+N(L274)*N(M274)+N(N274)*N(O274))-(N(J274)+N(L274)+N(N274))*F274)-N(Q274))</f>
        <v/>
      </c>
      <c r="V274" s="9">
        <f>IF(OR(B274="",P274=""),"",U274/S274)</f>
        <v/>
      </c>
      <c r="W274">
        <f>IF(OR(B274="",P274=""),"",P274-C274)</f>
        <v/>
      </c>
      <c r="X274">
        <f>IF(B274="","",IF(P274="","Aberto","Fechado"))</f>
        <v/>
      </c>
    </row>
    <row r="275">
      <c r="C275" s="6" t="n"/>
      <c r="E275" s="10" t="n"/>
      <c r="F275" s="11" t="n"/>
      <c r="G275" s="11" t="n"/>
      <c r="H275" s="11" t="n"/>
      <c r="J275" s="10" t="n"/>
      <c r="K275" s="11" t="n"/>
      <c r="L275" s="10" t="n"/>
      <c r="M275" s="11" t="n"/>
      <c r="N275" s="10" t="n"/>
      <c r="O275" s="11" t="n"/>
      <c r="P275" s="6" t="n"/>
      <c r="Q275" s="11" t="n"/>
      <c r="S275" s="8">
        <f>IF(B275="","",E275*F275)</f>
        <v/>
      </c>
      <c r="T275" s="8">
        <f>IF(OR(B275="",N(G275)=0),"",ABS(F275-G275)*E275)</f>
        <v/>
      </c>
      <c r="U275" s="8">
        <f>IF(OR(B275="",P275=""),"",IF(D275="Venda",-1,1)*((N(J275)*N(K275)+N(L275)*N(M275)+N(N275)*N(O275))-(N(J275)+N(L275)+N(N275))*F275)-N(Q275))</f>
        <v/>
      </c>
      <c r="V275" s="9">
        <f>IF(OR(B275="",P275=""),"",U275/S275)</f>
        <v/>
      </c>
      <c r="W275">
        <f>IF(OR(B275="",P275=""),"",P275-C275)</f>
        <v/>
      </c>
      <c r="X275">
        <f>IF(B275="","",IF(P275="","Aberto","Fechado"))</f>
        <v/>
      </c>
    </row>
    <row r="276">
      <c r="C276" s="6" t="n"/>
      <c r="E276" s="10" t="n"/>
      <c r="F276" s="11" t="n"/>
      <c r="G276" s="11" t="n"/>
      <c r="H276" s="11" t="n"/>
      <c r="J276" s="10" t="n"/>
      <c r="K276" s="11" t="n"/>
      <c r="L276" s="10" t="n"/>
      <c r="M276" s="11" t="n"/>
      <c r="N276" s="10" t="n"/>
      <c r="O276" s="11" t="n"/>
      <c r="P276" s="6" t="n"/>
      <c r="Q276" s="11" t="n"/>
      <c r="S276" s="8">
        <f>IF(B276="","",E276*F276)</f>
        <v/>
      </c>
      <c r="T276" s="8">
        <f>IF(OR(B276="",N(G276)=0),"",ABS(F276-G276)*E276)</f>
        <v/>
      </c>
      <c r="U276" s="8">
        <f>IF(OR(B276="",P276=""),"",IF(D276="Venda",-1,1)*((N(J276)*N(K276)+N(L276)*N(M276)+N(N276)*N(O276))-(N(J276)+N(L276)+N(N276))*F276)-N(Q276))</f>
        <v/>
      </c>
      <c r="V276" s="9">
        <f>IF(OR(B276="",P276=""),"",U276/S276)</f>
        <v/>
      </c>
      <c r="W276">
        <f>IF(OR(B276="",P276=""),"",P276-C276)</f>
        <v/>
      </c>
      <c r="X276">
        <f>IF(B276="","",IF(P276="","Aberto","Fechado"))</f>
        <v/>
      </c>
    </row>
    <row r="277">
      <c r="C277" s="6" t="n"/>
      <c r="E277" s="10" t="n"/>
      <c r="F277" s="11" t="n"/>
      <c r="G277" s="11" t="n"/>
      <c r="H277" s="11" t="n"/>
      <c r="J277" s="10" t="n"/>
      <c r="K277" s="11" t="n"/>
      <c r="L277" s="10" t="n"/>
      <c r="M277" s="11" t="n"/>
      <c r="N277" s="10" t="n"/>
      <c r="O277" s="11" t="n"/>
      <c r="P277" s="6" t="n"/>
      <c r="Q277" s="11" t="n"/>
      <c r="S277" s="8">
        <f>IF(B277="","",E277*F277)</f>
        <v/>
      </c>
      <c r="T277" s="8">
        <f>IF(OR(B277="",N(G277)=0),"",ABS(F277-G277)*E277)</f>
        <v/>
      </c>
      <c r="U277" s="8">
        <f>IF(OR(B277="",P277=""),"",IF(D277="Venda",-1,1)*((N(J277)*N(K277)+N(L277)*N(M277)+N(N277)*N(O277))-(N(J277)+N(L277)+N(N277))*F277)-N(Q277))</f>
        <v/>
      </c>
      <c r="V277" s="9">
        <f>IF(OR(B277="",P277=""),"",U277/S277)</f>
        <v/>
      </c>
      <c r="W277">
        <f>IF(OR(B277="",P277=""),"",P277-C277)</f>
        <v/>
      </c>
      <c r="X277">
        <f>IF(B277="","",IF(P277="","Aberto","Fechado"))</f>
        <v/>
      </c>
    </row>
    <row r="278">
      <c r="C278" s="6" t="n"/>
      <c r="E278" s="10" t="n"/>
      <c r="F278" s="11" t="n"/>
      <c r="G278" s="11" t="n"/>
      <c r="H278" s="11" t="n"/>
      <c r="J278" s="10" t="n"/>
      <c r="K278" s="11" t="n"/>
      <c r="L278" s="10" t="n"/>
      <c r="M278" s="11" t="n"/>
      <c r="N278" s="10" t="n"/>
      <c r="O278" s="11" t="n"/>
      <c r="P278" s="6" t="n"/>
      <c r="Q278" s="11" t="n"/>
      <c r="S278" s="8">
        <f>IF(B278="","",E278*F278)</f>
        <v/>
      </c>
      <c r="T278" s="8">
        <f>IF(OR(B278="",N(G278)=0),"",ABS(F278-G278)*E278)</f>
        <v/>
      </c>
      <c r="U278" s="8">
        <f>IF(OR(B278="",P278=""),"",IF(D278="Venda",-1,1)*((N(J278)*N(K278)+N(L278)*N(M278)+N(N278)*N(O278))-(N(J278)+N(L278)+N(N278))*F278)-N(Q278))</f>
        <v/>
      </c>
      <c r="V278" s="9">
        <f>IF(OR(B278="",P278=""),"",U278/S278)</f>
        <v/>
      </c>
      <c r="W278">
        <f>IF(OR(B278="",P278=""),"",P278-C278)</f>
        <v/>
      </c>
      <c r="X278">
        <f>IF(B278="","",IF(P278="","Aberto","Fechado"))</f>
        <v/>
      </c>
    </row>
    <row r="279">
      <c r="C279" s="6" t="n"/>
      <c r="E279" s="10" t="n"/>
      <c r="F279" s="11" t="n"/>
      <c r="G279" s="11" t="n"/>
      <c r="H279" s="11" t="n"/>
      <c r="J279" s="10" t="n"/>
      <c r="K279" s="11" t="n"/>
      <c r="L279" s="10" t="n"/>
      <c r="M279" s="11" t="n"/>
      <c r="N279" s="10" t="n"/>
      <c r="O279" s="11" t="n"/>
      <c r="P279" s="6" t="n"/>
      <c r="Q279" s="11" t="n"/>
      <c r="S279" s="8">
        <f>IF(B279="","",E279*F279)</f>
        <v/>
      </c>
      <c r="T279" s="8">
        <f>IF(OR(B279="",N(G279)=0),"",ABS(F279-G279)*E279)</f>
        <v/>
      </c>
      <c r="U279" s="8">
        <f>IF(OR(B279="",P279=""),"",IF(D279="Venda",-1,1)*((N(J279)*N(K279)+N(L279)*N(M279)+N(N279)*N(O279))-(N(J279)+N(L279)+N(N279))*F279)-N(Q279))</f>
        <v/>
      </c>
      <c r="V279" s="9">
        <f>IF(OR(B279="",P279=""),"",U279/S279)</f>
        <v/>
      </c>
      <c r="W279">
        <f>IF(OR(B279="",P279=""),"",P279-C279)</f>
        <v/>
      </c>
      <c r="X279">
        <f>IF(B279="","",IF(P279="","Aberto","Fechado"))</f>
        <v/>
      </c>
    </row>
    <row r="280">
      <c r="C280" s="6" t="n"/>
      <c r="E280" s="10" t="n"/>
      <c r="F280" s="11" t="n"/>
      <c r="G280" s="11" t="n"/>
      <c r="H280" s="11" t="n"/>
      <c r="J280" s="10" t="n"/>
      <c r="K280" s="11" t="n"/>
      <c r="L280" s="10" t="n"/>
      <c r="M280" s="11" t="n"/>
      <c r="N280" s="10" t="n"/>
      <c r="O280" s="11" t="n"/>
      <c r="P280" s="6" t="n"/>
      <c r="Q280" s="11" t="n"/>
      <c r="S280" s="8">
        <f>IF(B280="","",E280*F280)</f>
        <v/>
      </c>
      <c r="T280" s="8">
        <f>IF(OR(B280="",N(G280)=0),"",ABS(F280-G280)*E280)</f>
        <v/>
      </c>
      <c r="U280" s="8">
        <f>IF(OR(B280="",P280=""),"",IF(D280="Venda",-1,1)*((N(J280)*N(K280)+N(L280)*N(M280)+N(N280)*N(O280))-(N(J280)+N(L280)+N(N280))*F280)-N(Q280))</f>
        <v/>
      </c>
      <c r="V280" s="9">
        <f>IF(OR(B280="",P280=""),"",U280/S280)</f>
        <v/>
      </c>
      <c r="W280">
        <f>IF(OR(B280="",P280=""),"",P280-C280)</f>
        <v/>
      </c>
      <c r="X280">
        <f>IF(B280="","",IF(P280="","Aberto","Fechado"))</f>
        <v/>
      </c>
    </row>
    <row r="281">
      <c r="C281" s="6" t="n"/>
      <c r="E281" s="10" t="n"/>
      <c r="F281" s="11" t="n"/>
      <c r="G281" s="11" t="n"/>
      <c r="H281" s="11" t="n"/>
      <c r="J281" s="10" t="n"/>
      <c r="K281" s="11" t="n"/>
      <c r="L281" s="10" t="n"/>
      <c r="M281" s="11" t="n"/>
      <c r="N281" s="10" t="n"/>
      <c r="O281" s="11" t="n"/>
      <c r="P281" s="6" t="n"/>
      <c r="Q281" s="11" t="n"/>
      <c r="S281" s="8">
        <f>IF(B281="","",E281*F281)</f>
        <v/>
      </c>
      <c r="T281" s="8">
        <f>IF(OR(B281="",N(G281)=0),"",ABS(F281-G281)*E281)</f>
        <v/>
      </c>
      <c r="U281" s="8">
        <f>IF(OR(B281="",P281=""),"",IF(D281="Venda",-1,1)*((N(J281)*N(K281)+N(L281)*N(M281)+N(N281)*N(O281))-(N(J281)+N(L281)+N(N281))*F281)-N(Q281))</f>
        <v/>
      </c>
      <c r="V281" s="9">
        <f>IF(OR(B281="",P281=""),"",U281/S281)</f>
        <v/>
      </c>
      <c r="W281">
        <f>IF(OR(B281="",P281=""),"",P281-C281)</f>
        <v/>
      </c>
      <c r="X281">
        <f>IF(B281="","",IF(P281="","Aberto","Fechado"))</f>
        <v/>
      </c>
    </row>
    <row r="282">
      <c r="C282" s="6" t="n"/>
      <c r="E282" s="10" t="n"/>
      <c r="F282" s="11" t="n"/>
      <c r="G282" s="11" t="n"/>
      <c r="H282" s="11" t="n"/>
      <c r="J282" s="10" t="n"/>
      <c r="K282" s="11" t="n"/>
      <c r="L282" s="10" t="n"/>
      <c r="M282" s="11" t="n"/>
      <c r="N282" s="10" t="n"/>
      <c r="O282" s="11" t="n"/>
      <c r="P282" s="6" t="n"/>
      <c r="Q282" s="11" t="n"/>
      <c r="S282" s="8">
        <f>IF(B282="","",E282*F282)</f>
        <v/>
      </c>
      <c r="T282" s="8">
        <f>IF(OR(B282="",N(G282)=0),"",ABS(F282-G282)*E282)</f>
        <v/>
      </c>
      <c r="U282" s="8">
        <f>IF(OR(B282="",P282=""),"",IF(D282="Venda",-1,1)*((N(J282)*N(K282)+N(L282)*N(M282)+N(N282)*N(O282))-(N(J282)+N(L282)+N(N282))*F282)-N(Q282))</f>
        <v/>
      </c>
      <c r="V282" s="9">
        <f>IF(OR(B282="",P282=""),"",U282/S282)</f>
        <v/>
      </c>
      <c r="W282">
        <f>IF(OR(B282="",P282=""),"",P282-C282)</f>
        <v/>
      </c>
      <c r="X282">
        <f>IF(B282="","",IF(P282="","Aberto","Fechado"))</f>
        <v/>
      </c>
    </row>
    <row r="283">
      <c r="C283" s="6" t="n"/>
      <c r="E283" s="10" t="n"/>
      <c r="F283" s="11" t="n"/>
      <c r="G283" s="11" t="n"/>
      <c r="H283" s="11" t="n"/>
      <c r="J283" s="10" t="n"/>
      <c r="K283" s="11" t="n"/>
      <c r="L283" s="10" t="n"/>
      <c r="M283" s="11" t="n"/>
      <c r="N283" s="10" t="n"/>
      <c r="O283" s="11" t="n"/>
      <c r="P283" s="6" t="n"/>
      <c r="Q283" s="11" t="n"/>
      <c r="S283" s="8">
        <f>IF(B283="","",E283*F283)</f>
        <v/>
      </c>
      <c r="T283" s="8">
        <f>IF(OR(B283="",N(G283)=0),"",ABS(F283-G283)*E283)</f>
        <v/>
      </c>
      <c r="U283" s="8">
        <f>IF(OR(B283="",P283=""),"",IF(D283="Venda",-1,1)*((N(J283)*N(K283)+N(L283)*N(M283)+N(N283)*N(O283))-(N(J283)+N(L283)+N(N283))*F283)-N(Q283))</f>
        <v/>
      </c>
      <c r="V283" s="9">
        <f>IF(OR(B283="",P283=""),"",U283/S283)</f>
        <v/>
      </c>
      <c r="W283">
        <f>IF(OR(B283="",P283=""),"",P283-C283)</f>
        <v/>
      </c>
      <c r="X283">
        <f>IF(B283="","",IF(P283="","Aberto","Fechado"))</f>
        <v/>
      </c>
    </row>
    <row r="284">
      <c r="C284" s="6" t="n"/>
      <c r="E284" s="10" t="n"/>
      <c r="F284" s="11" t="n"/>
      <c r="G284" s="11" t="n"/>
      <c r="H284" s="11" t="n"/>
      <c r="J284" s="10" t="n"/>
      <c r="K284" s="11" t="n"/>
      <c r="L284" s="10" t="n"/>
      <c r="M284" s="11" t="n"/>
      <c r="N284" s="10" t="n"/>
      <c r="O284" s="11" t="n"/>
      <c r="P284" s="6" t="n"/>
      <c r="Q284" s="11" t="n"/>
      <c r="S284" s="8">
        <f>IF(B284="","",E284*F284)</f>
        <v/>
      </c>
      <c r="T284" s="8">
        <f>IF(OR(B284="",N(G284)=0),"",ABS(F284-G284)*E284)</f>
        <v/>
      </c>
      <c r="U284" s="8">
        <f>IF(OR(B284="",P284=""),"",IF(D284="Venda",-1,1)*((N(J284)*N(K284)+N(L284)*N(M284)+N(N284)*N(O284))-(N(J284)+N(L284)+N(N284))*F284)-N(Q284))</f>
        <v/>
      </c>
      <c r="V284" s="9">
        <f>IF(OR(B284="",P284=""),"",U284/S284)</f>
        <v/>
      </c>
      <c r="W284">
        <f>IF(OR(B284="",P284=""),"",P284-C284)</f>
        <v/>
      </c>
      <c r="X284">
        <f>IF(B284="","",IF(P284="","Aberto","Fechado"))</f>
        <v/>
      </c>
    </row>
    <row r="285">
      <c r="C285" s="6" t="n"/>
      <c r="E285" s="10" t="n"/>
      <c r="F285" s="11" t="n"/>
      <c r="G285" s="11" t="n"/>
      <c r="H285" s="11" t="n"/>
      <c r="J285" s="10" t="n"/>
      <c r="K285" s="11" t="n"/>
      <c r="L285" s="10" t="n"/>
      <c r="M285" s="11" t="n"/>
      <c r="N285" s="10" t="n"/>
      <c r="O285" s="11" t="n"/>
      <c r="P285" s="6" t="n"/>
      <c r="Q285" s="11" t="n"/>
      <c r="S285" s="8">
        <f>IF(B285="","",E285*F285)</f>
        <v/>
      </c>
      <c r="T285" s="8">
        <f>IF(OR(B285="",N(G285)=0),"",ABS(F285-G285)*E285)</f>
        <v/>
      </c>
      <c r="U285" s="8">
        <f>IF(OR(B285="",P285=""),"",IF(D285="Venda",-1,1)*((N(J285)*N(K285)+N(L285)*N(M285)+N(N285)*N(O285))-(N(J285)+N(L285)+N(N285))*F285)-N(Q285))</f>
        <v/>
      </c>
      <c r="V285" s="9">
        <f>IF(OR(B285="",P285=""),"",U285/S285)</f>
        <v/>
      </c>
      <c r="W285">
        <f>IF(OR(B285="",P285=""),"",P285-C285)</f>
        <v/>
      </c>
      <c r="X285">
        <f>IF(B285="","",IF(P285="","Aberto","Fechado"))</f>
        <v/>
      </c>
    </row>
    <row r="286">
      <c r="C286" s="6" t="n"/>
      <c r="E286" s="10" t="n"/>
      <c r="F286" s="11" t="n"/>
      <c r="G286" s="11" t="n"/>
      <c r="H286" s="11" t="n"/>
      <c r="J286" s="10" t="n"/>
      <c r="K286" s="11" t="n"/>
      <c r="L286" s="10" t="n"/>
      <c r="M286" s="11" t="n"/>
      <c r="N286" s="10" t="n"/>
      <c r="O286" s="11" t="n"/>
      <c r="P286" s="6" t="n"/>
      <c r="Q286" s="11" t="n"/>
      <c r="S286" s="8">
        <f>IF(B286="","",E286*F286)</f>
        <v/>
      </c>
      <c r="T286" s="8">
        <f>IF(OR(B286="",N(G286)=0),"",ABS(F286-G286)*E286)</f>
        <v/>
      </c>
      <c r="U286" s="8">
        <f>IF(OR(B286="",P286=""),"",IF(D286="Venda",-1,1)*((N(J286)*N(K286)+N(L286)*N(M286)+N(N286)*N(O286))-(N(J286)+N(L286)+N(N286))*F286)-N(Q286))</f>
        <v/>
      </c>
      <c r="V286" s="9">
        <f>IF(OR(B286="",P286=""),"",U286/S286)</f>
        <v/>
      </c>
      <c r="W286">
        <f>IF(OR(B286="",P286=""),"",P286-C286)</f>
        <v/>
      </c>
      <c r="X286">
        <f>IF(B286="","",IF(P286="","Aberto","Fechado"))</f>
        <v/>
      </c>
    </row>
    <row r="287">
      <c r="C287" s="6" t="n"/>
      <c r="E287" s="10" t="n"/>
      <c r="F287" s="11" t="n"/>
      <c r="G287" s="11" t="n"/>
      <c r="H287" s="11" t="n"/>
      <c r="J287" s="10" t="n"/>
      <c r="K287" s="11" t="n"/>
      <c r="L287" s="10" t="n"/>
      <c r="M287" s="11" t="n"/>
      <c r="N287" s="10" t="n"/>
      <c r="O287" s="11" t="n"/>
      <c r="P287" s="6" t="n"/>
      <c r="Q287" s="11" t="n"/>
      <c r="S287" s="8">
        <f>IF(B287="","",E287*F287)</f>
        <v/>
      </c>
      <c r="T287" s="8">
        <f>IF(OR(B287="",N(G287)=0),"",ABS(F287-G287)*E287)</f>
        <v/>
      </c>
      <c r="U287" s="8">
        <f>IF(OR(B287="",P287=""),"",IF(D287="Venda",-1,1)*((N(J287)*N(K287)+N(L287)*N(M287)+N(N287)*N(O287))-(N(J287)+N(L287)+N(N287))*F287)-N(Q287))</f>
        <v/>
      </c>
      <c r="V287" s="9">
        <f>IF(OR(B287="",P287=""),"",U287/S287)</f>
        <v/>
      </c>
      <c r="W287">
        <f>IF(OR(B287="",P287=""),"",P287-C287)</f>
        <v/>
      </c>
      <c r="X287">
        <f>IF(B287="","",IF(P287="","Aberto","Fechado"))</f>
        <v/>
      </c>
    </row>
    <row r="288">
      <c r="C288" s="6" t="n"/>
      <c r="E288" s="10" t="n"/>
      <c r="F288" s="11" t="n"/>
      <c r="G288" s="11" t="n"/>
      <c r="H288" s="11" t="n"/>
      <c r="J288" s="10" t="n"/>
      <c r="K288" s="11" t="n"/>
      <c r="L288" s="10" t="n"/>
      <c r="M288" s="11" t="n"/>
      <c r="N288" s="10" t="n"/>
      <c r="O288" s="11" t="n"/>
      <c r="P288" s="6" t="n"/>
      <c r="Q288" s="11" t="n"/>
      <c r="S288" s="8">
        <f>IF(B288="","",E288*F288)</f>
        <v/>
      </c>
      <c r="T288" s="8">
        <f>IF(OR(B288="",N(G288)=0),"",ABS(F288-G288)*E288)</f>
        <v/>
      </c>
      <c r="U288" s="8">
        <f>IF(OR(B288="",P288=""),"",IF(D288="Venda",-1,1)*((N(J288)*N(K288)+N(L288)*N(M288)+N(N288)*N(O288))-(N(J288)+N(L288)+N(N288))*F288)-N(Q288))</f>
        <v/>
      </c>
      <c r="V288" s="9">
        <f>IF(OR(B288="",P288=""),"",U288/S288)</f>
        <v/>
      </c>
      <c r="W288">
        <f>IF(OR(B288="",P288=""),"",P288-C288)</f>
        <v/>
      </c>
      <c r="X288">
        <f>IF(B288="","",IF(P288="","Aberto","Fechado"))</f>
        <v/>
      </c>
    </row>
    <row r="289">
      <c r="C289" s="6" t="n"/>
      <c r="E289" s="10" t="n"/>
      <c r="F289" s="11" t="n"/>
      <c r="G289" s="11" t="n"/>
      <c r="H289" s="11" t="n"/>
      <c r="J289" s="10" t="n"/>
      <c r="K289" s="11" t="n"/>
      <c r="L289" s="10" t="n"/>
      <c r="M289" s="11" t="n"/>
      <c r="N289" s="10" t="n"/>
      <c r="O289" s="11" t="n"/>
      <c r="P289" s="6" t="n"/>
      <c r="Q289" s="11" t="n"/>
      <c r="S289" s="8">
        <f>IF(B289="","",E289*F289)</f>
        <v/>
      </c>
      <c r="T289" s="8">
        <f>IF(OR(B289="",N(G289)=0),"",ABS(F289-G289)*E289)</f>
        <v/>
      </c>
      <c r="U289" s="8">
        <f>IF(OR(B289="",P289=""),"",IF(D289="Venda",-1,1)*((N(J289)*N(K289)+N(L289)*N(M289)+N(N289)*N(O289))-(N(J289)+N(L289)+N(N289))*F289)-N(Q289))</f>
        <v/>
      </c>
      <c r="V289" s="9">
        <f>IF(OR(B289="",P289=""),"",U289/S289)</f>
        <v/>
      </c>
      <c r="W289">
        <f>IF(OR(B289="",P289=""),"",P289-C289)</f>
        <v/>
      </c>
      <c r="X289">
        <f>IF(B289="","",IF(P289="","Aberto","Fechado"))</f>
        <v/>
      </c>
    </row>
    <row r="290">
      <c r="C290" s="6" t="n"/>
      <c r="E290" s="10" t="n"/>
      <c r="F290" s="11" t="n"/>
      <c r="G290" s="11" t="n"/>
      <c r="H290" s="11" t="n"/>
      <c r="J290" s="10" t="n"/>
      <c r="K290" s="11" t="n"/>
      <c r="L290" s="10" t="n"/>
      <c r="M290" s="11" t="n"/>
      <c r="N290" s="10" t="n"/>
      <c r="O290" s="11" t="n"/>
      <c r="P290" s="6" t="n"/>
      <c r="Q290" s="11" t="n"/>
      <c r="S290" s="8">
        <f>IF(B290="","",E290*F290)</f>
        <v/>
      </c>
      <c r="T290" s="8">
        <f>IF(OR(B290="",N(G290)=0),"",ABS(F290-G290)*E290)</f>
        <v/>
      </c>
      <c r="U290" s="8">
        <f>IF(OR(B290="",P290=""),"",IF(D290="Venda",-1,1)*((N(J290)*N(K290)+N(L290)*N(M290)+N(N290)*N(O290))-(N(J290)+N(L290)+N(N290))*F290)-N(Q290))</f>
        <v/>
      </c>
      <c r="V290" s="9">
        <f>IF(OR(B290="",P290=""),"",U290/S290)</f>
        <v/>
      </c>
      <c r="W290">
        <f>IF(OR(B290="",P290=""),"",P290-C290)</f>
        <v/>
      </c>
      <c r="X290">
        <f>IF(B290="","",IF(P290="","Aberto","Fechado"))</f>
        <v/>
      </c>
    </row>
    <row r="291">
      <c r="C291" s="6" t="n"/>
      <c r="E291" s="10" t="n"/>
      <c r="F291" s="11" t="n"/>
      <c r="G291" s="11" t="n"/>
      <c r="H291" s="11" t="n"/>
      <c r="J291" s="10" t="n"/>
      <c r="K291" s="11" t="n"/>
      <c r="L291" s="10" t="n"/>
      <c r="M291" s="11" t="n"/>
      <c r="N291" s="10" t="n"/>
      <c r="O291" s="11" t="n"/>
      <c r="P291" s="6" t="n"/>
      <c r="Q291" s="11" t="n"/>
      <c r="S291" s="8">
        <f>IF(B291="","",E291*F291)</f>
        <v/>
      </c>
      <c r="T291" s="8">
        <f>IF(OR(B291="",N(G291)=0),"",ABS(F291-G291)*E291)</f>
        <v/>
      </c>
      <c r="U291" s="8">
        <f>IF(OR(B291="",P291=""),"",IF(D291="Venda",-1,1)*((N(J291)*N(K291)+N(L291)*N(M291)+N(N291)*N(O291))-(N(J291)+N(L291)+N(N291))*F291)-N(Q291))</f>
        <v/>
      </c>
      <c r="V291" s="9">
        <f>IF(OR(B291="",P291=""),"",U291/S291)</f>
        <v/>
      </c>
      <c r="W291">
        <f>IF(OR(B291="",P291=""),"",P291-C291)</f>
        <v/>
      </c>
      <c r="X291">
        <f>IF(B291="","",IF(P291="","Aberto","Fechado"))</f>
        <v/>
      </c>
    </row>
    <row r="292">
      <c r="C292" s="6" t="n"/>
      <c r="E292" s="10" t="n"/>
      <c r="F292" s="11" t="n"/>
      <c r="G292" s="11" t="n"/>
      <c r="H292" s="11" t="n"/>
      <c r="J292" s="10" t="n"/>
      <c r="K292" s="11" t="n"/>
      <c r="L292" s="10" t="n"/>
      <c r="M292" s="11" t="n"/>
      <c r="N292" s="10" t="n"/>
      <c r="O292" s="11" t="n"/>
      <c r="P292" s="6" t="n"/>
      <c r="Q292" s="11" t="n"/>
      <c r="S292" s="8">
        <f>IF(B292="","",E292*F292)</f>
        <v/>
      </c>
      <c r="T292" s="8">
        <f>IF(OR(B292="",N(G292)=0),"",ABS(F292-G292)*E292)</f>
        <v/>
      </c>
      <c r="U292" s="8">
        <f>IF(OR(B292="",P292=""),"",IF(D292="Venda",-1,1)*((N(J292)*N(K292)+N(L292)*N(M292)+N(N292)*N(O292))-(N(J292)+N(L292)+N(N292))*F292)-N(Q292))</f>
        <v/>
      </c>
      <c r="V292" s="9">
        <f>IF(OR(B292="",P292=""),"",U292/S292)</f>
        <v/>
      </c>
      <c r="W292">
        <f>IF(OR(B292="",P292=""),"",P292-C292)</f>
        <v/>
      </c>
      <c r="X292">
        <f>IF(B292="","",IF(P292="","Aberto","Fechado"))</f>
        <v/>
      </c>
    </row>
    <row r="293">
      <c r="C293" s="6" t="n"/>
      <c r="E293" s="10" t="n"/>
      <c r="F293" s="11" t="n"/>
      <c r="G293" s="11" t="n"/>
      <c r="H293" s="11" t="n"/>
      <c r="J293" s="10" t="n"/>
      <c r="K293" s="11" t="n"/>
      <c r="L293" s="10" t="n"/>
      <c r="M293" s="11" t="n"/>
      <c r="N293" s="10" t="n"/>
      <c r="O293" s="11" t="n"/>
      <c r="P293" s="6" t="n"/>
      <c r="Q293" s="11" t="n"/>
      <c r="S293" s="8">
        <f>IF(B293="","",E293*F293)</f>
        <v/>
      </c>
      <c r="T293" s="8">
        <f>IF(OR(B293="",N(G293)=0),"",ABS(F293-G293)*E293)</f>
        <v/>
      </c>
      <c r="U293" s="8">
        <f>IF(OR(B293="",P293=""),"",IF(D293="Venda",-1,1)*((N(J293)*N(K293)+N(L293)*N(M293)+N(N293)*N(O293))-(N(J293)+N(L293)+N(N293))*F293)-N(Q293))</f>
        <v/>
      </c>
      <c r="V293" s="9">
        <f>IF(OR(B293="",P293=""),"",U293/S293)</f>
        <v/>
      </c>
      <c r="W293">
        <f>IF(OR(B293="",P293=""),"",P293-C293)</f>
        <v/>
      </c>
      <c r="X293">
        <f>IF(B293="","",IF(P293="","Aberto","Fechado"))</f>
        <v/>
      </c>
    </row>
    <row r="294">
      <c r="C294" s="6" t="n"/>
      <c r="E294" s="10" t="n"/>
      <c r="F294" s="11" t="n"/>
      <c r="G294" s="11" t="n"/>
      <c r="H294" s="11" t="n"/>
      <c r="J294" s="10" t="n"/>
      <c r="K294" s="11" t="n"/>
      <c r="L294" s="10" t="n"/>
      <c r="M294" s="11" t="n"/>
      <c r="N294" s="10" t="n"/>
      <c r="O294" s="11" t="n"/>
      <c r="P294" s="6" t="n"/>
      <c r="Q294" s="11" t="n"/>
      <c r="S294" s="8">
        <f>IF(B294="","",E294*F294)</f>
        <v/>
      </c>
      <c r="T294" s="8">
        <f>IF(OR(B294="",N(G294)=0),"",ABS(F294-G294)*E294)</f>
        <v/>
      </c>
      <c r="U294" s="8">
        <f>IF(OR(B294="",P294=""),"",IF(D294="Venda",-1,1)*((N(J294)*N(K294)+N(L294)*N(M294)+N(N294)*N(O294))-(N(J294)+N(L294)+N(N294))*F294)-N(Q294))</f>
        <v/>
      </c>
      <c r="V294" s="9">
        <f>IF(OR(B294="",P294=""),"",U294/S294)</f>
        <v/>
      </c>
      <c r="W294">
        <f>IF(OR(B294="",P294=""),"",P294-C294)</f>
        <v/>
      </c>
      <c r="X294">
        <f>IF(B294="","",IF(P294="","Aberto","Fechado"))</f>
        <v/>
      </c>
    </row>
    <row r="295">
      <c r="C295" s="6" t="n"/>
      <c r="E295" s="10" t="n"/>
      <c r="F295" s="11" t="n"/>
      <c r="G295" s="11" t="n"/>
      <c r="H295" s="11" t="n"/>
      <c r="J295" s="10" t="n"/>
      <c r="K295" s="11" t="n"/>
      <c r="L295" s="10" t="n"/>
      <c r="M295" s="11" t="n"/>
      <c r="N295" s="10" t="n"/>
      <c r="O295" s="11" t="n"/>
      <c r="P295" s="6" t="n"/>
      <c r="Q295" s="11" t="n"/>
      <c r="S295" s="8">
        <f>IF(B295="","",E295*F295)</f>
        <v/>
      </c>
      <c r="T295" s="8">
        <f>IF(OR(B295="",N(G295)=0),"",ABS(F295-G295)*E295)</f>
        <v/>
      </c>
      <c r="U295" s="8">
        <f>IF(OR(B295="",P295=""),"",IF(D295="Venda",-1,1)*((N(J295)*N(K295)+N(L295)*N(M295)+N(N295)*N(O295))-(N(J295)+N(L295)+N(N295))*F295)-N(Q295))</f>
        <v/>
      </c>
      <c r="V295" s="9">
        <f>IF(OR(B295="",P295=""),"",U295/S295)</f>
        <v/>
      </c>
      <c r="W295">
        <f>IF(OR(B295="",P295=""),"",P295-C295)</f>
        <v/>
      </c>
      <c r="X295">
        <f>IF(B295="","",IF(P295="","Aberto","Fechado"))</f>
        <v/>
      </c>
    </row>
    <row r="296">
      <c r="C296" s="6" t="n"/>
      <c r="E296" s="10" t="n"/>
      <c r="F296" s="11" t="n"/>
      <c r="G296" s="11" t="n"/>
      <c r="H296" s="11" t="n"/>
      <c r="J296" s="10" t="n"/>
      <c r="K296" s="11" t="n"/>
      <c r="L296" s="10" t="n"/>
      <c r="M296" s="11" t="n"/>
      <c r="N296" s="10" t="n"/>
      <c r="O296" s="11" t="n"/>
      <c r="P296" s="6" t="n"/>
      <c r="Q296" s="11" t="n"/>
      <c r="S296" s="8">
        <f>IF(B296="","",E296*F296)</f>
        <v/>
      </c>
      <c r="T296" s="8">
        <f>IF(OR(B296="",N(G296)=0),"",ABS(F296-G296)*E296)</f>
        <v/>
      </c>
      <c r="U296" s="8">
        <f>IF(OR(B296="",P296=""),"",IF(D296="Venda",-1,1)*((N(J296)*N(K296)+N(L296)*N(M296)+N(N296)*N(O296))-(N(J296)+N(L296)+N(N296))*F296)-N(Q296))</f>
        <v/>
      </c>
      <c r="V296" s="9">
        <f>IF(OR(B296="",P296=""),"",U296/S296)</f>
        <v/>
      </c>
      <c r="W296">
        <f>IF(OR(B296="",P296=""),"",P296-C296)</f>
        <v/>
      </c>
      <c r="X296">
        <f>IF(B296="","",IF(P296="","Aberto","Fechado"))</f>
        <v/>
      </c>
    </row>
    <row r="297">
      <c r="C297" s="6" t="n"/>
      <c r="E297" s="10" t="n"/>
      <c r="F297" s="11" t="n"/>
      <c r="G297" s="11" t="n"/>
      <c r="H297" s="11" t="n"/>
      <c r="J297" s="10" t="n"/>
      <c r="K297" s="11" t="n"/>
      <c r="L297" s="10" t="n"/>
      <c r="M297" s="11" t="n"/>
      <c r="N297" s="10" t="n"/>
      <c r="O297" s="11" t="n"/>
      <c r="P297" s="6" t="n"/>
      <c r="Q297" s="11" t="n"/>
      <c r="S297" s="8">
        <f>IF(B297="","",E297*F297)</f>
        <v/>
      </c>
      <c r="T297" s="8">
        <f>IF(OR(B297="",N(G297)=0),"",ABS(F297-G297)*E297)</f>
        <v/>
      </c>
      <c r="U297" s="8">
        <f>IF(OR(B297="",P297=""),"",IF(D297="Venda",-1,1)*((N(J297)*N(K297)+N(L297)*N(M297)+N(N297)*N(O297))-(N(J297)+N(L297)+N(N297))*F297)-N(Q297))</f>
        <v/>
      </c>
      <c r="V297" s="9">
        <f>IF(OR(B297="",P297=""),"",U297/S297)</f>
        <v/>
      </c>
      <c r="W297">
        <f>IF(OR(B297="",P297=""),"",P297-C297)</f>
        <v/>
      </c>
      <c r="X297">
        <f>IF(B297="","",IF(P297="","Aberto","Fechado"))</f>
        <v/>
      </c>
    </row>
    <row r="298">
      <c r="C298" s="6" t="n"/>
      <c r="E298" s="10" t="n"/>
      <c r="F298" s="11" t="n"/>
      <c r="G298" s="11" t="n"/>
      <c r="H298" s="11" t="n"/>
      <c r="J298" s="10" t="n"/>
      <c r="K298" s="11" t="n"/>
      <c r="L298" s="10" t="n"/>
      <c r="M298" s="11" t="n"/>
      <c r="N298" s="10" t="n"/>
      <c r="O298" s="11" t="n"/>
      <c r="P298" s="6" t="n"/>
      <c r="Q298" s="11" t="n"/>
      <c r="S298" s="8">
        <f>IF(B298="","",E298*F298)</f>
        <v/>
      </c>
      <c r="T298" s="8">
        <f>IF(OR(B298="",N(G298)=0),"",ABS(F298-G298)*E298)</f>
        <v/>
      </c>
      <c r="U298" s="8">
        <f>IF(OR(B298="",P298=""),"",IF(D298="Venda",-1,1)*((N(J298)*N(K298)+N(L298)*N(M298)+N(N298)*N(O298))-(N(J298)+N(L298)+N(N298))*F298)-N(Q298))</f>
        <v/>
      </c>
      <c r="V298" s="9">
        <f>IF(OR(B298="",P298=""),"",U298/S298)</f>
        <v/>
      </c>
      <c r="W298">
        <f>IF(OR(B298="",P298=""),"",P298-C298)</f>
        <v/>
      </c>
      <c r="X298">
        <f>IF(B298="","",IF(P298="","Aberto","Fechado"))</f>
        <v/>
      </c>
    </row>
    <row r="299">
      <c r="C299" s="6" t="n"/>
      <c r="E299" s="10" t="n"/>
      <c r="F299" s="11" t="n"/>
      <c r="G299" s="11" t="n"/>
      <c r="H299" s="11" t="n"/>
      <c r="J299" s="10" t="n"/>
      <c r="K299" s="11" t="n"/>
      <c r="L299" s="10" t="n"/>
      <c r="M299" s="11" t="n"/>
      <c r="N299" s="10" t="n"/>
      <c r="O299" s="11" t="n"/>
      <c r="P299" s="6" t="n"/>
      <c r="Q299" s="11" t="n"/>
      <c r="S299" s="8">
        <f>IF(B299="","",E299*F299)</f>
        <v/>
      </c>
      <c r="T299" s="8">
        <f>IF(OR(B299="",N(G299)=0),"",ABS(F299-G299)*E299)</f>
        <v/>
      </c>
      <c r="U299" s="8">
        <f>IF(OR(B299="",P299=""),"",IF(D299="Venda",-1,1)*((N(J299)*N(K299)+N(L299)*N(M299)+N(N299)*N(O299))-(N(J299)+N(L299)+N(N299))*F299)-N(Q299))</f>
        <v/>
      </c>
      <c r="V299" s="9">
        <f>IF(OR(B299="",P299=""),"",U299/S299)</f>
        <v/>
      </c>
      <c r="W299">
        <f>IF(OR(B299="",P299=""),"",P299-C299)</f>
        <v/>
      </c>
      <c r="X299">
        <f>IF(B299="","",IF(P299="","Aberto","Fechado"))</f>
        <v/>
      </c>
    </row>
    <row r="300">
      <c r="C300" s="6" t="n"/>
      <c r="E300" s="10" t="n"/>
      <c r="F300" s="11" t="n"/>
      <c r="G300" s="11" t="n"/>
      <c r="H300" s="11" t="n"/>
      <c r="J300" s="10" t="n"/>
      <c r="K300" s="11" t="n"/>
      <c r="L300" s="10" t="n"/>
      <c r="M300" s="11" t="n"/>
      <c r="N300" s="10" t="n"/>
      <c r="O300" s="11" t="n"/>
      <c r="P300" s="6" t="n"/>
      <c r="Q300" s="11" t="n"/>
      <c r="S300" s="8">
        <f>IF(B300="","",E300*F300)</f>
        <v/>
      </c>
      <c r="T300" s="8">
        <f>IF(OR(B300="",N(G300)=0),"",ABS(F300-G300)*E300)</f>
        <v/>
      </c>
      <c r="U300" s="8">
        <f>IF(OR(B300="",P300=""),"",IF(D300="Venda",-1,1)*((N(J300)*N(K300)+N(L300)*N(M300)+N(N300)*N(O300))-(N(J300)+N(L300)+N(N300))*F300)-N(Q300))</f>
        <v/>
      </c>
      <c r="V300" s="9">
        <f>IF(OR(B300="",P300=""),"",U300/S300)</f>
        <v/>
      </c>
      <c r="W300">
        <f>IF(OR(B300="",P300=""),"",P300-C300)</f>
        <v/>
      </c>
      <c r="X300">
        <f>IF(B300="","",IF(P300="","Aberto","Fechado"))</f>
        <v/>
      </c>
    </row>
    <row r="301">
      <c r="C301" s="6" t="n"/>
      <c r="E301" s="10" t="n"/>
      <c r="F301" s="11" t="n"/>
      <c r="G301" s="11" t="n"/>
      <c r="H301" s="11" t="n"/>
      <c r="J301" s="10" t="n"/>
      <c r="K301" s="11" t="n"/>
      <c r="L301" s="10" t="n"/>
      <c r="M301" s="11" t="n"/>
      <c r="N301" s="10" t="n"/>
      <c r="O301" s="11" t="n"/>
      <c r="P301" s="6" t="n"/>
      <c r="Q301" s="11" t="n"/>
      <c r="S301" s="8">
        <f>IF(B301="","",E301*F301)</f>
        <v/>
      </c>
      <c r="T301" s="8">
        <f>IF(OR(B301="",N(G301)=0),"",ABS(F301-G301)*E301)</f>
        <v/>
      </c>
      <c r="U301" s="8">
        <f>IF(OR(B301="",P301=""),"",IF(D301="Venda",-1,1)*((N(J301)*N(K301)+N(L301)*N(M301)+N(N301)*N(O301))-(N(J301)+N(L301)+N(N301))*F301)-N(Q301))</f>
        <v/>
      </c>
      <c r="V301" s="9">
        <f>IF(OR(B301="",P301=""),"",U301/S301)</f>
        <v/>
      </c>
      <c r="W301">
        <f>IF(OR(B301="",P301=""),"",P301-C301)</f>
        <v/>
      </c>
      <c r="X301">
        <f>IF(B301="","",IF(P301="","Aberto","Fechado"))</f>
        <v/>
      </c>
    </row>
    <row r="302">
      <c r="C302" s="6" t="n"/>
      <c r="E302" s="10" t="n"/>
      <c r="F302" s="11" t="n"/>
      <c r="G302" s="11" t="n"/>
      <c r="H302" s="11" t="n"/>
      <c r="J302" s="10" t="n"/>
      <c r="K302" s="11" t="n"/>
      <c r="L302" s="10" t="n"/>
      <c r="M302" s="11" t="n"/>
      <c r="N302" s="10" t="n"/>
      <c r="O302" s="11" t="n"/>
      <c r="P302" s="6" t="n"/>
      <c r="Q302" s="11" t="n"/>
      <c r="S302" s="8">
        <f>IF(B302="","",E302*F302)</f>
        <v/>
      </c>
      <c r="T302" s="8">
        <f>IF(OR(B302="",N(G302)=0),"",ABS(F302-G302)*E302)</f>
        <v/>
      </c>
      <c r="U302" s="8">
        <f>IF(OR(B302="",P302=""),"",IF(D302="Venda",-1,1)*((N(J302)*N(K302)+N(L302)*N(M302)+N(N302)*N(O302))-(N(J302)+N(L302)+N(N302))*F302)-N(Q302))</f>
        <v/>
      </c>
      <c r="V302" s="9">
        <f>IF(OR(B302="",P302=""),"",U302/S302)</f>
        <v/>
      </c>
      <c r="W302">
        <f>IF(OR(B302="",P302=""),"",P302-C302)</f>
        <v/>
      </c>
      <c r="X302">
        <f>IF(B302="","",IF(P302="","Aberto","Fechado"))</f>
        <v/>
      </c>
    </row>
    <row r="303">
      <c r="C303" s="6" t="n"/>
      <c r="E303" s="10" t="n"/>
      <c r="F303" s="11" t="n"/>
      <c r="G303" s="11" t="n"/>
      <c r="H303" s="11" t="n"/>
      <c r="J303" s="10" t="n"/>
      <c r="K303" s="11" t="n"/>
      <c r="L303" s="10" t="n"/>
      <c r="M303" s="11" t="n"/>
      <c r="N303" s="10" t="n"/>
      <c r="O303" s="11" t="n"/>
      <c r="P303" s="6" t="n"/>
      <c r="Q303" s="11" t="n"/>
      <c r="S303" s="8">
        <f>IF(B303="","",E303*F303)</f>
        <v/>
      </c>
      <c r="T303" s="8">
        <f>IF(OR(B303="",N(G303)=0),"",ABS(F303-G303)*E303)</f>
        <v/>
      </c>
      <c r="U303" s="8">
        <f>IF(OR(B303="",P303=""),"",IF(D303="Venda",-1,1)*((N(J303)*N(K303)+N(L303)*N(M303)+N(N303)*N(O303))-(N(J303)+N(L303)+N(N303))*F303)-N(Q303))</f>
        <v/>
      </c>
      <c r="V303" s="9">
        <f>IF(OR(B303="",P303=""),"",U303/S303)</f>
        <v/>
      </c>
      <c r="W303">
        <f>IF(OR(B303="",P303=""),"",P303-C303)</f>
        <v/>
      </c>
      <c r="X303">
        <f>IF(B303="","",IF(P303="","Aberto","Fechado"))</f>
        <v/>
      </c>
    </row>
    <row r="304">
      <c r="C304" s="6" t="n"/>
      <c r="E304" s="10" t="n"/>
      <c r="F304" s="11" t="n"/>
      <c r="G304" s="11" t="n"/>
      <c r="H304" s="11" t="n"/>
      <c r="J304" s="10" t="n"/>
      <c r="K304" s="11" t="n"/>
      <c r="L304" s="10" t="n"/>
      <c r="M304" s="11" t="n"/>
      <c r="N304" s="10" t="n"/>
      <c r="O304" s="11" t="n"/>
      <c r="P304" s="6" t="n"/>
      <c r="Q304" s="11" t="n"/>
      <c r="S304" s="8">
        <f>IF(B304="","",E304*F304)</f>
        <v/>
      </c>
      <c r="T304" s="8">
        <f>IF(OR(B304="",N(G304)=0),"",ABS(F304-G304)*E304)</f>
        <v/>
      </c>
      <c r="U304" s="8">
        <f>IF(OR(B304="",P304=""),"",IF(D304="Venda",-1,1)*((N(J304)*N(K304)+N(L304)*N(M304)+N(N304)*N(O304))-(N(J304)+N(L304)+N(N304))*F304)-N(Q304))</f>
        <v/>
      </c>
      <c r="V304" s="9">
        <f>IF(OR(B304="",P304=""),"",U304/S304)</f>
        <v/>
      </c>
      <c r="W304">
        <f>IF(OR(B304="",P304=""),"",P304-C304)</f>
        <v/>
      </c>
      <c r="X304">
        <f>IF(B304="","",IF(P304="","Aberto","Fechado"))</f>
        <v/>
      </c>
    </row>
    <row r="305">
      <c r="C305" s="6" t="n"/>
      <c r="E305" s="10" t="n"/>
      <c r="F305" s="11" t="n"/>
      <c r="G305" s="11" t="n"/>
      <c r="H305" s="11" t="n"/>
      <c r="J305" s="10" t="n"/>
      <c r="K305" s="11" t="n"/>
      <c r="L305" s="10" t="n"/>
      <c r="M305" s="11" t="n"/>
      <c r="N305" s="10" t="n"/>
      <c r="O305" s="11" t="n"/>
      <c r="P305" s="6" t="n"/>
      <c r="Q305" s="11" t="n"/>
      <c r="S305" s="8">
        <f>IF(B305="","",E305*F305)</f>
        <v/>
      </c>
      <c r="T305" s="8">
        <f>IF(OR(B305="",N(G305)=0),"",ABS(F305-G305)*E305)</f>
        <v/>
      </c>
      <c r="U305" s="8">
        <f>IF(OR(B305="",P305=""),"",IF(D305="Venda",-1,1)*((N(J305)*N(K305)+N(L305)*N(M305)+N(N305)*N(O305))-(N(J305)+N(L305)+N(N305))*F305)-N(Q305))</f>
        <v/>
      </c>
      <c r="V305" s="9">
        <f>IF(OR(B305="",P305=""),"",U305/S305)</f>
        <v/>
      </c>
      <c r="W305">
        <f>IF(OR(B305="",P305=""),"",P305-C305)</f>
        <v/>
      </c>
      <c r="X305">
        <f>IF(B305="","",IF(P305="","Aberto","Fechado"))</f>
        <v/>
      </c>
    </row>
    <row r="306">
      <c r="C306" s="6" t="n"/>
      <c r="E306" s="10" t="n"/>
      <c r="F306" s="11" t="n"/>
      <c r="G306" s="11" t="n"/>
      <c r="H306" s="11" t="n"/>
      <c r="J306" s="10" t="n"/>
      <c r="K306" s="11" t="n"/>
      <c r="L306" s="10" t="n"/>
      <c r="M306" s="11" t="n"/>
      <c r="N306" s="10" t="n"/>
      <c r="O306" s="11" t="n"/>
      <c r="P306" s="6" t="n"/>
      <c r="Q306" s="11" t="n"/>
      <c r="S306" s="8">
        <f>IF(B306="","",E306*F306)</f>
        <v/>
      </c>
      <c r="T306" s="8">
        <f>IF(OR(B306="",N(G306)=0),"",ABS(F306-G306)*E306)</f>
        <v/>
      </c>
      <c r="U306" s="8">
        <f>IF(OR(B306="",P306=""),"",IF(D306="Venda",-1,1)*((N(J306)*N(K306)+N(L306)*N(M306)+N(N306)*N(O306))-(N(J306)+N(L306)+N(N306))*F306)-N(Q306))</f>
        <v/>
      </c>
      <c r="V306" s="9">
        <f>IF(OR(B306="",P306=""),"",U306/S306)</f>
        <v/>
      </c>
      <c r="W306">
        <f>IF(OR(B306="",P306=""),"",P306-C306)</f>
        <v/>
      </c>
      <c r="X306">
        <f>IF(B306="","",IF(P306="","Aberto","Fechado"))</f>
        <v/>
      </c>
    </row>
    <row r="307">
      <c r="C307" s="6" t="n"/>
      <c r="E307" s="10" t="n"/>
      <c r="F307" s="11" t="n"/>
      <c r="G307" s="11" t="n"/>
      <c r="H307" s="11" t="n"/>
      <c r="J307" s="10" t="n"/>
      <c r="K307" s="11" t="n"/>
      <c r="L307" s="10" t="n"/>
      <c r="M307" s="11" t="n"/>
      <c r="N307" s="10" t="n"/>
      <c r="O307" s="11" t="n"/>
      <c r="P307" s="6" t="n"/>
      <c r="Q307" s="11" t="n"/>
      <c r="S307" s="8">
        <f>IF(B307="","",E307*F307)</f>
        <v/>
      </c>
      <c r="T307" s="8">
        <f>IF(OR(B307="",N(G307)=0),"",ABS(F307-G307)*E307)</f>
        <v/>
      </c>
      <c r="U307" s="8">
        <f>IF(OR(B307="",P307=""),"",IF(D307="Venda",-1,1)*((N(J307)*N(K307)+N(L307)*N(M307)+N(N307)*N(O307))-(N(J307)+N(L307)+N(N307))*F307)-N(Q307))</f>
        <v/>
      </c>
      <c r="V307" s="9">
        <f>IF(OR(B307="",P307=""),"",U307/S307)</f>
        <v/>
      </c>
      <c r="W307">
        <f>IF(OR(B307="",P307=""),"",P307-C307)</f>
        <v/>
      </c>
      <c r="X307">
        <f>IF(B307="","",IF(P307="","Aberto","Fechado"))</f>
        <v/>
      </c>
    </row>
    <row r="308">
      <c r="C308" s="6" t="n"/>
      <c r="E308" s="10" t="n"/>
      <c r="F308" s="11" t="n"/>
      <c r="G308" s="11" t="n"/>
      <c r="H308" s="11" t="n"/>
      <c r="J308" s="10" t="n"/>
      <c r="K308" s="11" t="n"/>
      <c r="L308" s="10" t="n"/>
      <c r="M308" s="11" t="n"/>
      <c r="N308" s="10" t="n"/>
      <c r="O308" s="11" t="n"/>
      <c r="P308" s="6" t="n"/>
      <c r="Q308" s="11" t="n"/>
      <c r="S308" s="8">
        <f>IF(B308="","",E308*F308)</f>
        <v/>
      </c>
      <c r="T308" s="8">
        <f>IF(OR(B308="",N(G308)=0),"",ABS(F308-G308)*E308)</f>
        <v/>
      </c>
      <c r="U308" s="8">
        <f>IF(OR(B308="",P308=""),"",IF(D308="Venda",-1,1)*((N(J308)*N(K308)+N(L308)*N(M308)+N(N308)*N(O308))-(N(J308)+N(L308)+N(N308))*F308)-N(Q308))</f>
        <v/>
      </c>
      <c r="V308" s="9">
        <f>IF(OR(B308="",P308=""),"",U308/S308)</f>
        <v/>
      </c>
      <c r="W308">
        <f>IF(OR(B308="",P308=""),"",P308-C308)</f>
        <v/>
      </c>
      <c r="X308">
        <f>IF(B308="","",IF(P308="","Aberto","Fechado"))</f>
        <v/>
      </c>
    </row>
    <row r="309">
      <c r="C309" s="6" t="n"/>
      <c r="E309" s="10" t="n"/>
      <c r="F309" s="11" t="n"/>
      <c r="G309" s="11" t="n"/>
      <c r="H309" s="11" t="n"/>
      <c r="J309" s="10" t="n"/>
      <c r="K309" s="11" t="n"/>
      <c r="L309" s="10" t="n"/>
      <c r="M309" s="11" t="n"/>
      <c r="N309" s="10" t="n"/>
      <c r="O309" s="11" t="n"/>
      <c r="P309" s="6" t="n"/>
      <c r="Q309" s="11" t="n"/>
      <c r="S309" s="8">
        <f>IF(B309="","",E309*F309)</f>
        <v/>
      </c>
      <c r="T309" s="8">
        <f>IF(OR(B309="",N(G309)=0),"",ABS(F309-G309)*E309)</f>
        <v/>
      </c>
      <c r="U309" s="8">
        <f>IF(OR(B309="",P309=""),"",IF(D309="Venda",-1,1)*((N(J309)*N(K309)+N(L309)*N(M309)+N(N309)*N(O309))-(N(J309)+N(L309)+N(N309))*F309)-N(Q309))</f>
        <v/>
      </c>
      <c r="V309" s="9">
        <f>IF(OR(B309="",P309=""),"",U309/S309)</f>
        <v/>
      </c>
      <c r="W309">
        <f>IF(OR(B309="",P309=""),"",P309-C309)</f>
        <v/>
      </c>
      <c r="X309">
        <f>IF(B309="","",IF(P309="","Aberto","Fechado"))</f>
        <v/>
      </c>
    </row>
    <row r="310">
      <c r="C310" s="6" t="n"/>
      <c r="E310" s="10" t="n"/>
      <c r="F310" s="11" t="n"/>
      <c r="G310" s="11" t="n"/>
      <c r="H310" s="11" t="n"/>
      <c r="J310" s="10" t="n"/>
      <c r="K310" s="11" t="n"/>
      <c r="L310" s="10" t="n"/>
      <c r="M310" s="11" t="n"/>
      <c r="N310" s="10" t="n"/>
      <c r="O310" s="11" t="n"/>
      <c r="P310" s="6" t="n"/>
      <c r="Q310" s="11" t="n"/>
      <c r="S310" s="8">
        <f>IF(B310="","",E310*F310)</f>
        <v/>
      </c>
      <c r="T310" s="8">
        <f>IF(OR(B310="",N(G310)=0),"",ABS(F310-G310)*E310)</f>
        <v/>
      </c>
      <c r="U310" s="8">
        <f>IF(OR(B310="",P310=""),"",IF(D310="Venda",-1,1)*((N(J310)*N(K310)+N(L310)*N(M310)+N(N310)*N(O310))-(N(J310)+N(L310)+N(N310))*F310)-N(Q310))</f>
        <v/>
      </c>
      <c r="V310" s="9">
        <f>IF(OR(B310="",P310=""),"",U310/S310)</f>
        <v/>
      </c>
      <c r="W310">
        <f>IF(OR(B310="",P310=""),"",P310-C310)</f>
        <v/>
      </c>
      <c r="X310">
        <f>IF(B310="","",IF(P310="","Aberto","Fechado"))</f>
        <v/>
      </c>
    </row>
    <row r="311">
      <c r="C311" s="6" t="n"/>
      <c r="E311" s="10" t="n"/>
      <c r="F311" s="11" t="n"/>
      <c r="G311" s="11" t="n"/>
      <c r="H311" s="11" t="n"/>
      <c r="J311" s="10" t="n"/>
      <c r="K311" s="11" t="n"/>
      <c r="L311" s="10" t="n"/>
      <c r="M311" s="11" t="n"/>
      <c r="N311" s="10" t="n"/>
      <c r="O311" s="11" t="n"/>
      <c r="P311" s="6" t="n"/>
      <c r="Q311" s="11" t="n"/>
      <c r="S311" s="8">
        <f>IF(B311="","",E311*F311)</f>
        <v/>
      </c>
      <c r="T311" s="8">
        <f>IF(OR(B311="",N(G311)=0),"",ABS(F311-G311)*E311)</f>
        <v/>
      </c>
      <c r="U311" s="8">
        <f>IF(OR(B311="",P311=""),"",IF(D311="Venda",-1,1)*((N(J311)*N(K311)+N(L311)*N(M311)+N(N311)*N(O311))-(N(J311)+N(L311)+N(N311))*F311)-N(Q311))</f>
        <v/>
      </c>
      <c r="V311" s="9">
        <f>IF(OR(B311="",P311=""),"",U311/S311)</f>
        <v/>
      </c>
      <c r="W311">
        <f>IF(OR(B311="",P311=""),"",P311-C311)</f>
        <v/>
      </c>
      <c r="X311">
        <f>IF(B311="","",IF(P311="","Aberto","Fechado"))</f>
        <v/>
      </c>
    </row>
    <row r="312">
      <c r="C312" s="6" t="n"/>
      <c r="E312" s="10" t="n"/>
      <c r="F312" s="11" t="n"/>
      <c r="G312" s="11" t="n"/>
      <c r="H312" s="11" t="n"/>
      <c r="J312" s="10" t="n"/>
      <c r="K312" s="11" t="n"/>
      <c r="L312" s="10" t="n"/>
      <c r="M312" s="11" t="n"/>
      <c r="N312" s="10" t="n"/>
      <c r="O312" s="11" t="n"/>
      <c r="P312" s="6" t="n"/>
      <c r="Q312" s="11" t="n"/>
      <c r="S312" s="8">
        <f>IF(B312="","",E312*F312)</f>
        <v/>
      </c>
      <c r="T312" s="8">
        <f>IF(OR(B312="",N(G312)=0),"",ABS(F312-G312)*E312)</f>
        <v/>
      </c>
      <c r="U312" s="8">
        <f>IF(OR(B312="",P312=""),"",IF(D312="Venda",-1,1)*((N(J312)*N(K312)+N(L312)*N(M312)+N(N312)*N(O312))-(N(J312)+N(L312)+N(N312))*F312)-N(Q312))</f>
        <v/>
      </c>
      <c r="V312" s="9">
        <f>IF(OR(B312="",P312=""),"",U312/S312)</f>
        <v/>
      </c>
      <c r="W312">
        <f>IF(OR(B312="",P312=""),"",P312-C312)</f>
        <v/>
      </c>
      <c r="X312">
        <f>IF(B312="","",IF(P312="","Aberto","Fechado"))</f>
        <v/>
      </c>
    </row>
    <row r="313">
      <c r="C313" s="6" t="n"/>
      <c r="E313" s="10" t="n"/>
      <c r="F313" s="11" t="n"/>
      <c r="G313" s="11" t="n"/>
      <c r="H313" s="11" t="n"/>
      <c r="J313" s="10" t="n"/>
      <c r="K313" s="11" t="n"/>
      <c r="L313" s="10" t="n"/>
      <c r="M313" s="11" t="n"/>
      <c r="N313" s="10" t="n"/>
      <c r="O313" s="11" t="n"/>
      <c r="P313" s="6" t="n"/>
      <c r="Q313" s="11" t="n"/>
      <c r="S313" s="8">
        <f>IF(B313="","",E313*F313)</f>
        <v/>
      </c>
      <c r="T313" s="8">
        <f>IF(OR(B313="",N(G313)=0),"",ABS(F313-G313)*E313)</f>
        <v/>
      </c>
      <c r="U313" s="8">
        <f>IF(OR(B313="",P313=""),"",IF(D313="Venda",-1,1)*((N(J313)*N(K313)+N(L313)*N(M313)+N(N313)*N(O313))-(N(J313)+N(L313)+N(N313))*F313)-N(Q313))</f>
        <v/>
      </c>
      <c r="V313" s="9">
        <f>IF(OR(B313="",P313=""),"",U313/S313)</f>
        <v/>
      </c>
      <c r="W313">
        <f>IF(OR(B313="",P313=""),"",P313-C313)</f>
        <v/>
      </c>
      <c r="X313">
        <f>IF(B313="","",IF(P313="","Aberto","Fechado"))</f>
        <v/>
      </c>
    </row>
    <row r="314">
      <c r="C314" s="6" t="n"/>
      <c r="E314" s="10" t="n"/>
      <c r="F314" s="11" t="n"/>
      <c r="G314" s="11" t="n"/>
      <c r="H314" s="11" t="n"/>
      <c r="J314" s="10" t="n"/>
      <c r="K314" s="11" t="n"/>
      <c r="L314" s="10" t="n"/>
      <c r="M314" s="11" t="n"/>
      <c r="N314" s="10" t="n"/>
      <c r="O314" s="11" t="n"/>
      <c r="P314" s="6" t="n"/>
      <c r="Q314" s="11" t="n"/>
      <c r="S314" s="8">
        <f>IF(B314="","",E314*F314)</f>
        <v/>
      </c>
      <c r="T314" s="8">
        <f>IF(OR(B314="",N(G314)=0),"",ABS(F314-G314)*E314)</f>
        <v/>
      </c>
      <c r="U314" s="8">
        <f>IF(OR(B314="",P314=""),"",IF(D314="Venda",-1,1)*((N(J314)*N(K314)+N(L314)*N(M314)+N(N314)*N(O314))-(N(J314)+N(L314)+N(N314))*F314)-N(Q314))</f>
        <v/>
      </c>
      <c r="V314" s="9">
        <f>IF(OR(B314="",P314=""),"",U314/S314)</f>
        <v/>
      </c>
      <c r="W314">
        <f>IF(OR(B314="",P314=""),"",P314-C314)</f>
        <v/>
      </c>
      <c r="X314">
        <f>IF(B314="","",IF(P314="","Aberto","Fechado"))</f>
        <v/>
      </c>
    </row>
    <row r="315">
      <c r="C315" s="6" t="n"/>
      <c r="E315" s="10" t="n"/>
      <c r="F315" s="11" t="n"/>
      <c r="G315" s="11" t="n"/>
      <c r="H315" s="11" t="n"/>
      <c r="J315" s="10" t="n"/>
      <c r="K315" s="11" t="n"/>
      <c r="L315" s="10" t="n"/>
      <c r="M315" s="11" t="n"/>
      <c r="N315" s="10" t="n"/>
      <c r="O315" s="11" t="n"/>
      <c r="P315" s="6" t="n"/>
      <c r="Q315" s="11" t="n"/>
      <c r="S315" s="8">
        <f>IF(B315="","",E315*F315)</f>
        <v/>
      </c>
      <c r="T315" s="8">
        <f>IF(OR(B315="",N(G315)=0),"",ABS(F315-G315)*E315)</f>
        <v/>
      </c>
      <c r="U315" s="8">
        <f>IF(OR(B315="",P315=""),"",IF(D315="Venda",-1,1)*((N(J315)*N(K315)+N(L315)*N(M315)+N(N315)*N(O315))-(N(J315)+N(L315)+N(N315))*F315)-N(Q315))</f>
        <v/>
      </c>
      <c r="V315" s="9">
        <f>IF(OR(B315="",P315=""),"",U315/S315)</f>
        <v/>
      </c>
      <c r="W315">
        <f>IF(OR(B315="",P315=""),"",P315-C315)</f>
        <v/>
      </c>
      <c r="X315">
        <f>IF(B315="","",IF(P315="","Aberto","Fechado"))</f>
        <v/>
      </c>
    </row>
    <row r="316">
      <c r="C316" s="6" t="n"/>
      <c r="E316" s="10" t="n"/>
      <c r="F316" s="11" t="n"/>
      <c r="G316" s="11" t="n"/>
      <c r="H316" s="11" t="n"/>
      <c r="J316" s="10" t="n"/>
      <c r="K316" s="11" t="n"/>
      <c r="L316" s="10" t="n"/>
      <c r="M316" s="11" t="n"/>
      <c r="N316" s="10" t="n"/>
      <c r="O316" s="11" t="n"/>
      <c r="P316" s="6" t="n"/>
      <c r="Q316" s="11" t="n"/>
      <c r="S316" s="8">
        <f>IF(B316="","",E316*F316)</f>
        <v/>
      </c>
      <c r="T316" s="8">
        <f>IF(OR(B316="",N(G316)=0),"",ABS(F316-G316)*E316)</f>
        <v/>
      </c>
      <c r="U316" s="8">
        <f>IF(OR(B316="",P316=""),"",IF(D316="Venda",-1,1)*((N(J316)*N(K316)+N(L316)*N(M316)+N(N316)*N(O316))-(N(J316)+N(L316)+N(N316))*F316)-N(Q316))</f>
        <v/>
      </c>
      <c r="V316" s="9">
        <f>IF(OR(B316="",P316=""),"",U316/S316)</f>
        <v/>
      </c>
      <c r="W316">
        <f>IF(OR(B316="",P316=""),"",P316-C316)</f>
        <v/>
      </c>
      <c r="X316">
        <f>IF(B316="","",IF(P316="","Aberto","Fechado"))</f>
        <v/>
      </c>
    </row>
    <row r="317">
      <c r="C317" s="6" t="n"/>
      <c r="E317" s="10" t="n"/>
      <c r="F317" s="11" t="n"/>
      <c r="G317" s="11" t="n"/>
      <c r="H317" s="11" t="n"/>
      <c r="J317" s="10" t="n"/>
      <c r="K317" s="11" t="n"/>
      <c r="L317" s="10" t="n"/>
      <c r="M317" s="11" t="n"/>
      <c r="N317" s="10" t="n"/>
      <c r="O317" s="11" t="n"/>
      <c r="P317" s="6" t="n"/>
      <c r="Q317" s="11" t="n"/>
      <c r="S317" s="8">
        <f>IF(B317="","",E317*F317)</f>
        <v/>
      </c>
      <c r="T317" s="8">
        <f>IF(OR(B317="",N(G317)=0),"",ABS(F317-G317)*E317)</f>
        <v/>
      </c>
      <c r="U317" s="8">
        <f>IF(OR(B317="",P317=""),"",IF(D317="Venda",-1,1)*((N(J317)*N(K317)+N(L317)*N(M317)+N(N317)*N(O317))-(N(J317)+N(L317)+N(N317))*F317)-N(Q317))</f>
        <v/>
      </c>
      <c r="V317" s="9">
        <f>IF(OR(B317="",P317=""),"",U317/S317)</f>
        <v/>
      </c>
      <c r="W317">
        <f>IF(OR(B317="",P317=""),"",P317-C317)</f>
        <v/>
      </c>
      <c r="X317">
        <f>IF(B317="","",IF(P317="","Aberto","Fechado"))</f>
        <v/>
      </c>
    </row>
    <row r="318">
      <c r="C318" s="6" t="n"/>
      <c r="E318" s="10" t="n"/>
      <c r="F318" s="11" t="n"/>
      <c r="G318" s="11" t="n"/>
      <c r="H318" s="11" t="n"/>
      <c r="J318" s="10" t="n"/>
      <c r="K318" s="11" t="n"/>
      <c r="L318" s="10" t="n"/>
      <c r="M318" s="11" t="n"/>
      <c r="N318" s="10" t="n"/>
      <c r="O318" s="11" t="n"/>
      <c r="P318" s="6" t="n"/>
      <c r="Q318" s="11" t="n"/>
      <c r="S318" s="8">
        <f>IF(B318="","",E318*F318)</f>
        <v/>
      </c>
      <c r="T318" s="8">
        <f>IF(OR(B318="",N(G318)=0),"",ABS(F318-G318)*E318)</f>
        <v/>
      </c>
      <c r="U318" s="8">
        <f>IF(OR(B318="",P318=""),"",IF(D318="Venda",-1,1)*((N(J318)*N(K318)+N(L318)*N(M318)+N(N318)*N(O318))-(N(J318)+N(L318)+N(N318))*F318)-N(Q318))</f>
        <v/>
      </c>
      <c r="V318" s="9">
        <f>IF(OR(B318="",P318=""),"",U318/S318)</f>
        <v/>
      </c>
      <c r="W318">
        <f>IF(OR(B318="",P318=""),"",P318-C318)</f>
        <v/>
      </c>
      <c r="X318">
        <f>IF(B318="","",IF(P318="","Aberto","Fechado"))</f>
        <v/>
      </c>
    </row>
    <row r="319">
      <c r="C319" s="6" t="n"/>
      <c r="E319" s="10" t="n"/>
      <c r="F319" s="11" t="n"/>
      <c r="G319" s="11" t="n"/>
      <c r="H319" s="11" t="n"/>
      <c r="J319" s="10" t="n"/>
      <c r="K319" s="11" t="n"/>
      <c r="L319" s="10" t="n"/>
      <c r="M319" s="11" t="n"/>
      <c r="N319" s="10" t="n"/>
      <c r="O319" s="11" t="n"/>
      <c r="P319" s="6" t="n"/>
      <c r="Q319" s="11" t="n"/>
      <c r="S319" s="8">
        <f>IF(B319="","",E319*F319)</f>
        <v/>
      </c>
      <c r="T319" s="8">
        <f>IF(OR(B319="",N(G319)=0),"",ABS(F319-G319)*E319)</f>
        <v/>
      </c>
      <c r="U319" s="8">
        <f>IF(OR(B319="",P319=""),"",IF(D319="Venda",-1,1)*((N(J319)*N(K319)+N(L319)*N(M319)+N(N319)*N(O319))-(N(J319)+N(L319)+N(N319))*F319)-N(Q319))</f>
        <v/>
      </c>
      <c r="V319" s="9">
        <f>IF(OR(B319="",P319=""),"",U319/S319)</f>
        <v/>
      </c>
      <c r="W319">
        <f>IF(OR(B319="",P319=""),"",P319-C319)</f>
        <v/>
      </c>
      <c r="X319">
        <f>IF(B319="","",IF(P319="","Aberto","Fechado"))</f>
        <v/>
      </c>
    </row>
    <row r="320">
      <c r="C320" s="6" t="n"/>
      <c r="E320" s="10" t="n"/>
      <c r="F320" s="11" t="n"/>
      <c r="G320" s="11" t="n"/>
      <c r="H320" s="11" t="n"/>
      <c r="J320" s="10" t="n"/>
      <c r="K320" s="11" t="n"/>
      <c r="L320" s="10" t="n"/>
      <c r="M320" s="11" t="n"/>
      <c r="N320" s="10" t="n"/>
      <c r="O320" s="11" t="n"/>
      <c r="P320" s="6" t="n"/>
      <c r="Q320" s="11" t="n"/>
      <c r="S320" s="8">
        <f>IF(B320="","",E320*F320)</f>
        <v/>
      </c>
      <c r="T320" s="8">
        <f>IF(OR(B320="",N(G320)=0),"",ABS(F320-G320)*E320)</f>
        <v/>
      </c>
      <c r="U320" s="8">
        <f>IF(OR(B320="",P320=""),"",IF(D320="Venda",-1,1)*((N(J320)*N(K320)+N(L320)*N(M320)+N(N320)*N(O320))-(N(J320)+N(L320)+N(N320))*F320)-N(Q320))</f>
        <v/>
      </c>
      <c r="V320" s="9">
        <f>IF(OR(B320="",P320=""),"",U320/S320)</f>
        <v/>
      </c>
      <c r="W320">
        <f>IF(OR(B320="",P320=""),"",P320-C320)</f>
        <v/>
      </c>
      <c r="X320">
        <f>IF(B320="","",IF(P320="","Aberto","Fechado"))</f>
        <v/>
      </c>
    </row>
    <row r="321">
      <c r="C321" s="6" t="n"/>
      <c r="E321" s="10" t="n"/>
      <c r="F321" s="11" t="n"/>
      <c r="G321" s="11" t="n"/>
      <c r="H321" s="11" t="n"/>
      <c r="J321" s="10" t="n"/>
      <c r="K321" s="11" t="n"/>
      <c r="L321" s="10" t="n"/>
      <c r="M321" s="11" t="n"/>
      <c r="N321" s="10" t="n"/>
      <c r="O321" s="11" t="n"/>
      <c r="P321" s="6" t="n"/>
      <c r="Q321" s="11" t="n"/>
      <c r="S321" s="8">
        <f>IF(B321="","",E321*F321)</f>
        <v/>
      </c>
      <c r="T321" s="8">
        <f>IF(OR(B321="",N(G321)=0),"",ABS(F321-G321)*E321)</f>
        <v/>
      </c>
      <c r="U321" s="8">
        <f>IF(OR(B321="",P321=""),"",IF(D321="Venda",-1,1)*((N(J321)*N(K321)+N(L321)*N(M321)+N(N321)*N(O321))-(N(J321)+N(L321)+N(N321))*F321)-N(Q321))</f>
        <v/>
      </c>
      <c r="V321" s="9">
        <f>IF(OR(B321="",P321=""),"",U321/S321)</f>
        <v/>
      </c>
      <c r="W321">
        <f>IF(OR(B321="",P321=""),"",P321-C321)</f>
        <v/>
      </c>
      <c r="X321">
        <f>IF(B321="","",IF(P321="","Aberto","Fechado"))</f>
        <v/>
      </c>
    </row>
    <row r="322">
      <c r="C322" s="6" t="n"/>
      <c r="E322" s="10" t="n"/>
      <c r="F322" s="11" t="n"/>
      <c r="G322" s="11" t="n"/>
      <c r="H322" s="11" t="n"/>
      <c r="J322" s="10" t="n"/>
      <c r="K322" s="11" t="n"/>
      <c r="L322" s="10" t="n"/>
      <c r="M322" s="11" t="n"/>
      <c r="N322" s="10" t="n"/>
      <c r="O322" s="11" t="n"/>
      <c r="P322" s="6" t="n"/>
      <c r="Q322" s="11" t="n"/>
      <c r="S322" s="8">
        <f>IF(B322="","",E322*F322)</f>
        <v/>
      </c>
      <c r="T322" s="8">
        <f>IF(OR(B322="",N(G322)=0),"",ABS(F322-G322)*E322)</f>
        <v/>
      </c>
      <c r="U322" s="8">
        <f>IF(OR(B322="",P322=""),"",IF(D322="Venda",-1,1)*((N(J322)*N(K322)+N(L322)*N(M322)+N(N322)*N(O322))-(N(J322)+N(L322)+N(N322))*F322)-N(Q322))</f>
        <v/>
      </c>
      <c r="V322" s="9">
        <f>IF(OR(B322="",P322=""),"",U322/S322)</f>
        <v/>
      </c>
      <c r="W322">
        <f>IF(OR(B322="",P322=""),"",P322-C322)</f>
        <v/>
      </c>
      <c r="X322">
        <f>IF(B322="","",IF(P322="","Aberto","Fechado"))</f>
        <v/>
      </c>
    </row>
    <row r="323">
      <c r="C323" s="6" t="n"/>
      <c r="E323" s="10" t="n"/>
      <c r="F323" s="11" t="n"/>
      <c r="G323" s="11" t="n"/>
      <c r="H323" s="11" t="n"/>
      <c r="J323" s="10" t="n"/>
      <c r="K323" s="11" t="n"/>
      <c r="L323" s="10" t="n"/>
      <c r="M323" s="11" t="n"/>
      <c r="N323" s="10" t="n"/>
      <c r="O323" s="11" t="n"/>
      <c r="P323" s="6" t="n"/>
      <c r="Q323" s="11" t="n"/>
      <c r="S323" s="8">
        <f>IF(B323="","",E323*F323)</f>
        <v/>
      </c>
      <c r="T323" s="8">
        <f>IF(OR(B323="",N(G323)=0),"",ABS(F323-G323)*E323)</f>
        <v/>
      </c>
      <c r="U323" s="8">
        <f>IF(OR(B323="",P323=""),"",IF(D323="Venda",-1,1)*((N(J323)*N(K323)+N(L323)*N(M323)+N(N323)*N(O323))-(N(J323)+N(L323)+N(N323))*F323)-N(Q323))</f>
        <v/>
      </c>
      <c r="V323" s="9">
        <f>IF(OR(B323="",P323=""),"",U323/S323)</f>
        <v/>
      </c>
      <c r="W323">
        <f>IF(OR(B323="",P323=""),"",P323-C323)</f>
        <v/>
      </c>
      <c r="X323">
        <f>IF(B323="","",IF(P323="","Aberto","Fechado"))</f>
        <v/>
      </c>
    </row>
    <row r="324">
      <c r="C324" s="6" t="n"/>
      <c r="E324" s="10" t="n"/>
      <c r="F324" s="11" t="n"/>
      <c r="G324" s="11" t="n"/>
      <c r="H324" s="11" t="n"/>
      <c r="J324" s="10" t="n"/>
      <c r="K324" s="11" t="n"/>
      <c r="L324" s="10" t="n"/>
      <c r="M324" s="11" t="n"/>
      <c r="N324" s="10" t="n"/>
      <c r="O324" s="11" t="n"/>
      <c r="P324" s="6" t="n"/>
      <c r="Q324" s="11" t="n"/>
      <c r="S324" s="8">
        <f>IF(B324="","",E324*F324)</f>
        <v/>
      </c>
      <c r="T324" s="8">
        <f>IF(OR(B324="",N(G324)=0),"",ABS(F324-G324)*E324)</f>
        <v/>
      </c>
      <c r="U324" s="8">
        <f>IF(OR(B324="",P324=""),"",IF(D324="Venda",-1,1)*((N(J324)*N(K324)+N(L324)*N(M324)+N(N324)*N(O324))-(N(J324)+N(L324)+N(N324))*F324)-N(Q324))</f>
        <v/>
      </c>
      <c r="V324" s="9">
        <f>IF(OR(B324="",P324=""),"",U324/S324)</f>
        <v/>
      </c>
      <c r="W324">
        <f>IF(OR(B324="",P324=""),"",P324-C324)</f>
        <v/>
      </c>
      <c r="X324">
        <f>IF(B324="","",IF(P324="","Aberto","Fechado"))</f>
        <v/>
      </c>
    </row>
    <row r="325">
      <c r="C325" s="6" t="n"/>
      <c r="E325" s="10" t="n"/>
      <c r="F325" s="11" t="n"/>
      <c r="G325" s="11" t="n"/>
      <c r="H325" s="11" t="n"/>
      <c r="J325" s="10" t="n"/>
      <c r="K325" s="11" t="n"/>
      <c r="L325" s="10" t="n"/>
      <c r="M325" s="11" t="n"/>
      <c r="N325" s="10" t="n"/>
      <c r="O325" s="11" t="n"/>
      <c r="P325" s="6" t="n"/>
      <c r="Q325" s="11" t="n"/>
      <c r="S325" s="8">
        <f>IF(B325="","",E325*F325)</f>
        <v/>
      </c>
      <c r="T325" s="8">
        <f>IF(OR(B325="",N(G325)=0),"",ABS(F325-G325)*E325)</f>
        <v/>
      </c>
      <c r="U325" s="8">
        <f>IF(OR(B325="",P325=""),"",IF(D325="Venda",-1,1)*((N(J325)*N(K325)+N(L325)*N(M325)+N(N325)*N(O325))-(N(J325)+N(L325)+N(N325))*F325)-N(Q325))</f>
        <v/>
      </c>
      <c r="V325" s="9">
        <f>IF(OR(B325="",P325=""),"",U325/S325)</f>
        <v/>
      </c>
      <c r="W325">
        <f>IF(OR(B325="",P325=""),"",P325-C325)</f>
        <v/>
      </c>
      <c r="X325">
        <f>IF(B325="","",IF(P325="","Aberto","Fechado"))</f>
        <v/>
      </c>
    </row>
    <row r="326">
      <c r="C326" s="6" t="n"/>
      <c r="E326" s="10" t="n"/>
      <c r="F326" s="11" t="n"/>
      <c r="G326" s="11" t="n"/>
      <c r="H326" s="11" t="n"/>
      <c r="J326" s="10" t="n"/>
      <c r="K326" s="11" t="n"/>
      <c r="L326" s="10" t="n"/>
      <c r="M326" s="11" t="n"/>
      <c r="N326" s="10" t="n"/>
      <c r="O326" s="11" t="n"/>
      <c r="P326" s="6" t="n"/>
      <c r="Q326" s="11" t="n"/>
      <c r="S326" s="8">
        <f>IF(B326="","",E326*F326)</f>
        <v/>
      </c>
      <c r="T326" s="8">
        <f>IF(OR(B326="",N(G326)=0),"",ABS(F326-G326)*E326)</f>
        <v/>
      </c>
      <c r="U326" s="8">
        <f>IF(OR(B326="",P326=""),"",IF(D326="Venda",-1,1)*((N(J326)*N(K326)+N(L326)*N(M326)+N(N326)*N(O326))-(N(J326)+N(L326)+N(N326))*F326)-N(Q326))</f>
        <v/>
      </c>
      <c r="V326" s="9">
        <f>IF(OR(B326="",P326=""),"",U326/S326)</f>
        <v/>
      </c>
      <c r="W326">
        <f>IF(OR(B326="",P326=""),"",P326-C326)</f>
        <v/>
      </c>
      <c r="X326">
        <f>IF(B326="","",IF(P326="","Aberto","Fechado"))</f>
        <v/>
      </c>
    </row>
    <row r="327">
      <c r="C327" s="6" t="n"/>
      <c r="E327" s="10" t="n"/>
      <c r="F327" s="11" t="n"/>
      <c r="G327" s="11" t="n"/>
      <c r="H327" s="11" t="n"/>
      <c r="J327" s="10" t="n"/>
      <c r="K327" s="11" t="n"/>
      <c r="L327" s="10" t="n"/>
      <c r="M327" s="11" t="n"/>
      <c r="N327" s="10" t="n"/>
      <c r="O327" s="11" t="n"/>
      <c r="P327" s="6" t="n"/>
      <c r="Q327" s="11" t="n"/>
      <c r="S327" s="8">
        <f>IF(B327="","",E327*F327)</f>
        <v/>
      </c>
      <c r="T327" s="8">
        <f>IF(OR(B327="",N(G327)=0),"",ABS(F327-G327)*E327)</f>
        <v/>
      </c>
      <c r="U327" s="8">
        <f>IF(OR(B327="",P327=""),"",IF(D327="Venda",-1,1)*((N(J327)*N(K327)+N(L327)*N(M327)+N(N327)*N(O327))-(N(J327)+N(L327)+N(N327))*F327)-N(Q327))</f>
        <v/>
      </c>
      <c r="V327" s="9">
        <f>IF(OR(B327="",P327=""),"",U327/S327)</f>
        <v/>
      </c>
      <c r="W327">
        <f>IF(OR(B327="",P327=""),"",P327-C327)</f>
        <v/>
      </c>
      <c r="X327">
        <f>IF(B327="","",IF(P327="","Aberto","Fechado"))</f>
        <v/>
      </c>
    </row>
    <row r="328">
      <c r="C328" s="6" t="n"/>
      <c r="E328" s="10" t="n"/>
      <c r="F328" s="11" t="n"/>
      <c r="G328" s="11" t="n"/>
      <c r="H328" s="11" t="n"/>
      <c r="J328" s="10" t="n"/>
      <c r="K328" s="11" t="n"/>
      <c r="L328" s="10" t="n"/>
      <c r="M328" s="11" t="n"/>
      <c r="N328" s="10" t="n"/>
      <c r="O328" s="11" t="n"/>
      <c r="P328" s="6" t="n"/>
      <c r="Q328" s="11" t="n"/>
      <c r="S328" s="8">
        <f>IF(B328="","",E328*F328)</f>
        <v/>
      </c>
      <c r="T328" s="8">
        <f>IF(OR(B328="",N(G328)=0),"",ABS(F328-G328)*E328)</f>
        <v/>
      </c>
      <c r="U328" s="8">
        <f>IF(OR(B328="",P328=""),"",IF(D328="Venda",-1,1)*((N(J328)*N(K328)+N(L328)*N(M328)+N(N328)*N(O328))-(N(J328)+N(L328)+N(N328))*F328)-N(Q328))</f>
        <v/>
      </c>
      <c r="V328" s="9">
        <f>IF(OR(B328="",P328=""),"",U328/S328)</f>
        <v/>
      </c>
      <c r="W328">
        <f>IF(OR(B328="",P328=""),"",P328-C328)</f>
        <v/>
      </c>
      <c r="X328">
        <f>IF(B328="","",IF(P328="","Aberto","Fechado"))</f>
        <v/>
      </c>
    </row>
    <row r="329">
      <c r="C329" s="6" t="n"/>
      <c r="E329" s="10" t="n"/>
      <c r="F329" s="11" t="n"/>
      <c r="G329" s="11" t="n"/>
      <c r="H329" s="11" t="n"/>
      <c r="J329" s="10" t="n"/>
      <c r="K329" s="11" t="n"/>
      <c r="L329" s="10" t="n"/>
      <c r="M329" s="11" t="n"/>
      <c r="N329" s="10" t="n"/>
      <c r="O329" s="11" t="n"/>
      <c r="P329" s="6" t="n"/>
      <c r="Q329" s="11" t="n"/>
      <c r="S329" s="8">
        <f>IF(B329="","",E329*F329)</f>
        <v/>
      </c>
      <c r="T329" s="8">
        <f>IF(OR(B329="",N(G329)=0),"",ABS(F329-G329)*E329)</f>
        <v/>
      </c>
      <c r="U329" s="8">
        <f>IF(OR(B329="",P329=""),"",IF(D329="Venda",-1,1)*((N(J329)*N(K329)+N(L329)*N(M329)+N(N329)*N(O329))-(N(J329)+N(L329)+N(N329))*F329)-N(Q329))</f>
        <v/>
      </c>
      <c r="V329" s="9">
        <f>IF(OR(B329="",P329=""),"",U329/S329)</f>
        <v/>
      </c>
      <c r="W329">
        <f>IF(OR(B329="",P329=""),"",P329-C329)</f>
        <v/>
      </c>
      <c r="X329">
        <f>IF(B329="","",IF(P329="","Aberto","Fechado"))</f>
        <v/>
      </c>
    </row>
    <row r="330">
      <c r="C330" s="6" t="n"/>
      <c r="E330" s="10" t="n"/>
      <c r="F330" s="11" t="n"/>
      <c r="G330" s="11" t="n"/>
      <c r="H330" s="11" t="n"/>
      <c r="J330" s="10" t="n"/>
      <c r="K330" s="11" t="n"/>
      <c r="L330" s="10" t="n"/>
      <c r="M330" s="11" t="n"/>
      <c r="N330" s="10" t="n"/>
      <c r="O330" s="11" t="n"/>
      <c r="P330" s="6" t="n"/>
      <c r="Q330" s="11" t="n"/>
      <c r="S330" s="8">
        <f>IF(B330="","",E330*F330)</f>
        <v/>
      </c>
      <c r="T330" s="8">
        <f>IF(OR(B330="",N(G330)=0),"",ABS(F330-G330)*E330)</f>
        <v/>
      </c>
      <c r="U330" s="8">
        <f>IF(OR(B330="",P330=""),"",IF(D330="Venda",-1,1)*((N(J330)*N(K330)+N(L330)*N(M330)+N(N330)*N(O330))-(N(J330)+N(L330)+N(N330))*F330)-N(Q330))</f>
        <v/>
      </c>
      <c r="V330" s="9">
        <f>IF(OR(B330="",P330=""),"",U330/S330)</f>
        <v/>
      </c>
      <c r="W330">
        <f>IF(OR(B330="",P330=""),"",P330-C330)</f>
        <v/>
      </c>
      <c r="X330">
        <f>IF(B330="","",IF(P330="","Aberto","Fechado"))</f>
        <v/>
      </c>
    </row>
    <row r="331">
      <c r="C331" s="6" t="n"/>
      <c r="E331" s="10" t="n"/>
      <c r="F331" s="11" t="n"/>
      <c r="G331" s="11" t="n"/>
      <c r="H331" s="11" t="n"/>
      <c r="J331" s="10" t="n"/>
      <c r="K331" s="11" t="n"/>
      <c r="L331" s="10" t="n"/>
      <c r="M331" s="11" t="n"/>
      <c r="N331" s="10" t="n"/>
      <c r="O331" s="11" t="n"/>
      <c r="P331" s="6" t="n"/>
      <c r="Q331" s="11" t="n"/>
      <c r="S331" s="8">
        <f>IF(B331="","",E331*F331)</f>
        <v/>
      </c>
      <c r="T331" s="8">
        <f>IF(OR(B331="",N(G331)=0),"",ABS(F331-G331)*E331)</f>
        <v/>
      </c>
      <c r="U331" s="8">
        <f>IF(OR(B331="",P331=""),"",IF(D331="Venda",-1,1)*((N(J331)*N(K331)+N(L331)*N(M331)+N(N331)*N(O331))-(N(J331)+N(L331)+N(N331))*F331)-N(Q331))</f>
        <v/>
      </c>
      <c r="V331" s="9">
        <f>IF(OR(B331="",P331=""),"",U331/S331)</f>
        <v/>
      </c>
      <c r="W331">
        <f>IF(OR(B331="",P331=""),"",P331-C331)</f>
        <v/>
      </c>
      <c r="X331">
        <f>IF(B331="","",IF(P331="","Aberto","Fechado"))</f>
        <v/>
      </c>
    </row>
    <row r="332">
      <c r="C332" s="6" t="n"/>
      <c r="E332" s="10" t="n"/>
      <c r="F332" s="11" t="n"/>
      <c r="G332" s="11" t="n"/>
      <c r="H332" s="11" t="n"/>
      <c r="J332" s="10" t="n"/>
      <c r="K332" s="11" t="n"/>
      <c r="L332" s="10" t="n"/>
      <c r="M332" s="11" t="n"/>
      <c r="N332" s="10" t="n"/>
      <c r="O332" s="11" t="n"/>
      <c r="P332" s="6" t="n"/>
      <c r="Q332" s="11" t="n"/>
      <c r="S332" s="8">
        <f>IF(B332="","",E332*F332)</f>
        <v/>
      </c>
      <c r="T332" s="8">
        <f>IF(OR(B332="",N(G332)=0),"",ABS(F332-G332)*E332)</f>
        <v/>
      </c>
      <c r="U332" s="8">
        <f>IF(OR(B332="",P332=""),"",IF(D332="Venda",-1,1)*((N(J332)*N(K332)+N(L332)*N(M332)+N(N332)*N(O332))-(N(J332)+N(L332)+N(N332))*F332)-N(Q332))</f>
        <v/>
      </c>
      <c r="V332" s="9">
        <f>IF(OR(B332="",P332=""),"",U332/S332)</f>
        <v/>
      </c>
      <c r="W332">
        <f>IF(OR(B332="",P332=""),"",P332-C332)</f>
        <v/>
      </c>
      <c r="X332">
        <f>IF(B332="","",IF(P332="","Aberto","Fechado"))</f>
        <v/>
      </c>
    </row>
    <row r="333">
      <c r="C333" s="6" t="n"/>
      <c r="E333" s="10" t="n"/>
      <c r="F333" s="11" t="n"/>
      <c r="G333" s="11" t="n"/>
      <c r="H333" s="11" t="n"/>
      <c r="J333" s="10" t="n"/>
      <c r="K333" s="11" t="n"/>
      <c r="L333" s="10" t="n"/>
      <c r="M333" s="11" t="n"/>
      <c r="N333" s="10" t="n"/>
      <c r="O333" s="11" t="n"/>
      <c r="P333" s="6" t="n"/>
      <c r="Q333" s="11" t="n"/>
      <c r="S333" s="8">
        <f>IF(B333="","",E333*F333)</f>
        <v/>
      </c>
      <c r="T333" s="8">
        <f>IF(OR(B333="",N(G333)=0),"",ABS(F333-G333)*E333)</f>
        <v/>
      </c>
      <c r="U333" s="8">
        <f>IF(OR(B333="",P333=""),"",IF(D333="Venda",-1,1)*((N(J333)*N(K333)+N(L333)*N(M333)+N(N333)*N(O333))-(N(J333)+N(L333)+N(N333))*F333)-N(Q333))</f>
        <v/>
      </c>
      <c r="V333" s="9">
        <f>IF(OR(B333="",P333=""),"",U333/S333)</f>
        <v/>
      </c>
      <c r="W333">
        <f>IF(OR(B333="",P333=""),"",P333-C333)</f>
        <v/>
      </c>
      <c r="X333">
        <f>IF(B333="","",IF(P333="","Aberto","Fechado"))</f>
        <v/>
      </c>
    </row>
    <row r="334">
      <c r="C334" s="6" t="n"/>
      <c r="E334" s="10" t="n"/>
      <c r="F334" s="11" t="n"/>
      <c r="G334" s="11" t="n"/>
      <c r="H334" s="11" t="n"/>
      <c r="J334" s="10" t="n"/>
      <c r="K334" s="11" t="n"/>
      <c r="L334" s="10" t="n"/>
      <c r="M334" s="11" t="n"/>
      <c r="N334" s="10" t="n"/>
      <c r="O334" s="11" t="n"/>
      <c r="P334" s="6" t="n"/>
      <c r="Q334" s="11" t="n"/>
      <c r="S334" s="8">
        <f>IF(B334="","",E334*F334)</f>
        <v/>
      </c>
      <c r="T334" s="8">
        <f>IF(OR(B334="",N(G334)=0),"",ABS(F334-G334)*E334)</f>
        <v/>
      </c>
      <c r="U334" s="8">
        <f>IF(OR(B334="",P334=""),"",IF(D334="Venda",-1,1)*((N(J334)*N(K334)+N(L334)*N(M334)+N(N334)*N(O334))-(N(J334)+N(L334)+N(N334))*F334)-N(Q334))</f>
        <v/>
      </c>
      <c r="V334" s="9">
        <f>IF(OR(B334="",P334=""),"",U334/S334)</f>
        <v/>
      </c>
      <c r="W334">
        <f>IF(OR(B334="",P334=""),"",P334-C334)</f>
        <v/>
      </c>
      <c r="X334">
        <f>IF(B334="","",IF(P334="","Aberto","Fechado"))</f>
        <v/>
      </c>
    </row>
    <row r="335">
      <c r="C335" s="6" t="n"/>
      <c r="E335" s="10" t="n"/>
      <c r="F335" s="11" t="n"/>
      <c r="G335" s="11" t="n"/>
      <c r="H335" s="11" t="n"/>
      <c r="J335" s="10" t="n"/>
      <c r="K335" s="11" t="n"/>
      <c r="L335" s="10" t="n"/>
      <c r="M335" s="11" t="n"/>
      <c r="N335" s="10" t="n"/>
      <c r="O335" s="11" t="n"/>
      <c r="P335" s="6" t="n"/>
      <c r="Q335" s="11" t="n"/>
      <c r="S335" s="8">
        <f>IF(B335="","",E335*F335)</f>
        <v/>
      </c>
      <c r="T335" s="8">
        <f>IF(OR(B335="",N(G335)=0),"",ABS(F335-G335)*E335)</f>
        <v/>
      </c>
      <c r="U335" s="8">
        <f>IF(OR(B335="",P335=""),"",IF(D335="Venda",-1,1)*((N(J335)*N(K335)+N(L335)*N(M335)+N(N335)*N(O335))-(N(J335)+N(L335)+N(N335))*F335)-N(Q335))</f>
        <v/>
      </c>
      <c r="V335" s="9">
        <f>IF(OR(B335="",P335=""),"",U335/S335)</f>
        <v/>
      </c>
      <c r="W335">
        <f>IF(OR(B335="",P335=""),"",P335-C335)</f>
        <v/>
      </c>
      <c r="X335">
        <f>IF(B335="","",IF(P335="","Aberto","Fechado"))</f>
        <v/>
      </c>
    </row>
    <row r="336">
      <c r="C336" s="6" t="n"/>
      <c r="E336" s="10" t="n"/>
      <c r="F336" s="11" t="n"/>
      <c r="G336" s="11" t="n"/>
      <c r="H336" s="11" t="n"/>
      <c r="J336" s="10" t="n"/>
      <c r="K336" s="11" t="n"/>
      <c r="L336" s="10" t="n"/>
      <c r="M336" s="11" t="n"/>
      <c r="N336" s="10" t="n"/>
      <c r="O336" s="11" t="n"/>
      <c r="P336" s="6" t="n"/>
      <c r="Q336" s="11" t="n"/>
      <c r="S336" s="8">
        <f>IF(B336="","",E336*F336)</f>
        <v/>
      </c>
      <c r="T336" s="8">
        <f>IF(OR(B336="",N(G336)=0),"",ABS(F336-G336)*E336)</f>
        <v/>
      </c>
      <c r="U336" s="8">
        <f>IF(OR(B336="",P336=""),"",IF(D336="Venda",-1,1)*((N(J336)*N(K336)+N(L336)*N(M336)+N(N336)*N(O336))-(N(J336)+N(L336)+N(N336))*F336)-N(Q336))</f>
        <v/>
      </c>
      <c r="V336" s="9">
        <f>IF(OR(B336="",P336=""),"",U336/S336)</f>
        <v/>
      </c>
      <c r="W336">
        <f>IF(OR(B336="",P336=""),"",P336-C336)</f>
        <v/>
      </c>
      <c r="X336">
        <f>IF(B336="","",IF(P336="","Aberto","Fechado"))</f>
        <v/>
      </c>
    </row>
    <row r="337">
      <c r="C337" s="6" t="n"/>
      <c r="E337" s="10" t="n"/>
      <c r="F337" s="11" t="n"/>
      <c r="G337" s="11" t="n"/>
      <c r="H337" s="11" t="n"/>
      <c r="J337" s="10" t="n"/>
      <c r="K337" s="11" t="n"/>
      <c r="L337" s="10" t="n"/>
      <c r="M337" s="11" t="n"/>
      <c r="N337" s="10" t="n"/>
      <c r="O337" s="11" t="n"/>
      <c r="P337" s="6" t="n"/>
      <c r="Q337" s="11" t="n"/>
      <c r="S337" s="8">
        <f>IF(B337="","",E337*F337)</f>
        <v/>
      </c>
      <c r="T337" s="8">
        <f>IF(OR(B337="",N(G337)=0),"",ABS(F337-G337)*E337)</f>
        <v/>
      </c>
      <c r="U337" s="8">
        <f>IF(OR(B337="",P337=""),"",IF(D337="Venda",-1,1)*((N(J337)*N(K337)+N(L337)*N(M337)+N(N337)*N(O337))-(N(J337)+N(L337)+N(N337))*F337)-N(Q337))</f>
        <v/>
      </c>
      <c r="V337" s="9">
        <f>IF(OR(B337="",P337=""),"",U337/S337)</f>
        <v/>
      </c>
      <c r="W337">
        <f>IF(OR(B337="",P337=""),"",P337-C337)</f>
        <v/>
      </c>
      <c r="X337">
        <f>IF(B337="","",IF(P337="","Aberto","Fechado"))</f>
        <v/>
      </c>
    </row>
    <row r="338">
      <c r="C338" s="6" t="n"/>
      <c r="E338" s="10" t="n"/>
      <c r="F338" s="11" t="n"/>
      <c r="G338" s="11" t="n"/>
      <c r="H338" s="11" t="n"/>
      <c r="J338" s="10" t="n"/>
      <c r="K338" s="11" t="n"/>
      <c r="L338" s="10" t="n"/>
      <c r="M338" s="11" t="n"/>
      <c r="N338" s="10" t="n"/>
      <c r="O338" s="11" t="n"/>
      <c r="P338" s="6" t="n"/>
      <c r="Q338" s="11" t="n"/>
      <c r="S338" s="8">
        <f>IF(B338="","",E338*F338)</f>
        <v/>
      </c>
      <c r="T338" s="8">
        <f>IF(OR(B338="",N(G338)=0),"",ABS(F338-G338)*E338)</f>
        <v/>
      </c>
      <c r="U338" s="8">
        <f>IF(OR(B338="",P338=""),"",IF(D338="Venda",-1,1)*((N(J338)*N(K338)+N(L338)*N(M338)+N(N338)*N(O338))-(N(J338)+N(L338)+N(N338))*F338)-N(Q338))</f>
        <v/>
      </c>
      <c r="V338" s="9">
        <f>IF(OR(B338="",P338=""),"",U338/S338)</f>
        <v/>
      </c>
      <c r="W338">
        <f>IF(OR(B338="",P338=""),"",P338-C338)</f>
        <v/>
      </c>
      <c r="X338">
        <f>IF(B338="","",IF(P338="","Aberto","Fechado"))</f>
        <v/>
      </c>
    </row>
    <row r="339">
      <c r="C339" s="6" t="n"/>
      <c r="E339" s="10" t="n"/>
      <c r="F339" s="11" t="n"/>
      <c r="G339" s="11" t="n"/>
      <c r="H339" s="11" t="n"/>
      <c r="J339" s="10" t="n"/>
      <c r="K339" s="11" t="n"/>
      <c r="L339" s="10" t="n"/>
      <c r="M339" s="11" t="n"/>
      <c r="N339" s="10" t="n"/>
      <c r="O339" s="11" t="n"/>
      <c r="P339" s="6" t="n"/>
      <c r="Q339" s="11" t="n"/>
      <c r="S339" s="8">
        <f>IF(B339="","",E339*F339)</f>
        <v/>
      </c>
      <c r="T339" s="8">
        <f>IF(OR(B339="",N(G339)=0),"",ABS(F339-G339)*E339)</f>
        <v/>
      </c>
      <c r="U339" s="8">
        <f>IF(OR(B339="",P339=""),"",IF(D339="Venda",-1,1)*((N(J339)*N(K339)+N(L339)*N(M339)+N(N339)*N(O339))-(N(J339)+N(L339)+N(N339))*F339)-N(Q339))</f>
        <v/>
      </c>
      <c r="V339" s="9">
        <f>IF(OR(B339="",P339=""),"",U339/S339)</f>
        <v/>
      </c>
      <c r="W339">
        <f>IF(OR(B339="",P339=""),"",P339-C339)</f>
        <v/>
      </c>
      <c r="X339">
        <f>IF(B339="","",IF(P339="","Aberto","Fechado"))</f>
        <v/>
      </c>
    </row>
    <row r="340">
      <c r="C340" s="6" t="n"/>
      <c r="E340" s="10" t="n"/>
      <c r="F340" s="11" t="n"/>
      <c r="G340" s="11" t="n"/>
      <c r="H340" s="11" t="n"/>
      <c r="J340" s="10" t="n"/>
      <c r="K340" s="11" t="n"/>
      <c r="L340" s="10" t="n"/>
      <c r="M340" s="11" t="n"/>
      <c r="N340" s="10" t="n"/>
      <c r="O340" s="11" t="n"/>
      <c r="P340" s="6" t="n"/>
      <c r="Q340" s="11" t="n"/>
      <c r="S340" s="8">
        <f>IF(B340="","",E340*F340)</f>
        <v/>
      </c>
      <c r="T340" s="8">
        <f>IF(OR(B340="",N(G340)=0),"",ABS(F340-G340)*E340)</f>
        <v/>
      </c>
      <c r="U340" s="8">
        <f>IF(OR(B340="",P340=""),"",IF(D340="Venda",-1,1)*((N(J340)*N(K340)+N(L340)*N(M340)+N(N340)*N(O340))-(N(J340)+N(L340)+N(N340))*F340)-N(Q340))</f>
        <v/>
      </c>
      <c r="V340" s="9">
        <f>IF(OR(B340="",P340=""),"",U340/S340)</f>
        <v/>
      </c>
      <c r="W340">
        <f>IF(OR(B340="",P340=""),"",P340-C340)</f>
        <v/>
      </c>
      <c r="X340">
        <f>IF(B340="","",IF(P340="","Aberto","Fechado"))</f>
        <v/>
      </c>
    </row>
    <row r="341">
      <c r="C341" s="6" t="n"/>
      <c r="E341" s="10" t="n"/>
      <c r="F341" s="11" t="n"/>
      <c r="G341" s="11" t="n"/>
      <c r="H341" s="11" t="n"/>
      <c r="J341" s="10" t="n"/>
      <c r="K341" s="11" t="n"/>
      <c r="L341" s="10" t="n"/>
      <c r="M341" s="11" t="n"/>
      <c r="N341" s="10" t="n"/>
      <c r="O341" s="11" t="n"/>
      <c r="P341" s="6" t="n"/>
      <c r="Q341" s="11" t="n"/>
      <c r="S341" s="8">
        <f>IF(B341="","",E341*F341)</f>
        <v/>
      </c>
      <c r="T341" s="8">
        <f>IF(OR(B341="",N(G341)=0),"",ABS(F341-G341)*E341)</f>
        <v/>
      </c>
      <c r="U341" s="8">
        <f>IF(OR(B341="",P341=""),"",IF(D341="Venda",-1,1)*((N(J341)*N(K341)+N(L341)*N(M341)+N(N341)*N(O341))-(N(J341)+N(L341)+N(N341))*F341)-N(Q341))</f>
        <v/>
      </c>
      <c r="V341" s="9">
        <f>IF(OR(B341="",P341=""),"",U341/S341)</f>
        <v/>
      </c>
      <c r="W341">
        <f>IF(OR(B341="",P341=""),"",P341-C341)</f>
        <v/>
      </c>
      <c r="X341">
        <f>IF(B341="","",IF(P341="","Aberto","Fechado"))</f>
        <v/>
      </c>
    </row>
    <row r="342">
      <c r="C342" s="6" t="n"/>
      <c r="E342" s="10" t="n"/>
      <c r="F342" s="11" t="n"/>
      <c r="G342" s="11" t="n"/>
      <c r="H342" s="11" t="n"/>
      <c r="J342" s="10" t="n"/>
      <c r="K342" s="11" t="n"/>
      <c r="L342" s="10" t="n"/>
      <c r="M342" s="11" t="n"/>
      <c r="N342" s="10" t="n"/>
      <c r="O342" s="11" t="n"/>
      <c r="P342" s="6" t="n"/>
      <c r="Q342" s="11" t="n"/>
      <c r="S342" s="8">
        <f>IF(B342="","",E342*F342)</f>
        <v/>
      </c>
      <c r="T342" s="8">
        <f>IF(OR(B342="",N(G342)=0),"",ABS(F342-G342)*E342)</f>
        <v/>
      </c>
      <c r="U342" s="8">
        <f>IF(OR(B342="",P342=""),"",IF(D342="Venda",-1,1)*((N(J342)*N(K342)+N(L342)*N(M342)+N(N342)*N(O342))-(N(J342)+N(L342)+N(N342))*F342)-N(Q342))</f>
        <v/>
      </c>
      <c r="V342" s="9">
        <f>IF(OR(B342="",P342=""),"",U342/S342)</f>
        <v/>
      </c>
      <c r="W342">
        <f>IF(OR(B342="",P342=""),"",P342-C342)</f>
        <v/>
      </c>
      <c r="X342">
        <f>IF(B342="","",IF(P342="","Aberto","Fechado"))</f>
        <v/>
      </c>
    </row>
    <row r="343">
      <c r="C343" s="6" t="n"/>
      <c r="E343" s="10" t="n"/>
      <c r="F343" s="11" t="n"/>
      <c r="G343" s="11" t="n"/>
      <c r="H343" s="11" t="n"/>
      <c r="J343" s="10" t="n"/>
      <c r="K343" s="11" t="n"/>
      <c r="L343" s="10" t="n"/>
      <c r="M343" s="11" t="n"/>
      <c r="N343" s="10" t="n"/>
      <c r="O343" s="11" t="n"/>
      <c r="P343" s="6" t="n"/>
      <c r="Q343" s="11" t="n"/>
      <c r="S343" s="8">
        <f>IF(B343="","",E343*F343)</f>
        <v/>
      </c>
      <c r="T343" s="8">
        <f>IF(OR(B343="",N(G343)=0),"",ABS(F343-G343)*E343)</f>
        <v/>
      </c>
      <c r="U343" s="8">
        <f>IF(OR(B343="",P343=""),"",IF(D343="Venda",-1,1)*((N(J343)*N(K343)+N(L343)*N(M343)+N(N343)*N(O343))-(N(J343)+N(L343)+N(N343))*F343)-N(Q343))</f>
        <v/>
      </c>
      <c r="V343" s="9">
        <f>IF(OR(B343="",P343=""),"",U343/S343)</f>
        <v/>
      </c>
      <c r="W343">
        <f>IF(OR(B343="",P343=""),"",P343-C343)</f>
        <v/>
      </c>
      <c r="X343">
        <f>IF(B343="","",IF(P343="","Aberto","Fechado"))</f>
        <v/>
      </c>
    </row>
    <row r="344">
      <c r="C344" s="6" t="n"/>
      <c r="E344" s="10" t="n"/>
      <c r="F344" s="11" t="n"/>
      <c r="G344" s="11" t="n"/>
      <c r="H344" s="11" t="n"/>
      <c r="J344" s="10" t="n"/>
      <c r="K344" s="11" t="n"/>
      <c r="L344" s="10" t="n"/>
      <c r="M344" s="11" t="n"/>
      <c r="N344" s="10" t="n"/>
      <c r="O344" s="11" t="n"/>
      <c r="P344" s="6" t="n"/>
      <c r="Q344" s="11" t="n"/>
      <c r="S344" s="8">
        <f>IF(B344="","",E344*F344)</f>
        <v/>
      </c>
      <c r="T344" s="8">
        <f>IF(OR(B344="",N(G344)=0),"",ABS(F344-G344)*E344)</f>
        <v/>
      </c>
      <c r="U344" s="8">
        <f>IF(OR(B344="",P344=""),"",IF(D344="Venda",-1,1)*((N(J344)*N(K344)+N(L344)*N(M344)+N(N344)*N(O344))-(N(J344)+N(L344)+N(N344))*F344)-N(Q344))</f>
        <v/>
      </c>
      <c r="V344" s="9">
        <f>IF(OR(B344="",P344=""),"",U344/S344)</f>
        <v/>
      </c>
      <c r="W344">
        <f>IF(OR(B344="",P344=""),"",P344-C344)</f>
        <v/>
      </c>
      <c r="X344">
        <f>IF(B344="","",IF(P344="","Aberto","Fechado"))</f>
        <v/>
      </c>
    </row>
    <row r="345">
      <c r="C345" s="6" t="n"/>
      <c r="E345" s="10" t="n"/>
      <c r="F345" s="11" t="n"/>
      <c r="G345" s="11" t="n"/>
      <c r="H345" s="11" t="n"/>
      <c r="J345" s="10" t="n"/>
      <c r="K345" s="11" t="n"/>
      <c r="L345" s="10" t="n"/>
      <c r="M345" s="11" t="n"/>
      <c r="N345" s="10" t="n"/>
      <c r="O345" s="11" t="n"/>
      <c r="P345" s="6" t="n"/>
      <c r="Q345" s="11" t="n"/>
      <c r="S345" s="8">
        <f>IF(B345="","",E345*F345)</f>
        <v/>
      </c>
      <c r="T345" s="8">
        <f>IF(OR(B345="",N(G345)=0),"",ABS(F345-G345)*E345)</f>
        <v/>
      </c>
      <c r="U345" s="8">
        <f>IF(OR(B345="",P345=""),"",IF(D345="Venda",-1,1)*((N(J345)*N(K345)+N(L345)*N(M345)+N(N345)*N(O345))-(N(J345)+N(L345)+N(N345))*F345)-N(Q345))</f>
        <v/>
      </c>
      <c r="V345" s="9">
        <f>IF(OR(B345="",P345=""),"",U345/S345)</f>
        <v/>
      </c>
      <c r="W345">
        <f>IF(OR(B345="",P345=""),"",P345-C345)</f>
        <v/>
      </c>
      <c r="X345">
        <f>IF(B345="","",IF(P345="","Aberto","Fechado"))</f>
        <v/>
      </c>
    </row>
    <row r="346">
      <c r="C346" s="6" t="n"/>
      <c r="E346" s="10" t="n"/>
      <c r="F346" s="11" t="n"/>
      <c r="G346" s="11" t="n"/>
      <c r="H346" s="11" t="n"/>
      <c r="J346" s="10" t="n"/>
      <c r="K346" s="11" t="n"/>
      <c r="L346" s="10" t="n"/>
      <c r="M346" s="11" t="n"/>
      <c r="N346" s="10" t="n"/>
      <c r="O346" s="11" t="n"/>
      <c r="P346" s="6" t="n"/>
      <c r="Q346" s="11" t="n"/>
      <c r="S346" s="8">
        <f>IF(B346="","",E346*F346)</f>
        <v/>
      </c>
      <c r="T346" s="8">
        <f>IF(OR(B346="",N(G346)=0),"",ABS(F346-G346)*E346)</f>
        <v/>
      </c>
      <c r="U346" s="8">
        <f>IF(OR(B346="",P346=""),"",IF(D346="Venda",-1,1)*((N(J346)*N(K346)+N(L346)*N(M346)+N(N346)*N(O346))-(N(J346)+N(L346)+N(N346))*F346)-N(Q346))</f>
        <v/>
      </c>
      <c r="V346" s="9">
        <f>IF(OR(B346="",P346=""),"",U346/S346)</f>
        <v/>
      </c>
      <c r="W346">
        <f>IF(OR(B346="",P346=""),"",P346-C346)</f>
        <v/>
      </c>
      <c r="X346">
        <f>IF(B346="","",IF(P346="","Aberto","Fechado"))</f>
        <v/>
      </c>
    </row>
    <row r="347">
      <c r="C347" s="6" t="n"/>
      <c r="E347" s="10" t="n"/>
      <c r="F347" s="11" t="n"/>
      <c r="G347" s="11" t="n"/>
      <c r="H347" s="11" t="n"/>
      <c r="J347" s="10" t="n"/>
      <c r="K347" s="11" t="n"/>
      <c r="L347" s="10" t="n"/>
      <c r="M347" s="11" t="n"/>
      <c r="N347" s="10" t="n"/>
      <c r="O347" s="11" t="n"/>
      <c r="P347" s="6" t="n"/>
      <c r="Q347" s="11" t="n"/>
      <c r="S347" s="8">
        <f>IF(B347="","",E347*F347)</f>
        <v/>
      </c>
      <c r="T347" s="8">
        <f>IF(OR(B347="",N(G347)=0),"",ABS(F347-G347)*E347)</f>
        <v/>
      </c>
      <c r="U347" s="8">
        <f>IF(OR(B347="",P347=""),"",IF(D347="Venda",-1,1)*((N(J347)*N(K347)+N(L347)*N(M347)+N(N347)*N(O347))-(N(J347)+N(L347)+N(N347))*F347)-N(Q347))</f>
        <v/>
      </c>
      <c r="V347" s="9">
        <f>IF(OR(B347="",P347=""),"",U347/S347)</f>
        <v/>
      </c>
      <c r="W347">
        <f>IF(OR(B347="",P347=""),"",P347-C347)</f>
        <v/>
      </c>
      <c r="X347">
        <f>IF(B347="","",IF(P347="","Aberto","Fechado"))</f>
        <v/>
      </c>
    </row>
    <row r="348">
      <c r="C348" s="6" t="n"/>
      <c r="E348" s="10" t="n"/>
      <c r="F348" s="11" t="n"/>
      <c r="G348" s="11" t="n"/>
      <c r="H348" s="11" t="n"/>
      <c r="J348" s="10" t="n"/>
      <c r="K348" s="11" t="n"/>
      <c r="L348" s="10" t="n"/>
      <c r="M348" s="11" t="n"/>
      <c r="N348" s="10" t="n"/>
      <c r="O348" s="11" t="n"/>
      <c r="P348" s="6" t="n"/>
      <c r="Q348" s="11" t="n"/>
      <c r="S348" s="8">
        <f>IF(B348="","",E348*F348)</f>
        <v/>
      </c>
      <c r="T348" s="8">
        <f>IF(OR(B348="",N(G348)=0),"",ABS(F348-G348)*E348)</f>
        <v/>
      </c>
      <c r="U348" s="8">
        <f>IF(OR(B348="",P348=""),"",IF(D348="Venda",-1,1)*((N(J348)*N(K348)+N(L348)*N(M348)+N(N348)*N(O348))-(N(J348)+N(L348)+N(N348))*F348)-N(Q348))</f>
        <v/>
      </c>
      <c r="V348" s="9">
        <f>IF(OR(B348="",P348=""),"",U348/S348)</f>
        <v/>
      </c>
      <c r="W348">
        <f>IF(OR(B348="",P348=""),"",P348-C348)</f>
        <v/>
      </c>
      <c r="X348">
        <f>IF(B348="","",IF(P348="","Aberto","Fechado"))</f>
        <v/>
      </c>
    </row>
    <row r="349">
      <c r="C349" s="6" t="n"/>
      <c r="E349" s="10" t="n"/>
      <c r="F349" s="11" t="n"/>
      <c r="G349" s="11" t="n"/>
      <c r="H349" s="11" t="n"/>
      <c r="J349" s="10" t="n"/>
      <c r="K349" s="11" t="n"/>
      <c r="L349" s="10" t="n"/>
      <c r="M349" s="11" t="n"/>
      <c r="N349" s="10" t="n"/>
      <c r="O349" s="11" t="n"/>
      <c r="P349" s="6" t="n"/>
      <c r="Q349" s="11" t="n"/>
      <c r="S349" s="8">
        <f>IF(B349="","",E349*F349)</f>
        <v/>
      </c>
      <c r="T349" s="8">
        <f>IF(OR(B349="",N(G349)=0),"",ABS(F349-G349)*E349)</f>
        <v/>
      </c>
      <c r="U349" s="8">
        <f>IF(OR(B349="",P349=""),"",IF(D349="Venda",-1,1)*((N(J349)*N(K349)+N(L349)*N(M349)+N(N349)*N(O349))-(N(J349)+N(L349)+N(N349))*F349)-N(Q349))</f>
        <v/>
      </c>
      <c r="V349" s="9">
        <f>IF(OR(B349="",P349=""),"",U349/S349)</f>
        <v/>
      </c>
      <c r="W349">
        <f>IF(OR(B349="",P349=""),"",P349-C349)</f>
        <v/>
      </c>
      <c r="X349">
        <f>IF(B349="","",IF(P349="","Aberto","Fechado"))</f>
        <v/>
      </c>
    </row>
    <row r="350">
      <c r="C350" s="6" t="n"/>
      <c r="E350" s="10" t="n"/>
      <c r="F350" s="11" t="n"/>
      <c r="G350" s="11" t="n"/>
      <c r="H350" s="11" t="n"/>
      <c r="J350" s="10" t="n"/>
      <c r="K350" s="11" t="n"/>
      <c r="L350" s="10" t="n"/>
      <c r="M350" s="11" t="n"/>
      <c r="N350" s="10" t="n"/>
      <c r="O350" s="11" t="n"/>
      <c r="P350" s="6" t="n"/>
      <c r="Q350" s="11" t="n"/>
      <c r="S350" s="8">
        <f>IF(B350="","",E350*F350)</f>
        <v/>
      </c>
      <c r="T350" s="8">
        <f>IF(OR(B350="",N(G350)=0),"",ABS(F350-G350)*E350)</f>
        <v/>
      </c>
      <c r="U350" s="8">
        <f>IF(OR(B350="",P350=""),"",IF(D350="Venda",-1,1)*((N(J350)*N(K350)+N(L350)*N(M350)+N(N350)*N(O350))-(N(J350)+N(L350)+N(N350))*F350)-N(Q350))</f>
        <v/>
      </c>
      <c r="V350" s="9">
        <f>IF(OR(B350="",P350=""),"",U350/S350)</f>
        <v/>
      </c>
      <c r="W350">
        <f>IF(OR(B350="",P350=""),"",P350-C350)</f>
        <v/>
      </c>
      <c r="X350">
        <f>IF(B350="","",IF(P350="","Aberto","Fechado"))</f>
        <v/>
      </c>
    </row>
    <row r="351">
      <c r="C351" s="6" t="n"/>
      <c r="E351" s="10" t="n"/>
      <c r="F351" s="11" t="n"/>
      <c r="G351" s="11" t="n"/>
      <c r="H351" s="11" t="n"/>
      <c r="J351" s="10" t="n"/>
      <c r="K351" s="11" t="n"/>
      <c r="L351" s="10" t="n"/>
      <c r="M351" s="11" t="n"/>
      <c r="N351" s="10" t="n"/>
      <c r="O351" s="11" t="n"/>
      <c r="P351" s="6" t="n"/>
      <c r="Q351" s="11" t="n"/>
      <c r="S351" s="8">
        <f>IF(B351="","",E351*F351)</f>
        <v/>
      </c>
      <c r="T351" s="8">
        <f>IF(OR(B351="",N(G351)=0),"",ABS(F351-G351)*E351)</f>
        <v/>
      </c>
      <c r="U351" s="8">
        <f>IF(OR(B351="",P351=""),"",IF(D351="Venda",-1,1)*((N(J351)*N(K351)+N(L351)*N(M351)+N(N351)*N(O351))-(N(J351)+N(L351)+N(N351))*F351)-N(Q351))</f>
        <v/>
      </c>
      <c r="V351" s="9">
        <f>IF(OR(B351="",P351=""),"",U351/S351)</f>
        <v/>
      </c>
      <c r="W351">
        <f>IF(OR(B351="",P351=""),"",P351-C351)</f>
        <v/>
      </c>
      <c r="X351">
        <f>IF(B351="","",IF(P351="","Aberto","Fechado"))</f>
        <v/>
      </c>
    </row>
    <row r="352">
      <c r="C352" s="6" t="n"/>
      <c r="E352" s="10" t="n"/>
      <c r="F352" s="11" t="n"/>
      <c r="G352" s="11" t="n"/>
      <c r="H352" s="11" t="n"/>
      <c r="J352" s="10" t="n"/>
      <c r="K352" s="11" t="n"/>
      <c r="L352" s="10" t="n"/>
      <c r="M352" s="11" t="n"/>
      <c r="N352" s="10" t="n"/>
      <c r="O352" s="11" t="n"/>
      <c r="P352" s="6" t="n"/>
      <c r="Q352" s="11" t="n"/>
      <c r="S352" s="8">
        <f>IF(B352="","",E352*F352)</f>
        <v/>
      </c>
      <c r="T352" s="8">
        <f>IF(OR(B352="",N(G352)=0),"",ABS(F352-G352)*E352)</f>
        <v/>
      </c>
      <c r="U352" s="8">
        <f>IF(OR(B352="",P352=""),"",IF(D352="Venda",-1,1)*((N(J352)*N(K352)+N(L352)*N(M352)+N(N352)*N(O352))-(N(J352)+N(L352)+N(N352))*F352)-N(Q352))</f>
        <v/>
      </c>
      <c r="V352" s="9">
        <f>IF(OR(B352="",P352=""),"",U352/S352)</f>
        <v/>
      </c>
      <c r="W352">
        <f>IF(OR(B352="",P352=""),"",P352-C352)</f>
        <v/>
      </c>
      <c r="X352">
        <f>IF(B352="","",IF(P352="","Aberto","Fechado"))</f>
        <v/>
      </c>
    </row>
    <row r="353">
      <c r="C353" s="6" t="n"/>
      <c r="E353" s="10" t="n"/>
      <c r="F353" s="11" t="n"/>
      <c r="G353" s="11" t="n"/>
      <c r="H353" s="11" t="n"/>
      <c r="J353" s="10" t="n"/>
      <c r="K353" s="11" t="n"/>
      <c r="L353" s="10" t="n"/>
      <c r="M353" s="11" t="n"/>
      <c r="N353" s="10" t="n"/>
      <c r="O353" s="11" t="n"/>
      <c r="P353" s="6" t="n"/>
      <c r="Q353" s="11" t="n"/>
      <c r="S353" s="8">
        <f>IF(B353="","",E353*F353)</f>
        <v/>
      </c>
      <c r="T353" s="8">
        <f>IF(OR(B353="",N(G353)=0),"",ABS(F353-G353)*E353)</f>
        <v/>
      </c>
      <c r="U353" s="8">
        <f>IF(OR(B353="",P353=""),"",IF(D353="Venda",-1,1)*((N(J353)*N(K353)+N(L353)*N(M353)+N(N353)*N(O353))-(N(J353)+N(L353)+N(N353))*F353)-N(Q353))</f>
        <v/>
      </c>
      <c r="V353" s="9">
        <f>IF(OR(B353="",P353=""),"",U353/S353)</f>
        <v/>
      </c>
      <c r="W353">
        <f>IF(OR(B353="",P353=""),"",P353-C353)</f>
        <v/>
      </c>
      <c r="X353">
        <f>IF(B353="","",IF(P353="","Aberto","Fechado"))</f>
        <v/>
      </c>
    </row>
    <row r="354">
      <c r="C354" s="6" t="n"/>
      <c r="E354" s="10" t="n"/>
      <c r="F354" s="11" t="n"/>
      <c r="G354" s="11" t="n"/>
      <c r="H354" s="11" t="n"/>
      <c r="J354" s="10" t="n"/>
      <c r="K354" s="11" t="n"/>
      <c r="L354" s="10" t="n"/>
      <c r="M354" s="11" t="n"/>
      <c r="N354" s="10" t="n"/>
      <c r="O354" s="11" t="n"/>
      <c r="P354" s="6" t="n"/>
      <c r="Q354" s="11" t="n"/>
      <c r="S354" s="8">
        <f>IF(B354="","",E354*F354)</f>
        <v/>
      </c>
      <c r="T354" s="8">
        <f>IF(OR(B354="",N(G354)=0),"",ABS(F354-G354)*E354)</f>
        <v/>
      </c>
      <c r="U354" s="8">
        <f>IF(OR(B354="",P354=""),"",IF(D354="Venda",-1,1)*((N(J354)*N(K354)+N(L354)*N(M354)+N(N354)*N(O354))-(N(J354)+N(L354)+N(N354))*F354)-N(Q354))</f>
        <v/>
      </c>
      <c r="V354" s="9">
        <f>IF(OR(B354="",P354=""),"",U354/S354)</f>
        <v/>
      </c>
      <c r="W354">
        <f>IF(OR(B354="",P354=""),"",P354-C354)</f>
        <v/>
      </c>
      <c r="X354">
        <f>IF(B354="","",IF(P354="","Aberto","Fechado"))</f>
        <v/>
      </c>
    </row>
    <row r="355">
      <c r="C355" s="6" t="n"/>
      <c r="E355" s="10" t="n"/>
      <c r="F355" s="11" t="n"/>
      <c r="G355" s="11" t="n"/>
      <c r="H355" s="11" t="n"/>
      <c r="J355" s="10" t="n"/>
      <c r="K355" s="11" t="n"/>
      <c r="L355" s="10" t="n"/>
      <c r="M355" s="11" t="n"/>
      <c r="N355" s="10" t="n"/>
      <c r="O355" s="11" t="n"/>
      <c r="P355" s="6" t="n"/>
      <c r="Q355" s="11" t="n"/>
      <c r="S355" s="8">
        <f>IF(B355="","",E355*F355)</f>
        <v/>
      </c>
      <c r="T355" s="8">
        <f>IF(OR(B355="",N(G355)=0),"",ABS(F355-G355)*E355)</f>
        <v/>
      </c>
      <c r="U355" s="8">
        <f>IF(OR(B355="",P355=""),"",IF(D355="Venda",-1,1)*((N(J355)*N(K355)+N(L355)*N(M355)+N(N355)*N(O355))-(N(J355)+N(L355)+N(N355))*F355)-N(Q355))</f>
        <v/>
      </c>
      <c r="V355" s="9">
        <f>IF(OR(B355="",P355=""),"",U355/S355)</f>
        <v/>
      </c>
      <c r="W355">
        <f>IF(OR(B355="",P355=""),"",P355-C355)</f>
        <v/>
      </c>
      <c r="X355">
        <f>IF(B355="","",IF(P355="","Aberto","Fechado"))</f>
        <v/>
      </c>
    </row>
    <row r="356">
      <c r="C356" s="6" t="n"/>
      <c r="E356" s="10" t="n"/>
      <c r="F356" s="11" t="n"/>
      <c r="G356" s="11" t="n"/>
      <c r="H356" s="11" t="n"/>
      <c r="J356" s="10" t="n"/>
      <c r="K356" s="11" t="n"/>
      <c r="L356" s="10" t="n"/>
      <c r="M356" s="11" t="n"/>
      <c r="N356" s="10" t="n"/>
      <c r="O356" s="11" t="n"/>
      <c r="P356" s="6" t="n"/>
      <c r="Q356" s="11" t="n"/>
      <c r="S356" s="8">
        <f>IF(B356="","",E356*F356)</f>
        <v/>
      </c>
      <c r="T356" s="8">
        <f>IF(OR(B356="",N(G356)=0),"",ABS(F356-G356)*E356)</f>
        <v/>
      </c>
      <c r="U356" s="8">
        <f>IF(OR(B356="",P356=""),"",IF(D356="Venda",-1,1)*((N(J356)*N(K356)+N(L356)*N(M356)+N(N356)*N(O356))-(N(J356)+N(L356)+N(N356))*F356)-N(Q356))</f>
        <v/>
      </c>
      <c r="V356" s="9">
        <f>IF(OR(B356="",P356=""),"",U356/S356)</f>
        <v/>
      </c>
      <c r="W356">
        <f>IF(OR(B356="",P356=""),"",P356-C356)</f>
        <v/>
      </c>
      <c r="X356">
        <f>IF(B356="","",IF(P356="","Aberto","Fechado"))</f>
        <v/>
      </c>
    </row>
    <row r="357">
      <c r="C357" s="6" t="n"/>
      <c r="E357" s="10" t="n"/>
      <c r="F357" s="11" t="n"/>
      <c r="G357" s="11" t="n"/>
      <c r="H357" s="11" t="n"/>
      <c r="J357" s="10" t="n"/>
      <c r="K357" s="11" t="n"/>
      <c r="L357" s="10" t="n"/>
      <c r="M357" s="11" t="n"/>
      <c r="N357" s="10" t="n"/>
      <c r="O357" s="11" t="n"/>
      <c r="P357" s="6" t="n"/>
      <c r="Q357" s="11" t="n"/>
      <c r="S357" s="8">
        <f>IF(B357="","",E357*F357)</f>
        <v/>
      </c>
      <c r="T357" s="8">
        <f>IF(OR(B357="",N(G357)=0),"",ABS(F357-G357)*E357)</f>
        <v/>
      </c>
      <c r="U357" s="8">
        <f>IF(OR(B357="",P357=""),"",IF(D357="Venda",-1,1)*((N(J357)*N(K357)+N(L357)*N(M357)+N(N357)*N(O357))-(N(J357)+N(L357)+N(N357))*F357)-N(Q357))</f>
        <v/>
      </c>
      <c r="V357" s="9">
        <f>IF(OR(B357="",P357=""),"",U357/S357)</f>
        <v/>
      </c>
      <c r="W357">
        <f>IF(OR(B357="",P357=""),"",P357-C357)</f>
        <v/>
      </c>
      <c r="X357">
        <f>IF(B357="","",IF(P357="","Aberto","Fechado"))</f>
        <v/>
      </c>
    </row>
    <row r="358">
      <c r="C358" s="6" t="n"/>
      <c r="E358" s="10" t="n"/>
      <c r="F358" s="11" t="n"/>
      <c r="G358" s="11" t="n"/>
      <c r="H358" s="11" t="n"/>
      <c r="J358" s="10" t="n"/>
      <c r="K358" s="11" t="n"/>
      <c r="L358" s="10" t="n"/>
      <c r="M358" s="11" t="n"/>
      <c r="N358" s="10" t="n"/>
      <c r="O358" s="11" t="n"/>
      <c r="P358" s="6" t="n"/>
      <c r="Q358" s="11" t="n"/>
      <c r="S358" s="8">
        <f>IF(B358="","",E358*F358)</f>
        <v/>
      </c>
      <c r="T358" s="8">
        <f>IF(OR(B358="",N(G358)=0),"",ABS(F358-G358)*E358)</f>
        <v/>
      </c>
      <c r="U358" s="8">
        <f>IF(OR(B358="",P358=""),"",IF(D358="Venda",-1,1)*((N(J358)*N(K358)+N(L358)*N(M358)+N(N358)*N(O358))-(N(J358)+N(L358)+N(N358))*F358)-N(Q358))</f>
        <v/>
      </c>
      <c r="V358" s="9">
        <f>IF(OR(B358="",P358=""),"",U358/S358)</f>
        <v/>
      </c>
      <c r="W358">
        <f>IF(OR(B358="",P358=""),"",P358-C358)</f>
        <v/>
      </c>
      <c r="X358">
        <f>IF(B358="","",IF(P358="","Aberto","Fechado"))</f>
        <v/>
      </c>
    </row>
    <row r="359">
      <c r="C359" s="6" t="n"/>
      <c r="E359" s="10" t="n"/>
      <c r="F359" s="11" t="n"/>
      <c r="G359" s="11" t="n"/>
      <c r="H359" s="11" t="n"/>
      <c r="J359" s="10" t="n"/>
      <c r="K359" s="11" t="n"/>
      <c r="L359" s="10" t="n"/>
      <c r="M359" s="11" t="n"/>
      <c r="N359" s="10" t="n"/>
      <c r="O359" s="11" t="n"/>
      <c r="P359" s="6" t="n"/>
      <c r="Q359" s="11" t="n"/>
      <c r="S359" s="8">
        <f>IF(B359="","",E359*F359)</f>
        <v/>
      </c>
      <c r="T359" s="8">
        <f>IF(OR(B359="",N(G359)=0),"",ABS(F359-G359)*E359)</f>
        <v/>
      </c>
      <c r="U359" s="8">
        <f>IF(OR(B359="",P359=""),"",IF(D359="Venda",-1,1)*((N(J359)*N(K359)+N(L359)*N(M359)+N(N359)*N(O359))-(N(J359)+N(L359)+N(N359))*F359)-N(Q359))</f>
        <v/>
      </c>
      <c r="V359" s="9">
        <f>IF(OR(B359="",P359=""),"",U359/S359)</f>
        <v/>
      </c>
      <c r="W359">
        <f>IF(OR(B359="",P359=""),"",P359-C359)</f>
        <v/>
      </c>
      <c r="X359">
        <f>IF(B359="","",IF(P359="","Aberto","Fechado"))</f>
        <v/>
      </c>
    </row>
    <row r="360">
      <c r="C360" s="6" t="n"/>
      <c r="E360" s="10" t="n"/>
      <c r="F360" s="11" t="n"/>
      <c r="G360" s="11" t="n"/>
      <c r="H360" s="11" t="n"/>
      <c r="J360" s="10" t="n"/>
      <c r="K360" s="11" t="n"/>
      <c r="L360" s="10" t="n"/>
      <c r="M360" s="11" t="n"/>
      <c r="N360" s="10" t="n"/>
      <c r="O360" s="11" t="n"/>
      <c r="P360" s="6" t="n"/>
      <c r="Q360" s="11" t="n"/>
      <c r="S360" s="8">
        <f>IF(B360="","",E360*F360)</f>
        <v/>
      </c>
      <c r="T360" s="8">
        <f>IF(OR(B360="",N(G360)=0),"",ABS(F360-G360)*E360)</f>
        <v/>
      </c>
      <c r="U360" s="8">
        <f>IF(OR(B360="",P360=""),"",IF(D360="Venda",-1,1)*((N(J360)*N(K360)+N(L360)*N(M360)+N(N360)*N(O360))-(N(J360)+N(L360)+N(N360))*F360)-N(Q360))</f>
        <v/>
      </c>
      <c r="V360" s="9">
        <f>IF(OR(B360="",P360=""),"",U360/S360)</f>
        <v/>
      </c>
      <c r="W360">
        <f>IF(OR(B360="",P360=""),"",P360-C360)</f>
        <v/>
      </c>
      <c r="X360">
        <f>IF(B360="","",IF(P360="","Aberto","Fechado"))</f>
        <v/>
      </c>
    </row>
    <row r="361">
      <c r="C361" s="6" t="n"/>
      <c r="E361" s="10" t="n"/>
      <c r="F361" s="11" t="n"/>
      <c r="G361" s="11" t="n"/>
      <c r="H361" s="11" t="n"/>
      <c r="J361" s="10" t="n"/>
      <c r="K361" s="11" t="n"/>
      <c r="L361" s="10" t="n"/>
      <c r="M361" s="11" t="n"/>
      <c r="N361" s="10" t="n"/>
      <c r="O361" s="11" t="n"/>
      <c r="P361" s="6" t="n"/>
      <c r="Q361" s="11" t="n"/>
      <c r="S361" s="8">
        <f>IF(B361="","",E361*F361)</f>
        <v/>
      </c>
      <c r="T361" s="8">
        <f>IF(OR(B361="",N(G361)=0),"",ABS(F361-G361)*E361)</f>
        <v/>
      </c>
      <c r="U361" s="8">
        <f>IF(OR(B361="",P361=""),"",IF(D361="Venda",-1,1)*((N(J361)*N(K361)+N(L361)*N(M361)+N(N361)*N(O361))-(N(J361)+N(L361)+N(N361))*F361)-N(Q361))</f>
        <v/>
      </c>
      <c r="V361" s="9">
        <f>IF(OR(B361="",P361=""),"",U361/S361)</f>
        <v/>
      </c>
      <c r="W361">
        <f>IF(OR(B361="",P361=""),"",P361-C361)</f>
        <v/>
      </c>
      <c r="X361">
        <f>IF(B361="","",IF(P361="","Aberto","Fechado"))</f>
        <v/>
      </c>
    </row>
    <row r="362">
      <c r="C362" s="6" t="n"/>
      <c r="E362" s="10" t="n"/>
      <c r="F362" s="11" t="n"/>
      <c r="G362" s="11" t="n"/>
      <c r="H362" s="11" t="n"/>
      <c r="J362" s="10" t="n"/>
      <c r="K362" s="11" t="n"/>
      <c r="L362" s="10" t="n"/>
      <c r="M362" s="11" t="n"/>
      <c r="N362" s="10" t="n"/>
      <c r="O362" s="11" t="n"/>
      <c r="P362" s="6" t="n"/>
      <c r="Q362" s="11" t="n"/>
      <c r="S362" s="8">
        <f>IF(B362="","",E362*F362)</f>
        <v/>
      </c>
      <c r="T362" s="8">
        <f>IF(OR(B362="",N(G362)=0),"",ABS(F362-G362)*E362)</f>
        <v/>
      </c>
      <c r="U362" s="8">
        <f>IF(OR(B362="",P362=""),"",IF(D362="Venda",-1,1)*((N(J362)*N(K362)+N(L362)*N(M362)+N(N362)*N(O362))-(N(J362)+N(L362)+N(N362))*F362)-N(Q362))</f>
        <v/>
      </c>
      <c r="V362" s="9">
        <f>IF(OR(B362="",P362=""),"",U362/S362)</f>
        <v/>
      </c>
      <c r="W362">
        <f>IF(OR(B362="",P362=""),"",P362-C362)</f>
        <v/>
      </c>
      <c r="X362">
        <f>IF(B362="","",IF(P362="","Aberto","Fechado"))</f>
        <v/>
      </c>
    </row>
    <row r="363">
      <c r="C363" s="6" t="n"/>
      <c r="E363" s="10" t="n"/>
      <c r="F363" s="11" t="n"/>
      <c r="G363" s="11" t="n"/>
      <c r="H363" s="11" t="n"/>
      <c r="J363" s="10" t="n"/>
      <c r="K363" s="11" t="n"/>
      <c r="L363" s="10" t="n"/>
      <c r="M363" s="11" t="n"/>
      <c r="N363" s="10" t="n"/>
      <c r="O363" s="11" t="n"/>
      <c r="P363" s="6" t="n"/>
      <c r="Q363" s="11" t="n"/>
      <c r="S363" s="8">
        <f>IF(B363="","",E363*F363)</f>
        <v/>
      </c>
      <c r="T363" s="8">
        <f>IF(OR(B363="",N(G363)=0),"",ABS(F363-G363)*E363)</f>
        <v/>
      </c>
      <c r="U363" s="8">
        <f>IF(OR(B363="",P363=""),"",IF(D363="Venda",-1,1)*((N(J363)*N(K363)+N(L363)*N(M363)+N(N363)*N(O363))-(N(J363)+N(L363)+N(N363))*F363)-N(Q363))</f>
        <v/>
      </c>
      <c r="V363" s="9">
        <f>IF(OR(B363="",P363=""),"",U363/S363)</f>
        <v/>
      </c>
      <c r="W363">
        <f>IF(OR(B363="",P363=""),"",P363-C363)</f>
        <v/>
      </c>
      <c r="X363">
        <f>IF(B363="","",IF(P363="","Aberto","Fechado"))</f>
        <v/>
      </c>
    </row>
    <row r="364">
      <c r="C364" s="6" t="n"/>
      <c r="E364" s="10" t="n"/>
      <c r="F364" s="11" t="n"/>
      <c r="G364" s="11" t="n"/>
      <c r="H364" s="11" t="n"/>
      <c r="J364" s="10" t="n"/>
      <c r="K364" s="11" t="n"/>
      <c r="L364" s="10" t="n"/>
      <c r="M364" s="11" t="n"/>
      <c r="N364" s="10" t="n"/>
      <c r="O364" s="11" t="n"/>
      <c r="P364" s="6" t="n"/>
      <c r="Q364" s="11" t="n"/>
      <c r="S364" s="8">
        <f>IF(B364="","",E364*F364)</f>
        <v/>
      </c>
      <c r="T364" s="8">
        <f>IF(OR(B364="",N(G364)=0),"",ABS(F364-G364)*E364)</f>
        <v/>
      </c>
      <c r="U364" s="8">
        <f>IF(OR(B364="",P364=""),"",IF(D364="Venda",-1,1)*((N(J364)*N(K364)+N(L364)*N(M364)+N(N364)*N(O364))-(N(J364)+N(L364)+N(N364))*F364)-N(Q364))</f>
        <v/>
      </c>
      <c r="V364" s="9">
        <f>IF(OR(B364="",P364=""),"",U364/S364)</f>
        <v/>
      </c>
      <c r="W364">
        <f>IF(OR(B364="",P364=""),"",P364-C364)</f>
        <v/>
      </c>
      <c r="X364">
        <f>IF(B364="","",IF(P364="","Aberto","Fechado"))</f>
        <v/>
      </c>
    </row>
    <row r="365">
      <c r="C365" s="6" t="n"/>
      <c r="E365" s="10" t="n"/>
      <c r="F365" s="11" t="n"/>
      <c r="G365" s="11" t="n"/>
      <c r="H365" s="11" t="n"/>
      <c r="J365" s="10" t="n"/>
      <c r="K365" s="11" t="n"/>
      <c r="L365" s="10" t="n"/>
      <c r="M365" s="11" t="n"/>
      <c r="N365" s="10" t="n"/>
      <c r="O365" s="11" t="n"/>
      <c r="P365" s="6" t="n"/>
      <c r="Q365" s="11" t="n"/>
      <c r="S365" s="8">
        <f>IF(B365="","",E365*F365)</f>
        <v/>
      </c>
      <c r="T365" s="8">
        <f>IF(OR(B365="",N(G365)=0),"",ABS(F365-G365)*E365)</f>
        <v/>
      </c>
      <c r="U365" s="8">
        <f>IF(OR(B365="",P365=""),"",IF(D365="Venda",-1,1)*((N(J365)*N(K365)+N(L365)*N(M365)+N(N365)*N(O365))-(N(J365)+N(L365)+N(N365))*F365)-N(Q365))</f>
        <v/>
      </c>
      <c r="V365" s="9">
        <f>IF(OR(B365="",P365=""),"",U365/S365)</f>
        <v/>
      </c>
      <c r="W365">
        <f>IF(OR(B365="",P365=""),"",P365-C365)</f>
        <v/>
      </c>
      <c r="X365">
        <f>IF(B365="","",IF(P365="","Aberto","Fechado"))</f>
        <v/>
      </c>
    </row>
    <row r="366">
      <c r="C366" s="6" t="n"/>
      <c r="E366" s="10" t="n"/>
      <c r="F366" s="11" t="n"/>
      <c r="G366" s="11" t="n"/>
      <c r="H366" s="11" t="n"/>
      <c r="J366" s="10" t="n"/>
      <c r="K366" s="11" t="n"/>
      <c r="L366" s="10" t="n"/>
      <c r="M366" s="11" t="n"/>
      <c r="N366" s="10" t="n"/>
      <c r="O366" s="11" t="n"/>
      <c r="P366" s="6" t="n"/>
      <c r="Q366" s="11" t="n"/>
      <c r="S366" s="8">
        <f>IF(B366="","",E366*F366)</f>
        <v/>
      </c>
      <c r="T366" s="8">
        <f>IF(OR(B366="",N(G366)=0),"",ABS(F366-G366)*E366)</f>
        <v/>
      </c>
      <c r="U366" s="8">
        <f>IF(OR(B366="",P366=""),"",IF(D366="Venda",-1,1)*((N(J366)*N(K366)+N(L366)*N(M366)+N(N366)*N(O366))-(N(J366)+N(L366)+N(N366))*F366)-N(Q366))</f>
        <v/>
      </c>
      <c r="V366" s="9">
        <f>IF(OR(B366="",P366=""),"",U366/S366)</f>
        <v/>
      </c>
      <c r="W366">
        <f>IF(OR(B366="",P366=""),"",P366-C366)</f>
        <v/>
      </c>
      <c r="X366">
        <f>IF(B366="","",IF(P366="","Aberto","Fechado"))</f>
        <v/>
      </c>
    </row>
    <row r="367">
      <c r="C367" s="6" t="n"/>
      <c r="E367" s="10" t="n"/>
      <c r="F367" s="11" t="n"/>
      <c r="G367" s="11" t="n"/>
      <c r="H367" s="11" t="n"/>
      <c r="J367" s="10" t="n"/>
      <c r="K367" s="11" t="n"/>
      <c r="L367" s="10" t="n"/>
      <c r="M367" s="11" t="n"/>
      <c r="N367" s="10" t="n"/>
      <c r="O367" s="11" t="n"/>
      <c r="P367" s="6" t="n"/>
      <c r="Q367" s="11" t="n"/>
      <c r="S367" s="8">
        <f>IF(B367="","",E367*F367)</f>
        <v/>
      </c>
      <c r="T367" s="8">
        <f>IF(OR(B367="",N(G367)=0),"",ABS(F367-G367)*E367)</f>
        <v/>
      </c>
      <c r="U367" s="8">
        <f>IF(OR(B367="",P367=""),"",IF(D367="Venda",-1,1)*((N(J367)*N(K367)+N(L367)*N(M367)+N(N367)*N(O367))-(N(J367)+N(L367)+N(N367))*F367)-N(Q367))</f>
        <v/>
      </c>
      <c r="V367" s="9">
        <f>IF(OR(B367="",P367=""),"",U367/S367)</f>
        <v/>
      </c>
      <c r="W367">
        <f>IF(OR(B367="",P367=""),"",P367-C367)</f>
        <v/>
      </c>
      <c r="X367">
        <f>IF(B367="","",IF(P367="","Aberto","Fechado"))</f>
        <v/>
      </c>
    </row>
    <row r="368">
      <c r="C368" s="6" t="n"/>
      <c r="E368" s="10" t="n"/>
      <c r="F368" s="11" t="n"/>
      <c r="G368" s="11" t="n"/>
      <c r="H368" s="11" t="n"/>
      <c r="J368" s="10" t="n"/>
      <c r="K368" s="11" t="n"/>
      <c r="L368" s="10" t="n"/>
      <c r="M368" s="11" t="n"/>
      <c r="N368" s="10" t="n"/>
      <c r="O368" s="11" t="n"/>
      <c r="P368" s="6" t="n"/>
      <c r="Q368" s="11" t="n"/>
      <c r="S368" s="8">
        <f>IF(B368="","",E368*F368)</f>
        <v/>
      </c>
      <c r="T368" s="8">
        <f>IF(OR(B368="",N(G368)=0),"",ABS(F368-G368)*E368)</f>
        <v/>
      </c>
      <c r="U368" s="8">
        <f>IF(OR(B368="",P368=""),"",IF(D368="Venda",-1,1)*((N(J368)*N(K368)+N(L368)*N(M368)+N(N368)*N(O368))-(N(J368)+N(L368)+N(N368))*F368)-N(Q368))</f>
        <v/>
      </c>
      <c r="V368" s="9">
        <f>IF(OR(B368="",P368=""),"",U368/S368)</f>
        <v/>
      </c>
      <c r="W368">
        <f>IF(OR(B368="",P368=""),"",P368-C368)</f>
        <v/>
      </c>
      <c r="X368">
        <f>IF(B368="","",IF(P368="","Aberto","Fechado"))</f>
        <v/>
      </c>
    </row>
    <row r="369">
      <c r="C369" s="6" t="n"/>
      <c r="E369" s="10" t="n"/>
      <c r="F369" s="11" t="n"/>
      <c r="G369" s="11" t="n"/>
      <c r="H369" s="11" t="n"/>
      <c r="J369" s="10" t="n"/>
      <c r="K369" s="11" t="n"/>
      <c r="L369" s="10" t="n"/>
      <c r="M369" s="11" t="n"/>
      <c r="N369" s="10" t="n"/>
      <c r="O369" s="11" t="n"/>
      <c r="P369" s="6" t="n"/>
      <c r="Q369" s="11" t="n"/>
      <c r="S369" s="8">
        <f>IF(B369="","",E369*F369)</f>
        <v/>
      </c>
      <c r="T369" s="8">
        <f>IF(OR(B369="",N(G369)=0),"",ABS(F369-G369)*E369)</f>
        <v/>
      </c>
      <c r="U369" s="8">
        <f>IF(OR(B369="",P369=""),"",IF(D369="Venda",-1,1)*((N(J369)*N(K369)+N(L369)*N(M369)+N(N369)*N(O369))-(N(J369)+N(L369)+N(N369))*F369)-N(Q369))</f>
        <v/>
      </c>
      <c r="V369" s="9">
        <f>IF(OR(B369="",P369=""),"",U369/S369)</f>
        <v/>
      </c>
      <c r="W369">
        <f>IF(OR(B369="",P369=""),"",P369-C369)</f>
        <v/>
      </c>
      <c r="X369">
        <f>IF(B369="","",IF(P369="","Aberto","Fechado"))</f>
        <v/>
      </c>
    </row>
    <row r="370">
      <c r="C370" s="6" t="n"/>
      <c r="E370" s="10" t="n"/>
      <c r="F370" s="11" t="n"/>
      <c r="G370" s="11" t="n"/>
      <c r="H370" s="11" t="n"/>
      <c r="J370" s="10" t="n"/>
      <c r="K370" s="11" t="n"/>
      <c r="L370" s="10" t="n"/>
      <c r="M370" s="11" t="n"/>
      <c r="N370" s="10" t="n"/>
      <c r="O370" s="11" t="n"/>
      <c r="P370" s="6" t="n"/>
      <c r="Q370" s="11" t="n"/>
      <c r="S370" s="8">
        <f>IF(B370="","",E370*F370)</f>
        <v/>
      </c>
      <c r="T370" s="8">
        <f>IF(OR(B370="",N(G370)=0),"",ABS(F370-G370)*E370)</f>
        <v/>
      </c>
      <c r="U370" s="8">
        <f>IF(OR(B370="",P370=""),"",IF(D370="Venda",-1,1)*((N(J370)*N(K370)+N(L370)*N(M370)+N(N370)*N(O370))-(N(J370)+N(L370)+N(N370))*F370)-N(Q370))</f>
        <v/>
      </c>
      <c r="V370" s="9">
        <f>IF(OR(B370="",P370=""),"",U370/S370)</f>
        <v/>
      </c>
      <c r="W370">
        <f>IF(OR(B370="",P370=""),"",P370-C370)</f>
        <v/>
      </c>
      <c r="X370">
        <f>IF(B370="","",IF(P370="","Aberto","Fechado"))</f>
        <v/>
      </c>
    </row>
    <row r="371">
      <c r="C371" s="6" t="n"/>
      <c r="E371" s="10" t="n"/>
      <c r="F371" s="11" t="n"/>
      <c r="G371" s="11" t="n"/>
      <c r="H371" s="11" t="n"/>
      <c r="J371" s="10" t="n"/>
      <c r="K371" s="11" t="n"/>
      <c r="L371" s="10" t="n"/>
      <c r="M371" s="11" t="n"/>
      <c r="N371" s="10" t="n"/>
      <c r="O371" s="11" t="n"/>
      <c r="P371" s="6" t="n"/>
      <c r="Q371" s="11" t="n"/>
      <c r="S371" s="8">
        <f>IF(B371="","",E371*F371)</f>
        <v/>
      </c>
      <c r="T371" s="8">
        <f>IF(OR(B371="",N(G371)=0),"",ABS(F371-G371)*E371)</f>
        <v/>
      </c>
      <c r="U371" s="8">
        <f>IF(OR(B371="",P371=""),"",IF(D371="Venda",-1,1)*((N(J371)*N(K371)+N(L371)*N(M371)+N(N371)*N(O371))-(N(J371)+N(L371)+N(N371))*F371)-N(Q371))</f>
        <v/>
      </c>
      <c r="V371" s="9">
        <f>IF(OR(B371="",P371=""),"",U371/S371)</f>
        <v/>
      </c>
      <c r="W371">
        <f>IF(OR(B371="",P371=""),"",P371-C371)</f>
        <v/>
      </c>
      <c r="X371">
        <f>IF(B371="","",IF(P371="","Aberto","Fechado"))</f>
        <v/>
      </c>
    </row>
    <row r="372">
      <c r="C372" s="6" t="n"/>
      <c r="E372" s="10" t="n"/>
      <c r="F372" s="11" t="n"/>
      <c r="G372" s="11" t="n"/>
      <c r="H372" s="11" t="n"/>
      <c r="J372" s="10" t="n"/>
      <c r="K372" s="11" t="n"/>
      <c r="L372" s="10" t="n"/>
      <c r="M372" s="11" t="n"/>
      <c r="N372" s="10" t="n"/>
      <c r="O372" s="11" t="n"/>
      <c r="P372" s="6" t="n"/>
      <c r="Q372" s="11" t="n"/>
      <c r="S372" s="8">
        <f>IF(B372="","",E372*F372)</f>
        <v/>
      </c>
      <c r="T372" s="8">
        <f>IF(OR(B372="",N(G372)=0),"",ABS(F372-G372)*E372)</f>
        <v/>
      </c>
      <c r="U372" s="8">
        <f>IF(OR(B372="",P372=""),"",IF(D372="Venda",-1,1)*((N(J372)*N(K372)+N(L372)*N(M372)+N(N372)*N(O372))-(N(J372)+N(L372)+N(N372))*F372)-N(Q372))</f>
        <v/>
      </c>
      <c r="V372" s="9">
        <f>IF(OR(B372="",P372=""),"",U372/S372)</f>
        <v/>
      </c>
      <c r="W372">
        <f>IF(OR(B372="",P372=""),"",P372-C372)</f>
        <v/>
      </c>
      <c r="X372">
        <f>IF(B372="","",IF(P372="","Aberto","Fechado"))</f>
        <v/>
      </c>
    </row>
    <row r="373">
      <c r="C373" s="6" t="n"/>
      <c r="E373" s="10" t="n"/>
      <c r="F373" s="11" t="n"/>
      <c r="G373" s="11" t="n"/>
      <c r="H373" s="11" t="n"/>
      <c r="J373" s="10" t="n"/>
      <c r="K373" s="11" t="n"/>
      <c r="L373" s="10" t="n"/>
      <c r="M373" s="11" t="n"/>
      <c r="N373" s="10" t="n"/>
      <c r="O373" s="11" t="n"/>
      <c r="P373" s="6" t="n"/>
      <c r="Q373" s="11" t="n"/>
      <c r="S373" s="8">
        <f>IF(B373="","",E373*F373)</f>
        <v/>
      </c>
      <c r="T373" s="8">
        <f>IF(OR(B373="",N(G373)=0),"",ABS(F373-G373)*E373)</f>
        <v/>
      </c>
      <c r="U373" s="8">
        <f>IF(OR(B373="",P373=""),"",IF(D373="Venda",-1,1)*((N(J373)*N(K373)+N(L373)*N(M373)+N(N373)*N(O373))-(N(J373)+N(L373)+N(N373))*F373)-N(Q373))</f>
        <v/>
      </c>
      <c r="V373" s="9">
        <f>IF(OR(B373="",P373=""),"",U373/S373)</f>
        <v/>
      </c>
      <c r="W373">
        <f>IF(OR(B373="",P373=""),"",P373-C373)</f>
        <v/>
      </c>
      <c r="X373">
        <f>IF(B373="","",IF(P373="","Aberto","Fechado"))</f>
        <v/>
      </c>
    </row>
    <row r="374">
      <c r="C374" s="6" t="n"/>
      <c r="E374" s="10" t="n"/>
      <c r="F374" s="11" t="n"/>
      <c r="G374" s="11" t="n"/>
      <c r="H374" s="11" t="n"/>
      <c r="J374" s="10" t="n"/>
      <c r="K374" s="11" t="n"/>
      <c r="L374" s="10" t="n"/>
      <c r="M374" s="11" t="n"/>
      <c r="N374" s="10" t="n"/>
      <c r="O374" s="11" t="n"/>
      <c r="P374" s="6" t="n"/>
      <c r="Q374" s="11" t="n"/>
      <c r="S374" s="8">
        <f>IF(B374="","",E374*F374)</f>
        <v/>
      </c>
      <c r="T374" s="8">
        <f>IF(OR(B374="",N(G374)=0),"",ABS(F374-G374)*E374)</f>
        <v/>
      </c>
      <c r="U374" s="8">
        <f>IF(OR(B374="",P374=""),"",IF(D374="Venda",-1,1)*((N(J374)*N(K374)+N(L374)*N(M374)+N(N374)*N(O374))-(N(J374)+N(L374)+N(N374))*F374)-N(Q374))</f>
        <v/>
      </c>
      <c r="V374" s="9">
        <f>IF(OR(B374="",P374=""),"",U374/S374)</f>
        <v/>
      </c>
      <c r="W374">
        <f>IF(OR(B374="",P374=""),"",P374-C374)</f>
        <v/>
      </c>
      <c r="X374">
        <f>IF(B374="","",IF(P374="","Aberto","Fechado"))</f>
        <v/>
      </c>
    </row>
    <row r="375">
      <c r="C375" s="6" t="n"/>
      <c r="E375" s="10" t="n"/>
      <c r="F375" s="11" t="n"/>
      <c r="G375" s="11" t="n"/>
      <c r="H375" s="11" t="n"/>
      <c r="J375" s="10" t="n"/>
      <c r="K375" s="11" t="n"/>
      <c r="L375" s="10" t="n"/>
      <c r="M375" s="11" t="n"/>
      <c r="N375" s="10" t="n"/>
      <c r="O375" s="11" t="n"/>
      <c r="P375" s="6" t="n"/>
      <c r="Q375" s="11" t="n"/>
      <c r="S375" s="8">
        <f>IF(B375="","",E375*F375)</f>
        <v/>
      </c>
      <c r="T375" s="8">
        <f>IF(OR(B375="",N(G375)=0),"",ABS(F375-G375)*E375)</f>
        <v/>
      </c>
      <c r="U375" s="8">
        <f>IF(OR(B375="",P375=""),"",IF(D375="Venda",-1,1)*((N(J375)*N(K375)+N(L375)*N(M375)+N(N375)*N(O375))-(N(J375)+N(L375)+N(N375))*F375)-N(Q375))</f>
        <v/>
      </c>
      <c r="V375" s="9">
        <f>IF(OR(B375="",P375=""),"",U375/S375)</f>
        <v/>
      </c>
      <c r="W375">
        <f>IF(OR(B375="",P375=""),"",P375-C375)</f>
        <v/>
      </c>
      <c r="X375">
        <f>IF(B375="","",IF(P375="","Aberto","Fechado"))</f>
        <v/>
      </c>
    </row>
    <row r="376">
      <c r="C376" s="6" t="n"/>
      <c r="E376" s="10" t="n"/>
      <c r="F376" s="11" t="n"/>
      <c r="G376" s="11" t="n"/>
      <c r="H376" s="11" t="n"/>
      <c r="J376" s="10" t="n"/>
      <c r="K376" s="11" t="n"/>
      <c r="L376" s="10" t="n"/>
      <c r="M376" s="11" t="n"/>
      <c r="N376" s="10" t="n"/>
      <c r="O376" s="11" t="n"/>
      <c r="P376" s="6" t="n"/>
      <c r="Q376" s="11" t="n"/>
      <c r="S376" s="8">
        <f>IF(B376="","",E376*F376)</f>
        <v/>
      </c>
      <c r="T376" s="8">
        <f>IF(OR(B376="",N(G376)=0),"",ABS(F376-G376)*E376)</f>
        <v/>
      </c>
      <c r="U376" s="8">
        <f>IF(OR(B376="",P376=""),"",IF(D376="Venda",-1,1)*((N(J376)*N(K376)+N(L376)*N(M376)+N(N376)*N(O376))-(N(J376)+N(L376)+N(N376))*F376)-N(Q376))</f>
        <v/>
      </c>
      <c r="V376" s="9">
        <f>IF(OR(B376="",P376=""),"",U376/S376)</f>
        <v/>
      </c>
      <c r="W376">
        <f>IF(OR(B376="",P376=""),"",P376-C376)</f>
        <v/>
      </c>
      <c r="X376">
        <f>IF(B376="","",IF(P376="","Aberto","Fechado"))</f>
        <v/>
      </c>
    </row>
    <row r="377">
      <c r="C377" s="6" t="n"/>
      <c r="E377" s="10" t="n"/>
      <c r="F377" s="11" t="n"/>
      <c r="G377" s="11" t="n"/>
      <c r="H377" s="11" t="n"/>
      <c r="J377" s="10" t="n"/>
      <c r="K377" s="11" t="n"/>
      <c r="L377" s="10" t="n"/>
      <c r="M377" s="11" t="n"/>
      <c r="N377" s="10" t="n"/>
      <c r="O377" s="11" t="n"/>
      <c r="P377" s="6" t="n"/>
      <c r="Q377" s="11" t="n"/>
      <c r="S377" s="8">
        <f>IF(B377="","",E377*F377)</f>
        <v/>
      </c>
      <c r="T377" s="8">
        <f>IF(OR(B377="",N(G377)=0),"",ABS(F377-G377)*E377)</f>
        <v/>
      </c>
      <c r="U377" s="8">
        <f>IF(OR(B377="",P377=""),"",IF(D377="Venda",-1,1)*((N(J377)*N(K377)+N(L377)*N(M377)+N(N377)*N(O377))-(N(J377)+N(L377)+N(N377))*F377)-N(Q377))</f>
        <v/>
      </c>
      <c r="V377" s="9">
        <f>IF(OR(B377="",P377=""),"",U377/S377)</f>
        <v/>
      </c>
      <c r="W377">
        <f>IF(OR(B377="",P377=""),"",P377-C377)</f>
        <v/>
      </c>
      <c r="X377">
        <f>IF(B377="","",IF(P377="","Aberto","Fechado"))</f>
        <v/>
      </c>
    </row>
    <row r="378">
      <c r="C378" s="6" t="n"/>
      <c r="E378" s="10" t="n"/>
      <c r="F378" s="11" t="n"/>
      <c r="G378" s="11" t="n"/>
      <c r="H378" s="11" t="n"/>
      <c r="J378" s="10" t="n"/>
      <c r="K378" s="11" t="n"/>
      <c r="L378" s="10" t="n"/>
      <c r="M378" s="11" t="n"/>
      <c r="N378" s="10" t="n"/>
      <c r="O378" s="11" t="n"/>
      <c r="P378" s="6" t="n"/>
      <c r="Q378" s="11" t="n"/>
      <c r="S378" s="8">
        <f>IF(B378="","",E378*F378)</f>
        <v/>
      </c>
      <c r="T378" s="8">
        <f>IF(OR(B378="",N(G378)=0),"",ABS(F378-G378)*E378)</f>
        <v/>
      </c>
      <c r="U378" s="8">
        <f>IF(OR(B378="",P378=""),"",IF(D378="Venda",-1,1)*((N(J378)*N(K378)+N(L378)*N(M378)+N(N378)*N(O378))-(N(J378)+N(L378)+N(N378))*F378)-N(Q378))</f>
        <v/>
      </c>
      <c r="V378" s="9">
        <f>IF(OR(B378="",P378=""),"",U378/S378)</f>
        <v/>
      </c>
      <c r="W378">
        <f>IF(OR(B378="",P378=""),"",P378-C378)</f>
        <v/>
      </c>
      <c r="X378">
        <f>IF(B378="","",IF(P378="","Aberto","Fechado"))</f>
        <v/>
      </c>
    </row>
    <row r="379">
      <c r="C379" s="6" t="n"/>
      <c r="E379" s="10" t="n"/>
      <c r="F379" s="11" t="n"/>
      <c r="G379" s="11" t="n"/>
      <c r="H379" s="11" t="n"/>
      <c r="J379" s="10" t="n"/>
      <c r="K379" s="11" t="n"/>
      <c r="L379" s="10" t="n"/>
      <c r="M379" s="11" t="n"/>
      <c r="N379" s="10" t="n"/>
      <c r="O379" s="11" t="n"/>
      <c r="P379" s="6" t="n"/>
      <c r="Q379" s="11" t="n"/>
      <c r="S379" s="8">
        <f>IF(B379="","",E379*F379)</f>
        <v/>
      </c>
      <c r="T379" s="8">
        <f>IF(OR(B379="",N(G379)=0),"",ABS(F379-G379)*E379)</f>
        <v/>
      </c>
      <c r="U379" s="8">
        <f>IF(OR(B379="",P379=""),"",IF(D379="Venda",-1,1)*((N(J379)*N(K379)+N(L379)*N(M379)+N(N379)*N(O379))-(N(J379)+N(L379)+N(N379))*F379)-N(Q379))</f>
        <v/>
      </c>
      <c r="V379" s="9">
        <f>IF(OR(B379="",P379=""),"",U379/S379)</f>
        <v/>
      </c>
      <c r="W379">
        <f>IF(OR(B379="",P379=""),"",P379-C379)</f>
        <v/>
      </c>
      <c r="X379">
        <f>IF(B379="","",IF(P379="","Aberto","Fechado"))</f>
        <v/>
      </c>
    </row>
    <row r="380">
      <c r="C380" s="6" t="n"/>
      <c r="E380" s="10" t="n"/>
      <c r="F380" s="11" t="n"/>
      <c r="G380" s="11" t="n"/>
      <c r="H380" s="11" t="n"/>
      <c r="J380" s="10" t="n"/>
      <c r="K380" s="11" t="n"/>
      <c r="L380" s="10" t="n"/>
      <c r="M380" s="11" t="n"/>
      <c r="N380" s="10" t="n"/>
      <c r="O380" s="11" t="n"/>
      <c r="P380" s="6" t="n"/>
      <c r="Q380" s="11" t="n"/>
      <c r="S380" s="8">
        <f>IF(B380="","",E380*F380)</f>
        <v/>
      </c>
      <c r="T380" s="8">
        <f>IF(OR(B380="",N(G380)=0),"",ABS(F380-G380)*E380)</f>
        <v/>
      </c>
      <c r="U380" s="8">
        <f>IF(OR(B380="",P380=""),"",IF(D380="Venda",-1,1)*((N(J380)*N(K380)+N(L380)*N(M380)+N(N380)*N(O380))-(N(J380)+N(L380)+N(N380))*F380)-N(Q380))</f>
        <v/>
      </c>
      <c r="V380" s="9">
        <f>IF(OR(B380="",P380=""),"",U380/S380)</f>
        <v/>
      </c>
      <c r="W380">
        <f>IF(OR(B380="",P380=""),"",P380-C380)</f>
        <v/>
      </c>
      <c r="X380">
        <f>IF(B380="","",IF(P380="","Aberto","Fechado"))</f>
        <v/>
      </c>
    </row>
    <row r="381">
      <c r="C381" s="6" t="n"/>
      <c r="E381" s="10" t="n"/>
      <c r="F381" s="11" t="n"/>
      <c r="G381" s="11" t="n"/>
      <c r="H381" s="11" t="n"/>
      <c r="J381" s="10" t="n"/>
      <c r="K381" s="11" t="n"/>
      <c r="L381" s="10" t="n"/>
      <c r="M381" s="11" t="n"/>
      <c r="N381" s="10" t="n"/>
      <c r="O381" s="11" t="n"/>
      <c r="P381" s="6" t="n"/>
      <c r="Q381" s="11" t="n"/>
      <c r="S381" s="8">
        <f>IF(B381="","",E381*F381)</f>
        <v/>
      </c>
      <c r="T381" s="8">
        <f>IF(OR(B381="",N(G381)=0),"",ABS(F381-G381)*E381)</f>
        <v/>
      </c>
      <c r="U381" s="8">
        <f>IF(OR(B381="",P381=""),"",IF(D381="Venda",-1,1)*((N(J381)*N(K381)+N(L381)*N(M381)+N(N381)*N(O381))-(N(J381)+N(L381)+N(N381))*F381)-N(Q381))</f>
        <v/>
      </c>
      <c r="V381" s="9">
        <f>IF(OR(B381="",P381=""),"",U381/S381)</f>
        <v/>
      </c>
      <c r="W381">
        <f>IF(OR(B381="",P381=""),"",P381-C381)</f>
        <v/>
      </c>
      <c r="X381">
        <f>IF(B381="","",IF(P381="","Aberto","Fechado"))</f>
        <v/>
      </c>
    </row>
    <row r="382">
      <c r="C382" s="6" t="n"/>
      <c r="E382" s="10" t="n"/>
      <c r="F382" s="11" t="n"/>
      <c r="G382" s="11" t="n"/>
      <c r="H382" s="11" t="n"/>
      <c r="J382" s="10" t="n"/>
      <c r="K382" s="11" t="n"/>
      <c r="L382" s="10" t="n"/>
      <c r="M382" s="11" t="n"/>
      <c r="N382" s="10" t="n"/>
      <c r="O382" s="11" t="n"/>
      <c r="P382" s="6" t="n"/>
      <c r="Q382" s="11" t="n"/>
      <c r="S382" s="8">
        <f>IF(B382="","",E382*F382)</f>
        <v/>
      </c>
      <c r="T382" s="8">
        <f>IF(OR(B382="",N(G382)=0),"",ABS(F382-G382)*E382)</f>
        <v/>
      </c>
      <c r="U382" s="8">
        <f>IF(OR(B382="",P382=""),"",IF(D382="Venda",-1,1)*((N(J382)*N(K382)+N(L382)*N(M382)+N(N382)*N(O382))-(N(J382)+N(L382)+N(N382))*F382)-N(Q382))</f>
        <v/>
      </c>
      <c r="V382" s="9">
        <f>IF(OR(B382="",P382=""),"",U382/S382)</f>
        <v/>
      </c>
      <c r="W382">
        <f>IF(OR(B382="",P382=""),"",P382-C382)</f>
        <v/>
      </c>
      <c r="X382">
        <f>IF(B382="","",IF(P382="","Aberto","Fechado"))</f>
        <v/>
      </c>
    </row>
    <row r="383">
      <c r="C383" s="6" t="n"/>
      <c r="E383" s="10" t="n"/>
      <c r="F383" s="11" t="n"/>
      <c r="G383" s="11" t="n"/>
      <c r="H383" s="11" t="n"/>
      <c r="J383" s="10" t="n"/>
      <c r="K383" s="11" t="n"/>
      <c r="L383" s="10" t="n"/>
      <c r="M383" s="11" t="n"/>
      <c r="N383" s="10" t="n"/>
      <c r="O383" s="11" t="n"/>
      <c r="P383" s="6" t="n"/>
      <c r="Q383" s="11" t="n"/>
      <c r="S383" s="8">
        <f>IF(B383="","",E383*F383)</f>
        <v/>
      </c>
      <c r="T383" s="8">
        <f>IF(OR(B383="",N(G383)=0),"",ABS(F383-G383)*E383)</f>
        <v/>
      </c>
      <c r="U383" s="8">
        <f>IF(OR(B383="",P383=""),"",IF(D383="Venda",-1,1)*((N(J383)*N(K383)+N(L383)*N(M383)+N(N383)*N(O383))-(N(J383)+N(L383)+N(N383))*F383)-N(Q383))</f>
        <v/>
      </c>
      <c r="V383" s="9">
        <f>IF(OR(B383="",P383=""),"",U383/S383)</f>
        <v/>
      </c>
      <c r="W383">
        <f>IF(OR(B383="",P383=""),"",P383-C383)</f>
        <v/>
      </c>
      <c r="X383">
        <f>IF(B383="","",IF(P383="","Aberto","Fechado"))</f>
        <v/>
      </c>
    </row>
    <row r="384">
      <c r="C384" s="6" t="n"/>
      <c r="E384" s="10" t="n"/>
      <c r="F384" s="11" t="n"/>
      <c r="G384" s="11" t="n"/>
      <c r="H384" s="11" t="n"/>
      <c r="J384" s="10" t="n"/>
      <c r="K384" s="11" t="n"/>
      <c r="L384" s="10" t="n"/>
      <c r="M384" s="11" t="n"/>
      <c r="N384" s="10" t="n"/>
      <c r="O384" s="11" t="n"/>
      <c r="P384" s="6" t="n"/>
      <c r="Q384" s="11" t="n"/>
      <c r="S384" s="8">
        <f>IF(B384="","",E384*F384)</f>
        <v/>
      </c>
      <c r="T384" s="8">
        <f>IF(OR(B384="",N(G384)=0),"",ABS(F384-G384)*E384)</f>
        <v/>
      </c>
      <c r="U384" s="8">
        <f>IF(OR(B384="",P384=""),"",IF(D384="Venda",-1,1)*((N(J384)*N(K384)+N(L384)*N(M384)+N(N384)*N(O384))-(N(J384)+N(L384)+N(N384))*F384)-N(Q384))</f>
        <v/>
      </c>
      <c r="V384" s="9">
        <f>IF(OR(B384="",P384=""),"",U384/S384)</f>
        <v/>
      </c>
      <c r="W384">
        <f>IF(OR(B384="",P384=""),"",P384-C384)</f>
        <v/>
      </c>
      <c r="X384">
        <f>IF(B384="","",IF(P384="","Aberto","Fechado"))</f>
        <v/>
      </c>
    </row>
    <row r="385">
      <c r="C385" s="6" t="n"/>
      <c r="E385" s="10" t="n"/>
      <c r="F385" s="11" t="n"/>
      <c r="G385" s="11" t="n"/>
      <c r="H385" s="11" t="n"/>
      <c r="J385" s="10" t="n"/>
      <c r="K385" s="11" t="n"/>
      <c r="L385" s="10" t="n"/>
      <c r="M385" s="11" t="n"/>
      <c r="N385" s="10" t="n"/>
      <c r="O385" s="11" t="n"/>
      <c r="P385" s="6" t="n"/>
      <c r="Q385" s="11" t="n"/>
      <c r="S385" s="8">
        <f>IF(B385="","",E385*F385)</f>
        <v/>
      </c>
      <c r="T385" s="8">
        <f>IF(OR(B385="",N(G385)=0),"",ABS(F385-G385)*E385)</f>
        <v/>
      </c>
      <c r="U385" s="8">
        <f>IF(OR(B385="",P385=""),"",IF(D385="Venda",-1,1)*((N(J385)*N(K385)+N(L385)*N(M385)+N(N385)*N(O385))-(N(J385)+N(L385)+N(N385))*F385)-N(Q385))</f>
        <v/>
      </c>
      <c r="V385" s="9">
        <f>IF(OR(B385="",P385=""),"",U385/S385)</f>
        <v/>
      </c>
      <c r="W385">
        <f>IF(OR(B385="",P385=""),"",P385-C385)</f>
        <v/>
      </c>
      <c r="X385">
        <f>IF(B385="","",IF(P385="","Aberto","Fechado"))</f>
        <v/>
      </c>
    </row>
    <row r="386">
      <c r="C386" s="6" t="n"/>
      <c r="E386" s="10" t="n"/>
      <c r="F386" s="11" t="n"/>
      <c r="G386" s="11" t="n"/>
      <c r="H386" s="11" t="n"/>
      <c r="J386" s="10" t="n"/>
      <c r="K386" s="11" t="n"/>
      <c r="L386" s="10" t="n"/>
      <c r="M386" s="11" t="n"/>
      <c r="N386" s="10" t="n"/>
      <c r="O386" s="11" t="n"/>
      <c r="P386" s="6" t="n"/>
      <c r="Q386" s="11" t="n"/>
      <c r="S386" s="8">
        <f>IF(B386="","",E386*F386)</f>
        <v/>
      </c>
      <c r="T386" s="8">
        <f>IF(OR(B386="",N(G386)=0),"",ABS(F386-G386)*E386)</f>
        <v/>
      </c>
      <c r="U386" s="8">
        <f>IF(OR(B386="",P386=""),"",IF(D386="Venda",-1,1)*((N(J386)*N(K386)+N(L386)*N(M386)+N(N386)*N(O386))-(N(J386)+N(L386)+N(N386))*F386)-N(Q386))</f>
        <v/>
      </c>
      <c r="V386" s="9">
        <f>IF(OR(B386="",P386=""),"",U386/S386)</f>
        <v/>
      </c>
      <c r="W386">
        <f>IF(OR(B386="",P386=""),"",P386-C386)</f>
        <v/>
      </c>
      <c r="X386">
        <f>IF(B386="","",IF(P386="","Aberto","Fechado"))</f>
        <v/>
      </c>
    </row>
    <row r="387">
      <c r="C387" s="6" t="n"/>
      <c r="E387" s="10" t="n"/>
      <c r="F387" s="11" t="n"/>
      <c r="G387" s="11" t="n"/>
      <c r="H387" s="11" t="n"/>
      <c r="J387" s="10" t="n"/>
      <c r="K387" s="11" t="n"/>
      <c r="L387" s="10" t="n"/>
      <c r="M387" s="11" t="n"/>
      <c r="N387" s="10" t="n"/>
      <c r="O387" s="11" t="n"/>
      <c r="P387" s="6" t="n"/>
      <c r="Q387" s="11" t="n"/>
      <c r="S387" s="8">
        <f>IF(B387="","",E387*F387)</f>
        <v/>
      </c>
      <c r="T387" s="8">
        <f>IF(OR(B387="",N(G387)=0),"",ABS(F387-G387)*E387)</f>
        <v/>
      </c>
      <c r="U387" s="8">
        <f>IF(OR(B387="",P387=""),"",IF(D387="Venda",-1,1)*((N(J387)*N(K387)+N(L387)*N(M387)+N(N387)*N(O387))-(N(J387)+N(L387)+N(N387))*F387)-N(Q387))</f>
        <v/>
      </c>
      <c r="V387" s="9">
        <f>IF(OR(B387="",P387=""),"",U387/S387)</f>
        <v/>
      </c>
      <c r="W387">
        <f>IF(OR(B387="",P387=""),"",P387-C387)</f>
        <v/>
      </c>
      <c r="X387">
        <f>IF(B387="","",IF(P387="","Aberto","Fechado"))</f>
        <v/>
      </c>
    </row>
    <row r="388">
      <c r="C388" s="6" t="n"/>
      <c r="E388" s="10" t="n"/>
      <c r="F388" s="11" t="n"/>
      <c r="G388" s="11" t="n"/>
      <c r="H388" s="11" t="n"/>
      <c r="J388" s="10" t="n"/>
      <c r="K388" s="11" t="n"/>
      <c r="L388" s="10" t="n"/>
      <c r="M388" s="11" t="n"/>
      <c r="N388" s="10" t="n"/>
      <c r="O388" s="11" t="n"/>
      <c r="P388" s="6" t="n"/>
      <c r="Q388" s="11" t="n"/>
      <c r="S388" s="8">
        <f>IF(B388="","",E388*F388)</f>
        <v/>
      </c>
      <c r="T388" s="8">
        <f>IF(OR(B388="",N(G388)=0),"",ABS(F388-G388)*E388)</f>
        <v/>
      </c>
      <c r="U388" s="8">
        <f>IF(OR(B388="",P388=""),"",IF(D388="Venda",-1,1)*((N(J388)*N(K388)+N(L388)*N(M388)+N(N388)*N(O388))-(N(J388)+N(L388)+N(N388))*F388)-N(Q388))</f>
        <v/>
      </c>
      <c r="V388" s="9">
        <f>IF(OR(B388="",P388=""),"",U388/S388)</f>
        <v/>
      </c>
      <c r="W388">
        <f>IF(OR(B388="",P388=""),"",P388-C388)</f>
        <v/>
      </c>
      <c r="X388">
        <f>IF(B388="","",IF(P388="","Aberto","Fechado"))</f>
        <v/>
      </c>
    </row>
    <row r="389">
      <c r="C389" s="6" t="n"/>
      <c r="E389" s="10" t="n"/>
      <c r="F389" s="11" t="n"/>
      <c r="G389" s="11" t="n"/>
      <c r="H389" s="11" t="n"/>
      <c r="J389" s="10" t="n"/>
      <c r="K389" s="11" t="n"/>
      <c r="L389" s="10" t="n"/>
      <c r="M389" s="11" t="n"/>
      <c r="N389" s="10" t="n"/>
      <c r="O389" s="11" t="n"/>
      <c r="P389" s="6" t="n"/>
      <c r="Q389" s="11" t="n"/>
      <c r="S389" s="8">
        <f>IF(B389="","",E389*F389)</f>
        <v/>
      </c>
      <c r="T389" s="8">
        <f>IF(OR(B389="",N(G389)=0),"",ABS(F389-G389)*E389)</f>
        <v/>
      </c>
      <c r="U389" s="8">
        <f>IF(OR(B389="",P389=""),"",IF(D389="Venda",-1,1)*((N(J389)*N(K389)+N(L389)*N(M389)+N(N389)*N(O389))-(N(J389)+N(L389)+N(N389))*F389)-N(Q389))</f>
        <v/>
      </c>
      <c r="V389" s="9">
        <f>IF(OR(B389="",P389=""),"",U389/S389)</f>
        <v/>
      </c>
      <c r="W389">
        <f>IF(OR(B389="",P389=""),"",P389-C389)</f>
        <v/>
      </c>
      <c r="X389">
        <f>IF(B389="","",IF(P389="","Aberto","Fechado"))</f>
        <v/>
      </c>
    </row>
    <row r="390">
      <c r="C390" s="6" t="n"/>
      <c r="E390" s="10" t="n"/>
      <c r="F390" s="11" t="n"/>
      <c r="G390" s="11" t="n"/>
      <c r="H390" s="11" t="n"/>
      <c r="J390" s="10" t="n"/>
      <c r="K390" s="11" t="n"/>
      <c r="L390" s="10" t="n"/>
      <c r="M390" s="11" t="n"/>
      <c r="N390" s="10" t="n"/>
      <c r="O390" s="11" t="n"/>
      <c r="P390" s="6" t="n"/>
      <c r="Q390" s="11" t="n"/>
      <c r="S390" s="8">
        <f>IF(B390="","",E390*F390)</f>
        <v/>
      </c>
      <c r="T390" s="8">
        <f>IF(OR(B390="",N(G390)=0),"",ABS(F390-G390)*E390)</f>
        <v/>
      </c>
      <c r="U390" s="8">
        <f>IF(OR(B390="",P390=""),"",IF(D390="Venda",-1,1)*((N(J390)*N(K390)+N(L390)*N(M390)+N(N390)*N(O390))-(N(J390)+N(L390)+N(N390))*F390)-N(Q390))</f>
        <v/>
      </c>
      <c r="V390" s="9">
        <f>IF(OR(B390="",P390=""),"",U390/S390)</f>
        <v/>
      </c>
      <c r="W390">
        <f>IF(OR(B390="",P390=""),"",P390-C390)</f>
        <v/>
      </c>
      <c r="X390">
        <f>IF(B390="","",IF(P390="","Aberto","Fechado"))</f>
        <v/>
      </c>
    </row>
    <row r="391">
      <c r="C391" s="6" t="n"/>
      <c r="E391" s="10" t="n"/>
      <c r="F391" s="11" t="n"/>
      <c r="G391" s="11" t="n"/>
      <c r="H391" s="11" t="n"/>
      <c r="J391" s="10" t="n"/>
      <c r="K391" s="11" t="n"/>
      <c r="L391" s="10" t="n"/>
      <c r="M391" s="11" t="n"/>
      <c r="N391" s="10" t="n"/>
      <c r="O391" s="11" t="n"/>
      <c r="P391" s="6" t="n"/>
      <c r="Q391" s="11" t="n"/>
      <c r="S391" s="8">
        <f>IF(B391="","",E391*F391)</f>
        <v/>
      </c>
      <c r="T391" s="8">
        <f>IF(OR(B391="",N(G391)=0),"",ABS(F391-G391)*E391)</f>
        <v/>
      </c>
      <c r="U391" s="8">
        <f>IF(OR(B391="",P391=""),"",IF(D391="Venda",-1,1)*((N(J391)*N(K391)+N(L391)*N(M391)+N(N391)*N(O391))-(N(J391)+N(L391)+N(N391))*F391)-N(Q391))</f>
        <v/>
      </c>
      <c r="V391" s="9">
        <f>IF(OR(B391="",P391=""),"",U391/S391)</f>
        <v/>
      </c>
      <c r="W391">
        <f>IF(OR(B391="",P391=""),"",P391-C391)</f>
        <v/>
      </c>
      <c r="X391">
        <f>IF(B391="","",IF(P391="","Aberto","Fechado"))</f>
        <v/>
      </c>
    </row>
    <row r="392">
      <c r="C392" s="6" t="n"/>
      <c r="E392" s="10" t="n"/>
      <c r="F392" s="11" t="n"/>
      <c r="G392" s="11" t="n"/>
      <c r="H392" s="11" t="n"/>
      <c r="J392" s="10" t="n"/>
      <c r="K392" s="11" t="n"/>
      <c r="L392" s="10" t="n"/>
      <c r="M392" s="11" t="n"/>
      <c r="N392" s="10" t="n"/>
      <c r="O392" s="11" t="n"/>
      <c r="P392" s="6" t="n"/>
      <c r="Q392" s="11" t="n"/>
      <c r="S392" s="8">
        <f>IF(B392="","",E392*F392)</f>
        <v/>
      </c>
      <c r="T392" s="8">
        <f>IF(OR(B392="",N(G392)=0),"",ABS(F392-G392)*E392)</f>
        <v/>
      </c>
      <c r="U392" s="8">
        <f>IF(OR(B392="",P392=""),"",IF(D392="Venda",-1,1)*((N(J392)*N(K392)+N(L392)*N(M392)+N(N392)*N(O392))-(N(J392)+N(L392)+N(N392))*F392)-N(Q392))</f>
        <v/>
      </c>
      <c r="V392" s="9">
        <f>IF(OR(B392="",P392=""),"",U392/S392)</f>
        <v/>
      </c>
      <c r="W392">
        <f>IF(OR(B392="",P392=""),"",P392-C392)</f>
        <v/>
      </c>
      <c r="X392">
        <f>IF(B392="","",IF(P392="","Aberto","Fechado"))</f>
        <v/>
      </c>
    </row>
    <row r="393">
      <c r="C393" s="6" t="n"/>
      <c r="E393" s="10" t="n"/>
      <c r="F393" s="11" t="n"/>
      <c r="G393" s="11" t="n"/>
      <c r="H393" s="11" t="n"/>
      <c r="J393" s="10" t="n"/>
      <c r="K393" s="11" t="n"/>
      <c r="L393" s="10" t="n"/>
      <c r="M393" s="11" t="n"/>
      <c r="N393" s="10" t="n"/>
      <c r="O393" s="11" t="n"/>
      <c r="P393" s="6" t="n"/>
      <c r="Q393" s="11" t="n"/>
      <c r="S393" s="8">
        <f>IF(B393="","",E393*F393)</f>
        <v/>
      </c>
      <c r="T393" s="8">
        <f>IF(OR(B393="",N(G393)=0),"",ABS(F393-G393)*E393)</f>
        <v/>
      </c>
      <c r="U393" s="8">
        <f>IF(OR(B393="",P393=""),"",IF(D393="Venda",-1,1)*((N(J393)*N(K393)+N(L393)*N(M393)+N(N393)*N(O393))-(N(J393)+N(L393)+N(N393))*F393)-N(Q393))</f>
        <v/>
      </c>
      <c r="V393" s="9">
        <f>IF(OR(B393="",P393=""),"",U393/S393)</f>
        <v/>
      </c>
      <c r="W393">
        <f>IF(OR(B393="",P393=""),"",P393-C393)</f>
        <v/>
      </c>
      <c r="X393">
        <f>IF(B393="","",IF(P393="","Aberto","Fechado"))</f>
        <v/>
      </c>
    </row>
    <row r="394">
      <c r="C394" s="6" t="n"/>
      <c r="E394" s="10" t="n"/>
      <c r="F394" s="11" t="n"/>
      <c r="G394" s="11" t="n"/>
      <c r="H394" s="11" t="n"/>
      <c r="J394" s="10" t="n"/>
      <c r="K394" s="11" t="n"/>
      <c r="L394" s="10" t="n"/>
      <c r="M394" s="11" t="n"/>
      <c r="N394" s="10" t="n"/>
      <c r="O394" s="11" t="n"/>
      <c r="P394" s="6" t="n"/>
      <c r="Q394" s="11" t="n"/>
      <c r="S394" s="8">
        <f>IF(B394="","",E394*F394)</f>
        <v/>
      </c>
      <c r="T394" s="8">
        <f>IF(OR(B394="",N(G394)=0),"",ABS(F394-G394)*E394)</f>
        <v/>
      </c>
      <c r="U394" s="8">
        <f>IF(OR(B394="",P394=""),"",IF(D394="Venda",-1,1)*((N(J394)*N(K394)+N(L394)*N(M394)+N(N394)*N(O394))-(N(J394)+N(L394)+N(N394))*F394)-N(Q394))</f>
        <v/>
      </c>
      <c r="V394" s="9">
        <f>IF(OR(B394="",P394=""),"",U394/S394)</f>
        <v/>
      </c>
      <c r="W394">
        <f>IF(OR(B394="",P394=""),"",P394-C394)</f>
        <v/>
      </c>
      <c r="X394">
        <f>IF(B394="","",IF(P394="","Aberto","Fechado"))</f>
        <v/>
      </c>
    </row>
    <row r="395">
      <c r="C395" s="6" t="n"/>
      <c r="E395" s="10" t="n"/>
      <c r="F395" s="11" t="n"/>
      <c r="G395" s="11" t="n"/>
      <c r="H395" s="11" t="n"/>
      <c r="J395" s="10" t="n"/>
      <c r="K395" s="11" t="n"/>
      <c r="L395" s="10" t="n"/>
      <c r="M395" s="11" t="n"/>
      <c r="N395" s="10" t="n"/>
      <c r="O395" s="11" t="n"/>
      <c r="P395" s="6" t="n"/>
      <c r="Q395" s="11" t="n"/>
      <c r="S395" s="8">
        <f>IF(B395="","",E395*F395)</f>
        <v/>
      </c>
      <c r="T395" s="8">
        <f>IF(OR(B395="",N(G395)=0),"",ABS(F395-G395)*E395)</f>
        <v/>
      </c>
      <c r="U395" s="8">
        <f>IF(OR(B395="",P395=""),"",IF(D395="Venda",-1,1)*((N(J395)*N(K395)+N(L395)*N(M395)+N(N395)*N(O395))-(N(J395)+N(L395)+N(N395))*F395)-N(Q395))</f>
        <v/>
      </c>
      <c r="V395" s="9">
        <f>IF(OR(B395="",P395=""),"",U395/S395)</f>
        <v/>
      </c>
      <c r="W395">
        <f>IF(OR(B395="",P395=""),"",P395-C395)</f>
        <v/>
      </c>
      <c r="X395">
        <f>IF(B395="","",IF(P395="","Aberto","Fechado"))</f>
        <v/>
      </c>
    </row>
    <row r="396">
      <c r="C396" s="6" t="n"/>
      <c r="E396" s="10" t="n"/>
      <c r="F396" s="11" t="n"/>
      <c r="G396" s="11" t="n"/>
      <c r="H396" s="11" t="n"/>
      <c r="J396" s="10" t="n"/>
      <c r="K396" s="11" t="n"/>
      <c r="L396" s="10" t="n"/>
      <c r="M396" s="11" t="n"/>
      <c r="N396" s="10" t="n"/>
      <c r="O396" s="11" t="n"/>
      <c r="P396" s="6" t="n"/>
      <c r="Q396" s="11" t="n"/>
      <c r="S396" s="8">
        <f>IF(B396="","",E396*F396)</f>
        <v/>
      </c>
      <c r="T396" s="8">
        <f>IF(OR(B396="",N(G396)=0),"",ABS(F396-G396)*E396)</f>
        <v/>
      </c>
      <c r="U396" s="8">
        <f>IF(OR(B396="",P396=""),"",IF(D396="Venda",-1,1)*((N(J396)*N(K396)+N(L396)*N(M396)+N(N396)*N(O396))-(N(J396)+N(L396)+N(N396))*F396)-N(Q396))</f>
        <v/>
      </c>
      <c r="V396" s="9">
        <f>IF(OR(B396="",P396=""),"",U396/S396)</f>
        <v/>
      </c>
      <c r="W396">
        <f>IF(OR(B396="",P396=""),"",P396-C396)</f>
        <v/>
      </c>
      <c r="X396">
        <f>IF(B396="","",IF(P396="","Aberto","Fechado"))</f>
        <v/>
      </c>
    </row>
    <row r="397">
      <c r="C397" s="6" t="n"/>
      <c r="E397" s="10" t="n"/>
      <c r="F397" s="11" t="n"/>
      <c r="G397" s="11" t="n"/>
      <c r="H397" s="11" t="n"/>
      <c r="J397" s="10" t="n"/>
      <c r="K397" s="11" t="n"/>
      <c r="L397" s="10" t="n"/>
      <c r="M397" s="11" t="n"/>
      <c r="N397" s="10" t="n"/>
      <c r="O397" s="11" t="n"/>
      <c r="P397" s="6" t="n"/>
      <c r="Q397" s="11" t="n"/>
      <c r="S397" s="8">
        <f>IF(B397="","",E397*F397)</f>
        <v/>
      </c>
      <c r="T397" s="8">
        <f>IF(OR(B397="",N(G397)=0),"",ABS(F397-G397)*E397)</f>
        <v/>
      </c>
      <c r="U397" s="8">
        <f>IF(OR(B397="",P397=""),"",IF(D397="Venda",-1,1)*((N(J397)*N(K397)+N(L397)*N(M397)+N(N397)*N(O397))-(N(J397)+N(L397)+N(N397))*F397)-N(Q397))</f>
        <v/>
      </c>
      <c r="V397" s="9">
        <f>IF(OR(B397="",P397=""),"",U397/S397)</f>
        <v/>
      </c>
      <c r="W397">
        <f>IF(OR(B397="",P397=""),"",P397-C397)</f>
        <v/>
      </c>
      <c r="X397">
        <f>IF(B397="","",IF(P397="","Aberto","Fechado"))</f>
        <v/>
      </c>
    </row>
    <row r="398">
      <c r="C398" s="6" t="n"/>
      <c r="E398" s="10" t="n"/>
      <c r="F398" s="11" t="n"/>
      <c r="G398" s="11" t="n"/>
      <c r="H398" s="11" t="n"/>
      <c r="J398" s="10" t="n"/>
      <c r="K398" s="11" t="n"/>
      <c r="L398" s="10" t="n"/>
      <c r="M398" s="11" t="n"/>
      <c r="N398" s="10" t="n"/>
      <c r="O398" s="11" t="n"/>
      <c r="P398" s="6" t="n"/>
      <c r="Q398" s="11" t="n"/>
      <c r="S398" s="8">
        <f>IF(B398="","",E398*F398)</f>
        <v/>
      </c>
      <c r="T398" s="8">
        <f>IF(OR(B398="",N(G398)=0),"",ABS(F398-G398)*E398)</f>
        <v/>
      </c>
      <c r="U398" s="8">
        <f>IF(OR(B398="",P398=""),"",IF(D398="Venda",-1,1)*((N(J398)*N(K398)+N(L398)*N(M398)+N(N398)*N(O398))-(N(J398)+N(L398)+N(N398))*F398)-N(Q398))</f>
        <v/>
      </c>
      <c r="V398" s="9">
        <f>IF(OR(B398="",P398=""),"",U398/S398)</f>
        <v/>
      </c>
      <c r="W398">
        <f>IF(OR(B398="",P398=""),"",P398-C398)</f>
        <v/>
      </c>
      <c r="X398">
        <f>IF(B398="","",IF(P398="","Aberto","Fechado"))</f>
        <v/>
      </c>
    </row>
    <row r="399">
      <c r="C399" s="6" t="n"/>
      <c r="E399" s="10" t="n"/>
      <c r="F399" s="11" t="n"/>
      <c r="G399" s="11" t="n"/>
      <c r="H399" s="11" t="n"/>
      <c r="J399" s="10" t="n"/>
      <c r="K399" s="11" t="n"/>
      <c r="L399" s="10" t="n"/>
      <c r="M399" s="11" t="n"/>
      <c r="N399" s="10" t="n"/>
      <c r="O399" s="11" t="n"/>
      <c r="P399" s="6" t="n"/>
      <c r="Q399" s="11" t="n"/>
      <c r="S399" s="8">
        <f>IF(B399="","",E399*F399)</f>
        <v/>
      </c>
      <c r="T399" s="8">
        <f>IF(OR(B399="",N(G399)=0),"",ABS(F399-G399)*E399)</f>
        <v/>
      </c>
      <c r="U399" s="8">
        <f>IF(OR(B399="",P399=""),"",IF(D399="Venda",-1,1)*((N(J399)*N(K399)+N(L399)*N(M399)+N(N399)*N(O399))-(N(J399)+N(L399)+N(N399))*F399)-N(Q399))</f>
        <v/>
      </c>
      <c r="V399" s="9">
        <f>IF(OR(B399="",P399=""),"",U399/S399)</f>
        <v/>
      </c>
      <c r="W399">
        <f>IF(OR(B399="",P399=""),"",P399-C399)</f>
        <v/>
      </c>
      <c r="X399">
        <f>IF(B399="","",IF(P399="","Aberto","Fechado"))</f>
        <v/>
      </c>
    </row>
    <row r="400">
      <c r="C400" s="6" t="n"/>
      <c r="E400" s="10" t="n"/>
      <c r="F400" s="11" t="n"/>
      <c r="G400" s="11" t="n"/>
      <c r="H400" s="11" t="n"/>
      <c r="J400" s="10" t="n"/>
      <c r="K400" s="11" t="n"/>
      <c r="L400" s="10" t="n"/>
      <c r="M400" s="11" t="n"/>
      <c r="N400" s="10" t="n"/>
      <c r="O400" s="11" t="n"/>
      <c r="P400" s="6" t="n"/>
      <c r="Q400" s="11" t="n"/>
      <c r="S400" s="8">
        <f>IF(B400="","",E400*F400)</f>
        <v/>
      </c>
      <c r="T400" s="8">
        <f>IF(OR(B400="",N(G400)=0),"",ABS(F400-G400)*E400)</f>
        <v/>
      </c>
      <c r="U400" s="8">
        <f>IF(OR(B400="",P400=""),"",IF(D400="Venda",-1,1)*((N(J400)*N(K400)+N(L400)*N(M400)+N(N400)*N(O400))-(N(J400)+N(L400)+N(N400))*F400)-N(Q400))</f>
        <v/>
      </c>
      <c r="V400" s="9">
        <f>IF(OR(B400="",P400=""),"",U400/S400)</f>
        <v/>
      </c>
      <c r="W400">
        <f>IF(OR(B400="",P400=""),"",P400-C400)</f>
        <v/>
      </c>
      <c r="X400">
        <f>IF(B400="","",IF(P400="","Aberto","Fechado"))</f>
        <v/>
      </c>
    </row>
    <row r="401">
      <c r="C401" s="6" t="n"/>
      <c r="E401" s="10" t="n"/>
      <c r="F401" s="11" t="n"/>
      <c r="G401" s="11" t="n"/>
      <c r="H401" s="11" t="n"/>
      <c r="J401" s="10" t="n"/>
      <c r="K401" s="11" t="n"/>
      <c r="L401" s="10" t="n"/>
      <c r="M401" s="11" t="n"/>
      <c r="N401" s="10" t="n"/>
      <c r="O401" s="11" t="n"/>
      <c r="P401" s="6" t="n"/>
      <c r="Q401" s="11" t="n"/>
      <c r="S401" s="8">
        <f>IF(B401="","",E401*F401)</f>
        <v/>
      </c>
      <c r="T401" s="8">
        <f>IF(OR(B401="",N(G401)=0),"",ABS(F401-G401)*E401)</f>
        <v/>
      </c>
      <c r="U401" s="8">
        <f>IF(OR(B401="",P401=""),"",IF(D401="Venda",-1,1)*((N(J401)*N(K401)+N(L401)*N(M401)+N(N401)*N(O401))-(N(J401)+N(L401)+N(N401))*F401)-N(Q401))</f>
        <v/>
      </c>
      <c r="V401" s="9">
        <f>IF(OR(B401="",P401=""),"",U401/S401)</f>
        <v/>
      </c>
      <c r="W401">
        <f>IF(OR(B401="",P401=""),"",P401-C401)</f>
        <v/>
      </c>
      <c r="X401">
        <f>IF(B401="","",IF(P401="","Aberto","Fechado"))</f>
        <v/>
      </c>
    </row>
    <row r="402">
      <c r="C402" s="6" t="n"/>
      <c r="E402" s="10" t="n"/>
      <c r="F402" s="11" t="n"/>
      <c r="G402" s="11" t="n"/>
      <c r="H402" s="11" t="n"/>
      <c r="J402" s="10" t="n"/>
      <c r="K402" s="11" t="n"/>
      <c r="L402" s="10" t="n"/>
      <c r="M402" s="11" t="n"/>
      <c r="N402" s="10" t="n"/>
      <c r="O402" s="11" t="n"/>
      <c r="P402" s="6" t="n"/>
      <c r="Q402" s="11" t="n"/>
      <c r="S402" s="8">
        <f>IF(B402="","",E402*F402)</f>
        <v/>
      </c>
      <c r="T402" s="8">
        <f>IF(OR(B402="",N(G402)=0),"",ABS(F402-G402)*E402)</f>
        <v/>
      </c>
      <c r="U402" s="8">
        <f>IF(OR(B402="",P402=""),"",IF(D402="Venda",-1,1)*((N(J402)*N(K402)+N(L402)*N(M402)+N(N402)*N(O402))-(N(J402)+N(L402)+N(N402))*F402)-N(Q402))</f>
        <v/>
      </c>
      <c r="V402" s="9">
        <f>IF(OR(B402="",P402=""),"",U402/S402)</f>
        <v/>
      </c>
      <c r="W402">
        <f>IF(OR(B402="",P402=""),"",P402-C402)</f>
        <v/>
      </c>
      <c r="X402">
        <f>IF(B402="","",IF(P402="","Aberto","Fechado"))</f>
        <v/>
      </c>
    </row>
    <row r="403">
      <c r="C403" s="6" t="n"/>
      <c r="E403" s="10" t="n"/>
      <c r="F403" s="11" t="n"/>
      <c r="G403" s="11" t="n"/>
      <c r="H403" s="11" t="n"/>
      <c r="J403" s="10" t="n"/>
      <c r="K403" s="11" t="n"/>
      <c r="L403" s="10" t="n"/>
      <c r="M403" s="11" t="n"/>
      <c r="N403" s="10" t="n"/>
      <c r="O403" s="11" t="n"/>
      <c r="P403" s="6" t="n"/>
      <c r="Q403" s="11" t="n"/>
      <c r="S403" s="8">
        <f>IF(B403="","",E403*F403)</f>
        <v/>
      </c>
      <c r="T403" s="8">
        <f>IF(OR(B403="",N(G403)=0),"",ABS(F403-G403)*E403)</f>
        <v/>
      </c>
      <c r="U403" s="8">
        <f>IF(OR(B403="",P403=""),"",IF(D403="Venda",-1,1)*((N(J403)*N(K403)+N(L403)*N(M403)+N(N403)*N(O403))-(N(J403)+N(L403)+N(N403))*F403)-N(Q403))</f>
        <v/>
      </c>
      <c r="V403" s="9">
        <f>IF(OR(B403="",P403=""),"",U403/S403)</f>
        <v/>
      </c>
      <c r="W403">
        <f>IF(OR(B403="",P403=""),"",P403-C403)</f>
        <v/>
      </c>
      <c r="X403">
        <f>IF(B403="","",IF(P403="","Aberto","Fechado"))</f>
        <v/>
      </c>
    </row>
    <row r="404">
      <c r="C404" s="6" t="n"/>
      <c r="E404" s="10" t="n"/>
      <c r="F404" s="11" t="n"/>
      <c r="G404" s="11" t="n"/>
      <c r="H404" s="11" t="n"/>
      <c r="J404" s="10" t="n"/>
      <c r="K404" s="11" t="n"/>
      <c r="L404" s="10" t="n"/>
      <c r="M404" s="11" t="n"/>
      <c r="N404" s="10" t="n"/>
      <c r="O404" s="11" t="n"/>
      <c r="P404" s="6" t="n"/>
      <c r="Q404" s="11" t="n"/>
      <c r="S404" s="8">
        <f>IF(B404="","",E404*F404)</f>
        <v/>
      </c>
      <c r="T404" s="8">
        <f>IF(OR(B404="",N(G404)=0),"",ABS(F404-G404)*E404)</f>
        <v/>
      </c>
      <c r="U404" s="8">
        <f>IF(OR(B404="",P404=""),"",IF(D404="Venda",-1,1)*((N(J404)*N(K404)+N(L404)*N(M404)+N(N404)*N(O404))-(N(J404)+N(L404)+N(N404))*F404)-N(Q404))</f>
        <v/>
      </c>
      <c r="V404" s="9">
        <f>IF(OR(B404="",P404=""),"",U404/S404)</f>
        <v/>
      </c>
      <c r="W404">
        <f>IF(OR(B404="",P404=""),"",P404-C404)</f>
        <v/>
      </c>
      <c r="X404">
        <f>IF(B404="","",IF(P404="","Aberto","Fechado"))</f>
        <v/>
      </c>
    </row>
    <row r="405">
      <c r="C405" s="6" t="n"/>
      <c r="E405" s="10" t="n"/>
      <c r="F405" s="11" t="n"/>
      <c r="G405" s="11" t="n"/>
      <c r="H405" s="11" t="n"/>
      <c r="J405" s="10" t="n"/>
      <c r="K405" s="11" t="n"/>
      <c r="L405" s="10" t="n"/>
      <c r="M405" s="11" t="n"/>
      <c r="N405" s="10" t="n"/>
      <c r="O405" s="11" t="n"/>
      <c r="P405" s="6" t="n"/>
      <c r="Q405" s="11" t="n"/>
      <c r="S405" s="8">
        <f>IF(B405="","",E405*F405)</f>
        <v/>
      </c>
      <c r="T405" s="8">
        <f>IF(OR(B405="",N(G405)=0),"",ABS(F405-G405)*E405)</f>
        <v/>
      </c>
      <c r="U405" s="8">
        <f>IF(OR(B405="",P405=""),"",IF(D405="Venda",-1,1)*((N(J405)*N(K405)+N(L405)*N(M405)+N(N405)*N(O405))-(N(J405)+N(L405)+N(N405))*F405)-N(Q405))</f>
        <v/>
      </c>
      <c r="V405" s="9">
        <f>IF(OR(B405="",P405=""),"",U405/S405)</f>
        <v/>
      </c>
      <c r="W405">
        <f>IF(OR(B405="",P405=""),"",P405-C405)</f>
        <v/>
      </c>
      <c r="X405">
        <f>IF(B405="","",IF(P405="","Aberto","Fechado"))</f>
        <v/>
      </c>
    </row>
    <row r="406">
      <c r="C406" s="6" t="n"/>
      <c r="E406" s="10" t="n"/>
      <c r="F406" s="11" t="n"/>
      <c r="G406" s="11" t="n"/>
      <c r="H406" s="11" t="n"/>
      <c r="J406" s="10" t="n"/>
      <c r="K406" s="11" t="n"/>
      <c r="L406" s="10" t="n"/>
      <c r="M406" s="11" t="n"/>
      <c r="N406" s="10" t="n"/>
      <c r="O406" s="11" t="n"/>
      <c r="P406" s="6" t="n"/>
      <c r="Q406" s="11" t="n"/>
      <c r="S406" s="8">
        <f>IF(B406="","",E406*F406)</f>
        <v/>
      </c>
      <c r="T406" s="8">
        <f>IF(OR(B406="",N(G406)=0),"",ABS(F406-G406)*E406)</f>
        <v/>
      </c>
      <c r="U406" s="8">
        <f>IF(OR(B406="",P406=""),"",IF(D406="Venda",-1,1)*((N(J406)*N(K406)+N(L406)*N(M406)+N(N406)*N(O406))-(N(J406)+N(L406)+N(N406))*F406)-N(Q406))</f>
        <v/>
      </c>
      <c r="V406" s="9">
        <f>IF(OR(B406="",P406=""),"",U406/S406)</f>
        <v/>
      </c>
      <c r="W406">
        <f>IF(OR(B406="",P406=""),"",P406-C406)</f>
        <v/>
      </c>
      <c r="X406">
        <f>IF(B406="","",IF(P406="","Aberto","Fechado"))</f>
        <v/>
      </c>
    </row>
    <row r="407">
      <c r="C407" s="6" t="n"/>
      <c r="E407" s="10" t="n"/>
      <c r="F407" s="11" t="n"/>
      <c r="G407" s="11" t="n"/>
      <c r="H407" s="11" t="n"/>
      <c r="J407" s="10" t="n"/>
      <c r="K407" s="11" t="n"/>
      <c r="L407" s="10" t="n"/>
      <c r="M407" s="11" t="n"/>
      <c r="N407" s="10" t="n"/>
      <c r="O407" s="11" t="n"/>
      <c r="P407" s="6" t="n"/>
      <c r="Q407" s="11" t="n"/>
      <c r="S407" s="8">
        <f>IF(B407="","",E407*F407)</f>
        <v/>
      </c>
      <c r="T407" s="8">
        <f>IF(OR(B407="",N(G407)=0),"",ABS(F407-G407)*E407)</f>
        <v/>
      </c>
      <c r="U407" s="8">
        <f>IF(OR(B407="",P407=""),"",IF(D407="Venda",-1,1)*((N(J407)*N(K407)+N(L407)*N(M407)+N(N407)*N(O407))-(N(J407)+N(L407)+N(N407))*F407)-N(Q407))</f>
        <v/>
      </c>
      <c r="V407" s="9">
        <f>IF(OR(B407="",P407=""),"",U407/S407)</f>
        <v/>
      </c>
      <c r="W407">
        <f>IF(OR(B407="",P407=""),"",P407-C407)</f>
        <v/>
      </c>
      <c r="X407">
        <f>IF(B407="","",IF(P407="","Aberto","Fechado"))</f>
        <v/>
      </c>
    </row>
    <row r="408">
      <c r="C408" s="6" t="n"/>
      <c r="E408" s="10" t="n"/>
      <c r="F408" s="11" t="n"/>
      <c r="G408" s="11" t="n"/>
      <c r="H408" s="11" t="n"/>
      <c r="J408" s="10" t="n"/>
      <c r="K408" s="11" t="n"/>
      <c r="L408" s="10" t="n"/>
      <c r="M408" s="11" t="n"/>
      <c r="N408" s="10" t="n"/>
      <c r="O408" s="11" t="n"/>
      <c r="P408" s="6" t="n"/>
      <c r="Q408" s="11" t="n"/>
      <c r="S408" s="8">
        <f>IF(B408="","",E408*F408)</f>
        <v/>
      </c>
      <c r="T408" s="8">
        <f>IF(OR(B408="",N(G408)=0),"",ABS(F408-G408)*E408)</f>
        <v/>
      </c>
      <c r="U408" s="8">
        <f>IF(OR(B408="",P408=""),"",IF(D408="Venda",-1,1)*((N(J408)*N(K408)+N(L408)*N(M408)+N(N408)*N(O408))-(N(J408)+N(L408)+N(N408))*F408)-N(Q408))</f>
        <v/>
      </c>
      <c r="V408" s="9">
        <f>IF(OR(B408="",P408=""),"",U408/S408)</f>
        <v/>
      </c>
      <c r="W408">
        <f>IF(OR(B408="",P408=""),"",P408-C408)</f>
        <v/>
      </c>
      <c r="X408">
        <f>IF(B408="","",IF(P408="","Aberto","Fechado"))</f>
        <v/>
      </c>
    </row>
    <row r="409">
      <c r="C409" s="6" t="n"/>
      <c r="E409" s="10" t="n"/>
      <c r="F409" s="11" t="n"/>
      <c r="G409" s="11" t="n"/>
      <c r="H409" s="11" t="n"/>
      <c r="J409" s="10" t="n"/>
      <c r="K409" s="11" t="n"/>
      <c r="L409" s="10" t="n"/>
      <c r="M409" s="11" t="n"/>
      <c r="N409" s="10" t="n"/>
      <c r="O409" s="11" t="n"/>
      <c r="P409" s="6" t="n"/>
      <c r="Q409" s="11" t="n"/>
      <c r="S409" s="8">
        <f>IF(B409="","",E409*F409)</f>
        <v/>
      </c>
      <c r="T409" s="8">
        <f>IF(OR(B409="",N(G409)=0),"",ABS(F409-G409)*E409)</f>
        <v/>
      </c>
      <c r="U409" s="8">
        <f>IF(OR(B409="",P409=""),"",IF(D409="Venda",-1,1)*((N(J409)*N(K409)+N(L409)*N(M409)+N(N409)*N(O409))-(N(J409)+N(L409)+N(N409))*F409)-N(Q409))</f>
        <v/>
      </c>
      <c r="V409" s="9">
        <f>IF(OR(B409="",P409=""),"",U409/S409)</f>
        <v/>
      </c>
      <c r="W409">
        <f>IF(OR(B409="",P409=""),"",P409-C409)</f>
        <v/>
      </c>
      <c r="X409">
        <f>IF(B409="","",IF(P409="","Aberto","Fechado"))</f>
        <v/>
      </c>
    </row>
    <row r="410">
      <c r="C410" s="6" t="n"/>
      <c r="E410" s="10" t="n"/>
      <c r="F410" s="11" t="n"/>
      <c r="G410" s="11" t="n"/>
      <c r="H410" s="11" t="n"/>
      <c r="J410" s="10" t="n"/>
      <c r="K410" s="11" t="n"/>
      <c r="L410" s="10" t="n"/>
      <c r="M410" s="11" t="n"/>
      <c r="N410" s="10" t="n"/>
      <c r="O410" s="11" t="n"/>
      <c r="P410" s="6" t="n"/>
      <c r="Q410" s="11" t="n"/>
      <c r="S410" s="8">
        <f>IF(B410="","",E410*F410)</f>
        <v/>
      </c>
      <c r="T410" s="8">
        <f>IF(OR(B410="",N(G410)=0),"",ABS(F410-G410)*E410)</f>
        <v/>
      </c>
      <c r="U410" s="8">
        <f>IF(OR(B410="",P410=""),"",IF(D410="Venda",-1,1)*((N(J410)*N(K410)+N(L410)*N(M410)+N(N410)*N(O410))-(N(J410)+N(L410)+N(N410))*F410)-N(Q410))</f>
        <v/>
      </c>
      <c r="V410" s="9">
        <f>IF(OR(B410="",P410=""),"",U410/S410)</f>
        <v/>
      </c>
      <c r="W410">
        <f>IF(OR(B410="",P410=""),"",P410-C410)</f>
        <v/>
      </c>
      <c r="X410">
        <f>IF(B410="","",IF(P410="","Aberto","Fechado"))</f>
        <v/>
      </c>
    </row>
    <row r="411">
      <c r="C411" s="6" t="n"/>
      <c r="E411" s="10" t="n"/>
      <c r="F411" s="11" t="n"/>
      <c r="G411" s="11" t="n"/>
      <c r="H411" s="11" t="n"/>
      <c r="J411" s="10" t="n"/>
      <c r="K411" s="11" t="n"/>
      <c r="L411" s="10" t="n"/>
      <c r="M411" s="11" t="n"/>
      <c r="N411" s="10" t="n"/>
      <c r="O411" s="11" t="n"/>
      <c r="P411" s="6" t="n"/>
      <c r="Q411" s="11" t="n"/>
      <c r="S411" s="8">
        <f>IF(B411="","",E411*F411)</f>
        <v/>
      </c>
      <c r="T411" s="8">
        <f>IF(OR(B411="",N(G411)=0),"",ABS(F411-G411)*E411)</f>
        <v/>
      </c>
      <c r="U411" s="8">
        <f>IF(OR(B411="",P411=""),"",IF(D411="Venda",-1,1)*((N(J411)*N(K411)+N(L411)*N(M411)+N(N411)*N(O411))-(N(J411)+N(L411)+N(N411))*F411)-N(Q411))</f>
        <v/>
      </c>
      <c r="V411" s="9">
        <f>IF(OR(B411="",P411=""),"",U411/S411)</f>
        <v/>
      </c>
      <c r="W411">
        <f>IF(OR(B411="",P411=""),"",P411-C411)</f>
        <v/>
      </c>
      <c r="X411">
        <f>IF(B411="","",IF(P411="","Aberto","Fechado"))</f>
        <v/>
      </c>
    </row>
    <row r="412">
      <c r="C412" s="6" t="n"/>
      <c r="E412" s="10" t="n"/>
      <c r="F412" s="11" t="n"/>
      <c r="G412" s="11" t="n"/>
      <c r="H412" s="11" t="n"/>
      <c r="J412" s="10" t="n"/>
      <c r="K412" s="11" t="n"/>
      <c r="L412" s="10" t="n"/>
      <c r="M412" s="11" t="n"/>
      <c r="N412" s="10" t="n"/>
      <c r="O412" s="11" t="n"/>
      <c r="P412" s="6" t="n"/>
      <c r="Q412" s="11" t="n"/>
      <c r="S412" s="8">
        <f>IF(B412="","",E412*F412)</f>
        <v/>
      </c>
      <c r="T412" s="8">
        <f>IF(OR(B412="",N(G412)=0),"",ABS(F412-G412)*E412)</f>
        <v/>
      </c>
      <c r="U412" s="8">
        <f>IF(OR(B412="",P412=""),"",IF(D412="Venda",-1,1)*((N(J412)*N(K412)+N(L412)*N(M412)+N(N412)*N(O412))-(N(J412)+N(L412)+N(N412))*F412)-N(Q412))</f>
        <v/>
      </c>
      <c r="V412" s="9">
        <f>IF(OR(B412="",P412=""),"",U412/S412)</f>
        <v/>
      </c>
      <c r="W412">
        <f>IF(OR(B412="",P412=""),"",P412-C412)</f>
        <v/>
      </c>
      <c r="X412">
        <f>IF(B412="","",IF(P412="","Aberto","Fechado"))</f>
        <v/>
      </c>
    </row>
    <row r="413">
      <c r="C413" s="6" t="n"/>
      <c r="E413" s="10" t="n"/>
      <c r="F413" s="11" t="n"/>
      <c r="G413" s="11" t="n"/>
      <c r="H413" s="11" t="n"/>
      <c r="J413" s="10" t="n"/>
      <c r="K413" s="11" t="n"/>
      <c r="L413" s="10" t="n"/>
      <c r="M413" s="11" t="n"/>
      <c r="N413" s="10" t="n"/>
      <c r="O413" s="11" t="n"/>
      <c r="P413" s="6" t="n"/>
      <c r="Q413" s="11" t="n"/>
      <c r="S413" s="8">
        <f>IF(B413="","",E413*F413)</f>
        <v/>
      </c>
      <c r="T413" s="8">
        <f>IF(OR(B413="",N(G413)=0),"",ABS(F413-G413)*E413)</f>
        <v/>
      </c>
      <c r="U413" s="8">
        <f>IF(OR(B413="",P413=""),"",IF(D413="Venda",-1,1)*((N(J413)*N(K413)+N(L413)*N(M413)+N(N413)*N(O413))-(N(J413)+N(L413)+N(N413))*F413)-N(Q413))</f>
        <v/>
      </c>
      <c r="V413" s="9">
        <f>IF(OR(B413="",P413=""),"",U413/S413)</f>
        <v/>
      </c>
      <c r="W413">
        <f>IF(OR(B413="",P413=""),"",P413-C413)</f>
        <v/>
      </c>
      <c r="X413">
        <f>IF(B413="","",IF(P413="","Aberto","Fechado"))</f>
        <v/>
      </c>
    </row>
    <row r="414">
      <c r="C414" s="6" t="n"/>
      <c r="E414" s="10" t="n"/>
      <c r="F414" s="11" t="n"/>
      <c r="G414" s="11" t="n"/>
      <c r="H414" s="11" t="n"/>
      <c r="J414" s="10" t="n"/>
      <c r="K414" s="11" t="n"/>
      <c r="L414" s="10" t="n"/>
      <c r="M414" s="11" t="n"/>
      <c r="N414" s="10" t="n"/>
      <c r="O414" s="11" t="n"/>
      <c r="P414" s="6" t="n"/>
      <c r="Q414" s="11" t="n"/>
      <c r="S414" s="8">
        <f>IF(B414="","",E414*F414)</f>
        <v/>
      </c>
      <c r="T414" s="8">
        <f>IF(OR(B414="",N(G414)=0),"",ABS(F414-G414)*E414)</f>
        <v/>
      </c>
      <c r="U414" s="8">
        <f>IF(OR(B414="",P414=""),"",IF(D414="Venda",-1,1)*((N(J414)*N(K414)+N(L414)*N(M414)+N(N414)*N(O414))-(N(J414)+N(L414)+N(N414))*F414)-N(Q414))</f>
        <v/>
      </c>
      <c r="V414" s="9">
        <f>IF(OR(B414="",P414=""),"",U414/S414)</f>
        <v/>
      </c>
      <c r="W414">
        <f>IF(OR(B414="",P414=""),"",P414-C414)</f>
        <v/>
      </c>
      <c r="X414">
        <f>IF(B414="","",IF(P414="","Aberto","Fechado"))</f>
        <v/>
      </c>
    </row>
    <row r="415">
      <c r="C415" s="6" t="n"/>
      <c r="E415" s="10" t="n"/>
      <c r="F415" s="11" t="n"/>
      <c r="G415" s="11" t="n"/>
      <c r="H415" s="11" t="n"/>
      <c r="J415" s="10" t="n"/>
      <c r="K415" s="11" t="n"/>
      <c r="L415" s="10" t="n"/>
      <c r="M415" s="11" t="n"/>
      <c r="N415" s="10" t="n"/>
      <c r="O415" s="11" t="n"/>
      <c r="P415" s="6" t="n"/>
      <c r="Q415" s="11" t="n"/>
      <c r="S415" s="8">
        <f>IF(B415="","",E415*F415)</f>
        <v/>
      </c>
      <c r="T415" s="8">
        <f>IF(OR(B415="",N(G415)=0),"",ABS(F415-G415)*E415)</f>
        <v/>
      </c>
      <c r="U415" s="8">
        <f>IF(OR(B415="",P415=""),"",IF(D415="Venda",-1,1)*((N(J415)*N(K415)+N(L415)*N(M415)+N(N415)*N(O415))-(N(J415)+N(L415)+N(N415))*F415)-N(Q415))</f>
        <v/>
      </c>
      <c r="V415" s="9">
        <f>IF(OR(B415="",P415=""),"",U415/S415)</f>
        <v/>
      </c>
      <c r="W415">
        <f>IF(OR(B415="",P415=""),"",P415-C415)</f>
        <v/>
      </c>
      <c r="X415">
        <f>IF(B415="","",IF(P415="","Aberto","Fechado"))</f>
        <v/>
      </c>
    </row>
    <row r="416">
      <c r="C416" s="6" t="n"/>
      <c r="E416" s="10" t="n"/>
      <c r="F416" s="11" t="n"/>
      <c r="G416" s="11" t="n"/>
      <c r="H416" s="11" t="n"/>
      <c r="J416" s="10" t="n"/>
      <c r="K416" s="11" t="n"/>
      <c r="L416" s="10" t="n"/>
      <c r="M416" s="11" t="n"/>
      <c r="N416" s="10" t="n"/>
      <c r="O416" s="11" t="n"/>
      <c r="P416" s="6" t="n"/>
      <c r="Q416" s="11" t="n"/>
      <c r="S416" s="8">
        <f>IF(B416="","",E416*F416)</f>
        <v/>
      </c>
      <c r="T416" s="8">
        <f>IF(OR(B416="",N(G416)=0),"",ABS(F416-G416)*E416)</f>
        <v/>
      </c>
      <c r="U416" s="8">
        <f>IF(OR(B416="",P416=""),"",IF(D416="Venda",-1,1)*((N(J416)*N(K416)+N(L416)*N(M416)+N(N416)*N(O416))-(N(J416)+N(L416)+N(N416))*F416)-N(Q416))</f>
        <v/>
      </c>
      <c r="V416" s="9">
        <f>IF(OR(B416="",P416=""),"",U416/S416)</f>
        <v/>
      </c>
      <c r="W416">
        <f>IF(OR(B416="",P416=""),"",P416-C416)</f>
        <v/>
      </c>
      <c r="X416">
        <f>IF(B416="","",IF(P416="","Aberto","Fechado"))</f>
        <v/>
      </c>
    </row>
    <row r="417">
      <c r="C417" s="6" t="n"/>
      <c r="E417" s="10" t="n"/>
      <c r="F417" s="11" t="n"/>
      <c r="G417" s="11" t="n"/>
      <c r="H417" s="11" t="n"/>
      <c r="J417" s="10" t="n"/>
      <c r="K417" s="11" t="n"/>
      <c r="L417" s="10" t="n"/>
      <c r="M417" s="11" t="n"/>
      <c r="N417" s="10" t="n"/>
      <c r="O417" s="11" t="n"/>
      <c r="P417" s="6" t="n"/>
      <c r="Q417" s="11" t="n"/>
      <c r="S417" s="8">
        <f>IF(B417="","",E417*F417)</f>
        <v/>
      </c>
      <c r="T417" s="8">
        <f>IF(OR(B417="",N(G417)=0),"",ABS(F417-G417)*E417)</f>
        <v/>
      </c>
      <c r="U417" s="8">
        <f>IF(OR(B417="",P417=""),"",IF(D417="Venda",-1,1)*((N(J417)*N(K417)+N(L417)*N(M417)+N(N417)*N(O417))-(N(J417)+N(L417)+N(N417))*F417)-N(Q417))</f>
        <v/>
      </c>
      <c r="V417" s="9">
        <f>IF(OR(B417="",P417=""),"",U417/S417)</f>
        <v/>
      </c>
      <c r="W417">
        <f>IF(OR(B417="",P417=""),"",P417-C417)</f>
        <v/>
      </c>
      <c r="X417">
        <f>IF(B417="","",IF(P417="","Aberto","Fechado"))</f>
        <v/>
      </c>
    </row>
    <row r="418">
      <c r="C418" s="6" t="n"/>
      <c r="E418" s="10" t="n"/>
      <c r="F418" s="11" t="n"/>
      <c r="G418" s="11" t="n"/>
      <c r="H418" s="11" t="n"/>
      <c r="J418" s="10" t="n"/>
      <c r="K418" s="11" t="n"/>
      <c r="L418" s="10" t="n"/>
      <c r="M418" s="11" t="n"/>
      <c r="N418" s="10" t="n"/>
      <c r="O418" s="11" t="n"/>
      <c r="P418" s="6" t="n"/>
      <c r="Q418" s="11" t="n"/>
      <c r="S418" s="8">
        <f>IF(B418="","",E418*F418)</f>
        <v/>
      </c>
      <c r="T418" s="8">
        <f>IF(OR(B418="",N(G418)=0),"",ABS(F418-G418)*E418)</f>
        <v/>
      </c>
      <c r="U418" s="8">
        <f>IF(OR(B418="",P418=""),"",IF(D418="Venda",-1,1)*((N(J418)*N(K418)+N(L418)*N(M418)+N(N418)*N(O418))-(N(J418)+N(L418)+N(N418))*F418)-N(Q418))</f>
        <v/>
      </c>
      <c r="V418" s="9">
        <f>IF(OR(B418="",P418=""),"",U418/S418)</f>
        <v/>
      </c>
      <c r="W418">
        <f>IF(OR(B418="",P418=""),"",P418-C418)</f>
        <v/>
      </c>
      <c r="X418">
        <f>IF(B418="","",IF(P418="","Aberto","Fechado"))</f>
        <v/>
      </c>
    </row>
    <row r="419">
      <c r="C419" s="6" t="n"/>
      <c r="E419" s="10" t="n"/>
      <c r="F419" s="11" t="n"/>
      <c r="G419" s="11" t="n"/>
      <c r="H419" s="11" t="n"/>
      <c r="J419" s="10" t="n"/>
      <c r="K419" s="11" t="n"/>
      <c r="L419" s="10" t="n"/>
      <c r="M419" s="11" t="n"/>
      <c r="N419" s="10" t="n"/>
      <c r="O419" s="11" t="n"/>
      <c r="P419" s="6" t="n"/>
      <c r="Q419" s="11" t="n"/>
      <c r="S419" s="8">
        <f>IF(B419="","",E419*F419)</f>
        <v/>
      </c>
      <c r="T419" s="8">
        <f>IF(OR(B419="",N(G419)=0),"",ABS(F419-G419)*E419)</f>
        <v/>
      </c>
      <c r="U419" s="8">
        <f>IF(OR(B419="",P419=""),"",IF(D419="Venda",-1,1)*((N(J419)*N(K419)+N(L419)*N(M419)+N(N419)*N(O419))-(N(J419)+N(L419)+N(N419))*F419)-N(Q419))</f>
        <v/>
      </c>
      <c r="V419" s="9">
        <f>IF(OR(B419="",P419=""),"",U419/S419)</f>
        <v/>
      </c>
      <c r="W419">
        <f>IF(OR(B419="",P419=""),"",P419-C419)</f>
        <v/>
      </c>
      <c r="X419">
        <f>IF(B419="","",IF(P419="","Aberto","Fechado"))</f>
        <v/>
      </c>
    </row>
    <row r="420">
      <c r="C420" s="6" t="n"/>
      <c r="E420" s="10" t="n"/>
      <c r="F420" s="11" t="n"/>
      <c r="G420" s="11" t="n"/>
      <c r="H420" s="11" t="n"/>
      <c r="J420" s="10" t="n"/>
      <c r="K420" s="11" t="n"/>
      <c r="L420" s="10" t="n"/>
      <c r="M420" s="11" t="n"/>
      <c r="N420" s="10" t="n"/>
      <c r="O420" s="11" t="n"/>
      <c r="P420" s="6" t="n"/>
      <c r="Q420" s="11" t="n"/>
      <c r="S420" s="8">
        <f>IF(B420="","",E420*F420)</f>
        <v/>
      </c>
      <c r="T420" s="8">
        <f>IF(OR(B420="",N(G420)=0),"",ABS(F420-G420)*E420)</f>
        <v/>
      </c>
      <c r="U420" s="8">
        <f>IF(OR(B420="",P420=""),"",IF(D420="Venda",-1,1)*((N(J420)*N(K420)+N(L420)*N(M420)+N(N420)*N(O420))-(N(J420)+N(L420)+N(N420))*F420)-N(Q420))</f>
        <v/>
      </c>
      <c r="V420" s="9">
        <f>IF(OR(B420="",P420=""),"",U420/S420)</f>
        <v/>
      </c>
      <c r="W420">
        <f>IF(OR(B420="",P420=""),"",P420-C420)</f>
        <v/>
      </c>
      <c r="X420">
        <f>IF(B420="","",IF(P420="","Aberto","Fechado"))</f>
        <v/>
      </c>
    </row>
    <row r="421">
      <c r="C421" s="6" t="n"/>
      <c r="E421" s="10" t="n"/>
      <c r="F421" s="11" t="n"/>
      <c r="G421" s="11" t="n"/>
      <c r="H421" s="11" t="n"/>
      <c r="J421" s="10" t="n"/>
      <c r="K421" s="11" t="n"/>
      <c r="L421" s="10" t="n"/>
      <c r="M421" s="11" t="n"/>
      <c r="N421" s="10" t="n"/>
      <c r="O421" s="11" t="n"/>
      <c r="P421" s="6" t="n"/>
      <c r="Q421" s="11" t="n"/>
      <c r="S421" s="8">
        <f>IF(B421="","",E421*F421)</f>
        <v/>
      </c>
      <c r="T421" s="8">
        <f>IF(OR(B421="",N(G421)=0),"",ABS(F421-G421)*E421)</f>
        <v/>
      </c>
      <c r="U421" s="8">
        <f>IF(OR(B421="",P421=""),"",IF(D421="Venda",-1,1)*((N(J421)*N(K421)+N(L421)*N(M421)+N(N421)*N(O421))-(N(J421)+N(L421)+N(N421))*F421)-N(Q421))</f>
        <v/>
      </c>
      <c r="V421" s="9">
        <f>IF(OR(B421="",P421=""),"",U421/S421)</f>
        <v/>
      </c>
      <c r="W421">
        <f>IF(OR(B421="",P421=""),"",P421-C421)</f>
        <v/>
      </c>
      <c r="X421">
        <f>IF(B421="","",IF(P421="","Aberto","Fechado"))</f>
        <v/>
      </c>
    </row>
    <row r="422">
      <c r="C422" s="6" t="n"/>
      <c r="E422" s="10" t="n"/>
      <c r="F422" s="11" t="n"/>
      <c r="G422" s="11" t="n"/>
      <c r="H422" s="11" t="n"/>
      <c r="J422" s="10" t="n"/>
      <c r="K422" s="11" t="n"/>
      <c r="L422" s="10" t="n"/>
      <c r="M422" s="11" t="n"/>
      <c r="N422" s="10" t="n"/>
      <c r="O422" s="11" t="n"/>
      <c r="P422" s="6" t="n"/>
      <c r="Q422" s="11" t="n"/>
      <c r="S422" s="8">
        <f>IF(B422="","",E422*F422)</f>
        <v/>
      </c>
      <c r="T422" s="8">
        <f>IF(OR(B422="",N(G422)=0),"",ABS(F422-G422)*E422)</f>
        <v/>
      </c>
      <c r="U422" s="8">
        <f>IF(OR(B422="",P422=""),"",IF(D422="Venda",-1,1)*((N(J422)*N(K422)+N(L422)*N(M422)+N(N422)*N(O422))-(N(J422)+N(L422)+N(N422))*F422)-N(Q422))</f>
        <v/>
      </c>
      <c r="V422" s="9">
        <f>IF(OR(B422="",P422=""),"",U422/S422)</f>
        <v/>
      </c>
      <c r="W422">
        <f>IF(OR(B422="",P422=""),"",P422-C422)</f>
        <v/>
      </c>
      <c r="X422">
        <f>IF(B422="","",IF(P422="","Aberto","Fechado"))</f>
        <v/>
      </c>
    </row>
    <row r="423">
      <c r="C423" s="6" t="n"/>
      <c r="E423" s="10" t="n"/>
      <c r="F423" s="11" t="n"/>
      <c r="G423" s="11" t="n"/>
      <c r="H423" s="11" t="n"/>
      <c r="J423" s="10" t="n"/>
      <c r="K423" s="11" t="n"/>
      <c r="L423" s="10" t="n"/>
      <c r="M423" s="11" t="n"/>
      <c r="N423" s="10" t="n"/>
      <c r="O423" s="11" t="n"/>
      <c r="P423" s="6" t="n"/>
      <c r="Q423" s="11" t="n"/>
      <c r="S423" s="8">
        <f>IF(B423="","",E423*F423)</f>
        <v/>
      </c>
      <c r="T423" s="8">
        <f>IF(OR(B423="",N(G423)=0),"",ABS(F423-G423)*E423)</f>
        <v/>
      </c>
      <c r="U423" s="8">
        <f>IF(OR(B423="",P423=""),"",IF(D423="Venda",-1,1)*((N(J423)*N(K423)+N(L423)*N(M423)+N(N423)*N(O423))-(N(J423)+N(L423)+N(N423))*F423)-N(Q423))</f>
        <v/>
      </c>
      <c r="V423" s="9">
        <f>IF(OR(B423="",P423=""),"",U423/S423)</f>
        <v/>
      </c>
      <c r="W423">
        <f>IF(OR(B423="",P423=""),"",P423-C423)</f>
        <v/>
      </c>
      <c r="X423">
        <f>IF(B423="","",IF(P423="","Aberto","Fechado"))</f>
        <v/>
      </c>
    </row>
    <row r="424">
      <c r="C424" s="6" t="n"/>
      <c r="E424" s="10" t="n"/>
      <c r="F424" s="11" t="n"/>
      <c r="G424" s="11" t="n"/>
      <c r="H424" s="11" t="n"/>
      <c r="J424" s="10" t="n"/>
      <c r="K424" s="11" t="n"/>
      <c r="L424" s="10" t="n"/>
      <c r="M424" s="11" t="n"/>
      <c r="N424" s="10" t="n"/>
      <c r="O424" s="11" t="n"/>
      <c r="P424" s="6" t="n"/>
      <c r="Q424" s="11" t="n"/>
      <c r="S424" s="8">
        <f>IF(B424="","",E424*F424)</f>
        <v/>
      </c>
      <c r="T424" s="8">
        <f>IF(OR(B424="",N(G424)=0),"",ABS(F424-G424)*E424)</f>
        <v/>
      </c>
      <c r="U424" s="8">
        <f>IF(OR(B424="",P424=""),"",IF(D424="Venda",-1,1)*((N(J424)*N(K424)+N(L424)*N(M424)+N(N424)*N(O424))-(N(J424)+N(L424)+N(N424))*F424)-N(Q424))</f>
        <v/>
      </c>
      <c r="V424" s="9">
        <f>IF(OR(B424="",P424=""),"",U424/S424)</f>
        <v/>
      </c>
      <c r="W424">
        <f>IF(OR(B424="",P424=""),"",P424-C424)</f>
        <v/>
      </c>
      <c r="X424">
        <f>IF(B424="","",IF(P424="","Aberto","Fechado"))</f>
        <v/>
      </c>
    </row>
    <row r="425">
      <c r="C425" s="6" t="n"/>
      <c r="E425" s="10" t="n"/>
      <c r="F425" s="11" t="n"/>
      <c r="G425" s="11" t="n"/>
      <c r="H425" s="11" t="n"/>
      <c r="J425" s="10" t="n"/>
      <c r="K425" s="11" t="n"/>
      <c r="L425" s="10" t="n"/>
      <c r="M425" s="11" t="n"/>
      <c r="N425" s="10" t="n"/>
      <c r="O425" s="11" t="n"/>
      <c r="P425" s="6" t="n"/>
      <c r="Q425" s="11" t="n"/>
      <c r="S425" s="8">
        <f>IF(B425="","",E425*F425)</f>
        <v/>
      </c>
      <c r="T425" s="8">
        <f>IF(OR(B425="",N(G425)=0),"",ABS(F425-G425)*E425)</f>
        <v/>
      </c>
      <c r="U425" s="8">
        <f>IF(OR(B425="",P425=""),"",IF(D425="Venda",-1,1)*((N(J425)*N(K425)+N(L425)*N(M425)+N(N425)*N(O425))-(N(J425)+N(L425)+N(N425))*F425)-N(Q425))</f>
        <v/>
      </c>
      <c r="V425" s="9">
        <f>IF(OR(B425="",P425=""),"",U425/S425)</f>
        <v/>
      </c>
      <c r="W425">
        <f>IF(OR(B425="",P425=""),"",P425-C425)</f>
        <v/>
      </c>
      <c r="X425">
        <f>IF(B425="","",IF(P425="","Aberto","Fechado"))</f>
        <v/>
      </c>
    </row>
    <row r="426">
      <c r="C426" s="6" t="n"/>
      <c r="E426" s="10" t="n"/>
      <c r="F426" s="11" t="n"/>
      <c r="G426" s="11" t="n"/>
      <c r="H426" s="11" t="n"/>
      <c r="J426" s="10" t="n"/>
      <c r="K426" s="11" t="n"/>
      <c r="L426" s="10" t="n"/>
      <c r="M426" s="11" t="n"/>
      <c r="N426" s="10" t="n"/>
      <c r="O426" s="11" t="n"/>
      <c r="P426" s="6" t="n"/>
      <c r="Q426" s="11" t="n"/>
      <c r="S426" s="8">
        <f>IF(B426="","",E426*F426)</f>
        <v/>
      </c>
      <c r="T426" s="8">
        <f>IF(OR(B426="",N(G426)=0),"",ABS(F426-G426)*E426)</f>
        <v/>
      </c>
      <c r="U426" s="8">
        <f>IF(OR(B426="",P426=""),"",IF(D426="Venda",-1,1)*((N(J426)*N(K426)+N(L426)*N(M426)+N(N426)*N(O426))-(N(J426)+N(L426)+N(N426))*F426)-N(Q426))</f>
        <v/>
      </c>
      <c r="V426" s="9">
        <f>IF(OR(B426="",P426=""),"",U426/S426)</f>
        <v/>
      </c>
      <c r="W426">
        <f>IF(OR(B426="",P426=""),"",P426-C426)</f>
        <v/>
      </c>
      <c r="X426">
        <f>IF(B426="","",IF(P426="","Aberto","Fechado"))</f>
        <v/>
      </c>
    </row>
    <row r="427">
      <c r="C427" s="6" t="n"/>
      <c r="E427" s="10" t="n"/>
      <c r="F427" s="11" t="n"/>
      <c r="G427" s="11" t="n"/>
      <c r="H427" s="11" t="n"/>
      <c r="J427" s="10" t="n"/>
      <c r="K427" s="11" t="n"/>
      <c r="L427" s="10" t="n"/>
      <c r="M427" s="11" t="n"/>
      <c r="N427" s="10" t="n"/>
      <c r="O427" s="11" t="n"/>
      <c r="P427" s="6" t="n"/>
      <c r="Q427" s="11" t="n"/>
      <c r="S427" s="8">
        <f>IF(B427="","",E427*F427)</f>
        <v/>
      </c>
      <c r="T427" s="8">
        <f>IF(OR(B427="",N(G427)=0),"",ABS(F427-G427)*E427)</f>
        <v/>
      </c>
      <c r="U427" s="8">
        <f>IF(OR(B427="",P427=""),"",IF(D427="Venda",-1,1)*((N(J427)*N(K427)+N(L427)*N(M427)+N(N427)*N(O427))-(N(J427)+N(L427)+N(N427))*F427)-N(Q427))</f>
        <v/>
      </c>
      <c r="V427" s="9">
        <f>IF(OR(B427="",P427=""),"",U427/S427)</f>
        <v/>
      </c>
      <c r="W427">
        <f>IF(OR(B427="",P427=""),"",P427-C427)</f>
        <v/>
      </c>
      <c r="X427">
        <f>IF(B427="","",IF(P427="","Aberto","Fechado"))</f>
        <v/>
      </c>
    </row>
    <row r="428">
      <c r="C428" s="6" t="n"/>
      <c r="E428" s="10" t="n"/>
      <c r="F428" s="11" t="n"/>
      <c r="G428" s="11" t="n"/>
      <c r="H428" s="11" t="n"/>
      <c r="J428" s="10" t="n"/>
      <c r="K428" s="11" t="n"/>
      <c r="L428" s="10" t="n"/>
      <c r="M428" s="11" t="n"/>
      <c r="N428" s="10" t="n"/>
      <c r="O428" s="11" t="n"/>
      <c r="P428" s="6" t="n"/>
      <c r="Q428" s="11" t="n"/>
      <c r="S428" s="8">
        <f>IF(B428="","",E428*F428)</f>
        <v/>
      </c>
      <c r="T428" s="8">
        <f>IF(OR(B428="",N(G428)=0),"",ABS(F428-G428)*E428)</f>
        <v/>
      </c>
      <c r="U428" s="8">
        <f>IF(OR(B428="",P428=""),"",IF(D428="Venda",-1,1)*((N(J428)*N(K428)+N(L428)*N(M428)+N(N428)*N(O428))-(N(J428)+N(L428)+N(N428))*F428)-N(Q428))</f>
        <v/>
      </c>
      <c r="V428" s="9">
        <f>IF(OR(B428="",P428=""),"",U428/S428)</f>
        <v/>
      </c>
      <c r="W428">
        <f>IF(OR(B428="",P428=""),"",P428-C428)</f>
        <v/>
      </c>
      <c r="X428">
        <f>IF(B428="","",IF(P428="","Aberto","Fechado"))</f>
        <v/>
      </c>
    </row>
    <row r="429">
      <c r="C429" s="6" t="n"/>
      <c r="E429" s="10" t="n"/>
      <c r="F429" s="11" t="n"/>
      <c r="G429" s="11" t="n"/>
      <c r="H429" s="11" t="n"/>
      <c r="J429" s="10" t="n"/>
      <c r="K429" s="11" t="n"/>
      <c r="L429" s="10" t="n"/>
      <c r="M429" s="11" t="n"/>
      <c r="N429" s="10" t="n"/>
      <c r="O429" s="11" t="n"/>
      <c r="P429" s="6" t="n"/>
      <c r="Q429" s="11" t="n"/>
      <c r="S429" s="8">
        <f>IF(B429="","",E429*F429)</f>
        <v/>
      </c>
      <c r="T429" s="8">
        <f>IF(OR(B429="",N(G429)=0),"",ABS(F429-G429)*E429)</f>
        <v/>
      </c>
      <c r="U429" s="8">
        <f>IF(OR(B429="",P429=""),"",IF(D429="Venda",-1,1)*((N(J429)*N(K429)+N(L429)*N(M429)+N(N429)*N(O429))-(N(J429)+N(L429)+N(N429))*F429)-N(Q429))</f>
        <v/>
      </c>
      <c r="V429" s="9">
        <f>IF(OR(B429="",P429=""),"",U429/S429)</f>
        <v/>
      </c>
      <c r="W429">
        <f>IF(OR(B429="",P429=""),"",P429-C429)</f>
        <v/>
      </c>
      <c r="X429">
        <f>IF(B429="","",IF(P429="","Aberto","Fechado"))</f>
        <v/>
      </c>
    </row>
    <row r="430">
      <c r="C430" s="6" t="n"/>
      <c r="E430" s="10" t="n"/>
      <c r="F430" s="11" t="n"/>
      <c r="G430" s="11" t="n"/>
      <c r="H430" s="11" t="n"/>
      <c r="J430" s="10" t="n"/>
      <c r="K430" s="11" t="n"/>
      <c r="L430" s="10" t="n"/>
      <c r="M430" s="11" t="n"/>
      <c r="N430" s="10" t="n"/>
      <c r="O430" s="11" t="n"/>
      <c r="P430" s="6" t="n"/>
      <c r="Q430" s="11" t="n"/>
      <c r="S430" s="8">
        <f>IF(B430="","",E430*F430)</f>
        <v/>
      </c>
      <c r="T430" s="8">
        <f>IF(OR(B430="",N(G430)=0),"",ABS(F430-G430)*E430)</f>
        <v/>
      </c>
      <c r="U430" s="8">
        <f>IF(OR(B430="",P430=""),"",IF(D430="Venda",-1,1)*((N(J430)*N(K430)+N(L430)*N(M430)+N(N430)*N(O430))-(N(J430)+N(L430)+N(N430))*F430)-N(Q430))</f>
        <v/>
      </c>
      <c r="V430" s="9">
        <f>IF(OR(B430="",P430=""),"",U430/S430)</f>
        <v/>
      </c>
      <c r="W430">
        <f>IF(OR(B430="",P430=""),"",P430-C430)</f>
        <v/>
      </c>
      <c r="X430">
        <f>IF(B430="","",IF(P430="","Aberto","Fechado"))</f>
        <v/>
      </c>
    </row>
    <row r="431">
      <c r="C431" s="6" t="n"/>
      <c r="E431" s="10" t="n"/>
      <c r="F431" s="11" t="n"/>
      <c r="G431" s="11" t="n"/>
      <c r="H431" s="11" t="n"/>
      <c r="J431" s="10" t="n"/>
      <c r="K431" s="11" t="n"/>
      <c r="L431" s="10" t="n"/>
      <c r="M431" s="11" t="n"/>
      <c r="N431" s="10" t="n"/>
      <c r="O431" s="11" t="n"/>
      <c r="P431" s="6" t="n"/>
      <c r="Q431" s="11" t="n"/>
      <c r="S431" s="8">
        <f>IF(B431="","",E431*F431)</f>
        <v/>
      </c>
      <c r="T431" s="8">
        <f>IF(OR(B431="",N(G431)=0),"",ABS(F431-G431)*E431)</f>
        <v/>
      </c>
      <c r="U431" s="8">
        <f>IF(OR(B431="",P431=""),"",IF(D431="Venda",-1,1)*((N(J431)*N(K431)+N(L431)*N(M431)+N(N431)*N(O431))-(N(J431)+N(L431)+N(N431))*F431)-N(Q431))</f>
        <v/>
      </c>
      <c r="V431" s="9">
        <f>IF(OR(B431="",P431=""),"",U431/S431)</f>
        <v/>
      </c>
      <c r="W431">
        <f>IF(OR(B431="",P431=""),"",P431-C431)</f>
        <v/>
      </c>
      <c r="X431">
        <f>IF(B431="","",IF(P431="","Aberto","Fechado"))</f>
        <v/>
      </c>
    </row>
    <row r="432">
      <c r="C432" s="6" t="n"/>
      <c r="E432" s="10" t="n"/>
      <c r="F432" s="11" t="n"/>
      <c r="G432" s="11" t="n"/>
      <c r="H432" s="11" t="n"/>
      <c r="J432" s="10" t="n"/>
      <c r="K432" s="11" t="n"/>
      <c r="L432" s="10" t="n"/>
      <c r="M432" s="11" t="n"/>
      <c r="N432" s="10" t="n"/>
      <c r="O432" s="11" t="n"/>
      <c r="P432" s="6" t="n"/>
      <c r="Q432" s="11" t="n"/>
      <c r="S432" s="8">
        <f>IF(B432="","",E432*F432)</f>
        <v/>
      </c>
      <c r="T432" s="8">
        <f>IF(OR(B432="",N(G432)=0),"",ABS(F432-G432)*E432)</f>
        <v/>
      </c>
      <c r="U432" s="8">
        <f>IF(OR(B432="",P432=""),"",IF(D432="Venda",-1,1)*((N(J432)*N(K432)+N(L432)*N(M432)+N(N432)*N(O432))-(N(J432)+N(L432)+N(N432))*F432)-N(Q432))</f>
        <v/>
      </c>
      <c r="V432" s="9">
        <f>IF(OR(B432="",P432=""),"",U432/S432)</f>
        <v/>
      </c>
      <c r="W432">
        <f>IF(OR(B432="",P432=""),"",P432-C432)</f>
        <v/>
      </c>
      <c r="X432">
        <f>IF(B432="","",IF(P432="","Aberto","Fechado"))</f>
        <v/>
      </c>
    </row>
    <row r="433">
      <c r="C433" s="6" t="n"/>
      <c r="E433" s="10" t="n"/>
      <c r="F433" s="11" t="n"/>
      <c r="G433" s="11" t="n"/>
      <c r="H433" s="11" t="n"/>
      <c r="J433" s="10" t="n"/>
      <c r="K433" s="11" t="n"/>
      <c r="L433" s="10" t="n"/>
      <c r="M433" s="11" t="n"/>
      <c r="N433" s="10" t="n"/>
      <c r="O433" s="11" t="n"/>
      <c r="P433" s="6" t="n"/>
      <c r="Q433" s="11" t="n"/>
      <c r="S433" s="8">
        <f>IF(B433="","",E433*F433)</f>
        <v/>
      </c>
      <c r="T433" s="8">
        <f>IF(OR(B433="",N(G433)=0),"",ABS(F433-G433)*E433)</f>
        <v/>
      </c>
      <c r="U433" s="8">
        <f>IF(OR(B433="",P433=""),"",IF(D433="Venda",-1,1)*((N(J433)*N(K433)+N(L433)*N(M433)+N(N433)*N(O433))-(N(J433)+N(L433)+N(N433))*F433)-N(Q433))</f>
        <v/>
      </c>
      <c r="V433" s="9">
        <f>IF(OR(B433="",P433=""),"",U433/S433)</f>
        <v/>
      </c>
      <c r="W433">
        <f>IF(OR(B433="",P433=""),"",P433-C433)</f>
        <v/>
      </c>
      <c r="X433">
        <f>IF(B433="","",IF(P433="","Aberto","Fechado"))</f>
        <v/>
      </c>
    </row>
    <row r="434">
      <c r="C434" s="6" t="n"/>
      <c r="E434" s="10" t="n"/>
      <c r="F434" s="11" t="n"/>
      <c r="G434" s="11" t="n"/>
      <c r="H434" s="11" t="n"/>
      <c r="J434" s="10" t="n"/>
      <c r="K434" s="11" t="n"/>
      <c r="L434" s="10" t="n"/>
      <c r="M434" s="11" t="n"/>
      <c r="N434" s="10" t="n"/>
      <c r="O434" s="11" t="n"/>
      <c r="P434" s="6" t="n"/>
      <c r="Q434" s="11" t="n"/>
      <c r="S434" s="8">
        <f>IF(B434="","",E434*F434)</f>
        <v/>
      </c>
      <c r="T434" s="8">
        <f>IF(OR(B434="",N(G434)=0),"",ABS(F434-G434)*E434)</f>
        <v/>
      </c>
      <c r="U434" s="8">
        <f>IF(OR(B434="",P434=""),"",IF(D434="Venda",-1,1)*((N(J434)*N(K434)+N(L434)*N(M434)+N(N434)*N(O434))-(N(J434)+N(L434)+N(N434))*F434)-N(Q434))</f>
        <v/>
      </c>
      <c r="V434" s="9">
        <f>IF(OR(B434="",P434=""),"",U434/S434)</f>
        <v/>
      </c>
      <c r="W434">
        <f>IF(OR(B434="",P434=""),"",P434-C434)</f>
        <v/>
      </c>
      <c r="X434">
        <f>IF(B434="","",IF(P434="","Aberto","Fechado"))</f>
        <v/>
      </c>
    </row>
    <row r="435">
      <c r="C435" s="6" t="n"/>
      <c r="E435" s="10" t="n"/>
      <c r="F435" s="11" t="n"/>
      <c r="G435" s="11" t="n"/>
      <c r="H435" s="11" t="n"/>
      <c r="J435" s="10" t="n"/>
      <c r="K435" s="11" t="n"/>
      <c r="L435" s="10" t="n"/>
      <c r="M435" s="11" t="n"/>
      <c r="N435" s="10" t="n"/>
      <c r="O435" s="11" t="n"/>
      <c r="P435" s="6" t="n"/>
      <c r="Q435" s="11" t="n"/>
      <c r="S435" s="8">
        <f>IF(B435="","",E435*F435)</f>
        <v/>
      </c>
      <c r="T435" s="8">
        <f>IF(OR(B435="",N(G435)=0),"",ABS(F435-G435)*E435)</f>
        <v/>
      </c>
      <c r="U435" s="8">
        <f>IF(OR(B435="",P435=""),"",IF(D435="Venda",-1,1)*((N(J435)*N(K435)+N(L435)*N(M435)+N(N435)*N(O435))-(N(J435)+N(L435)+N(N435))*F435)-N(Q435))</f>
        <v/>
      </c>
      <c r="V435" s="9">
        <f>IF(OR(B435="",P435=""),"",U435/S435)</f>
        <v/>
      </c>
      <c r="W435">
        <f>IF(OR(B435="",P435=""),"",P435-C435)</f>
        <v/>
      </c>
      <c r="X435">
        <f>IF(B435="","",IF(P435="","Aberto","Fechado"))</f>
        <v/>
      </c>
    </row>
    <row r="436">
      <c r="C436" s="6" t="n"/>
      <c r="E436" s="10" t="n"/>
      <c r="F436" s="11" t="n"/>
      <c r="G436" s="11" t="n"/>
      <c r="H436" s="11" t="n"/>
      <c r="J436" s="10" t="n"/>
      <c r="K436" s="11" t="n"/>
      <c r="L436" s="10" t="n"/>
      <c r="M436" s="11" t="n"/>
      <c r="N436" s="10" t="n"/>
      <c r="O436" s="11" t="n"/>
      <c r="P436" s="6" t="n"/>
      <c r="Q436" s="11" t="n"/>
      <c r="S436" s="8">
        <f>IF(B436="","",E436*F436)</f>
        <v/>
      </c>
      <c r="T436" s="8">
        <f>IF(OR(B436="",N(G436)=0),"",ABS(F436-G436)*E436)</f>
        <v/>
      </c>
      <c r="U436" s="8">
        <f>IF(OR(B436="",P436=""),"",IF(D436="Venda",-1,1)*((N(J436)*N(K436)+N(L436)*N(M436)+N(N436)*N(O436))-(N(J436)+N(L436)+N(N436))*F436)-N(Q436))</f>
        <v/>
      </c>
      <c r="V436" s="9">
        <f>IF(OR(B436="",P436=""),"",U436/S436)</f>
        <v/>
      </c>
      <c r="W436">
        <f>IF(OR(B436="",P436=""),"",P436-C436)</f>
        <v/>
      </c>
      <c r="X436">
        <f>IF(B436="","",IF(P436="","Aberto","Fechado"))</f>
        <v/>
      </c>
    </row>
    <row r="437">
      <c r="C437" s="6" t="n"/>
      <c r="E437" s="10" t="n"/>
      <c r="F437" s="11" t="n"/>
      <c r="G437" s="11" t="n"/>
      <c r="H437" s="11" t="n"/>
      <c r="J437" s="10" t="n"/>
      <c r="K437" s="11" t="n"/>
      <c r="L437" s="10" t="n"/>
      <c r="M437" s="11" t="n"/>
      <c r="N437" s="10" t="n"/>
      <c r="O437" s="11" t="n"/>
      <c r="P437" s="6" t="n"/>
      <c r="Q437" s="11" t="n"/>
      <c r="S437" s="8">
        <f>IF(B437="","",E437*F437)</f>
        <v/>
      </c>
      <c r="T437" s="8">
        <f>IF(OR(B437="",N(G437)=0),"",ABS(F437-G437)*E437)</f>
        <v/>
      </c>
      <c r="U437" s="8">
        <f>IF(OR(B437="",P437=""),"",IF(D437="Venda",-1,1)*((N(J437)*N(K437)+N(L437)*N(M437)+N(N437)*N(O437))-(N(J437)+N(L437)+N(N437))*F437)-N(Q437))</f>
        <v/>
      </c>
      <c r="V437" s="9">
        <f>IF(OR(B437="",P437=""),"",U437/S437)</f>
        <v/>
      </c>
      <c r="W437">
        <f>IF(OR(B437="",P437=""),"",P437-C437)</f>
        <v/>
      </c>
      <c r="X437">
        <f>IF(B437="","",IF(P437="","Aberto","Fechado"))</f>
        <v/>
      </c>
    </row>
    <row r="438">
      <c r="C438" s="6" t="n"/>
      <c r="E438" s="10" t="n"/>
      <c r="F438" s="11" t="n"/>
      <c r="G438" s="11" t="n"/>
      <c r="H438" s="11" t="n"/>
      <c r="J438" s="10" t="n"/>
      <c r="K438" s="11" t="n"/>
      <c r="L438" s="10" t="n"/>
      <c r="M438" s="11" t="n"/>
      <c r="N438" s="10" t="n"/>
      <c r="O438" s="11" t="n"/>
      <c r="P438" s="6" t="n"/>
      <c r="Q438" s="11" t="n"/>
      <c r="S438" s="8">
        <f>IF(B438="","",E438*F438)</f>
        <v/>
      </c>
      <c r="T438" s="8">
        <f>IF(OR(B438="",N(G438)=0),"",ABS(F438-G438)*E438)</f>
        <v/>
      </c>
      <c r="U438" s="8">
        <f>IF(OR(B438="",P438=""),"",IF(D438="Venda",-1,1)*((N(J438)*N(K438)+N(L438)*N(M438)+N(N438)*N(O438))-(N(J438)+N(L438)+N(N438))*F438)-N(Q438))</f>
        <v/>
      </c>
      <c r="V438" s="9">
        <f>IF(OR(B438="",P438=""),"",U438/S438)</f>
        <v/>
      </c>
      <c r="W438">
        <f>IF(OR(B438="",P438=""),"",P438-C438)</f>
        <v/>
      </c>
      <c r="X438">
        <f>IF(B438="","",IF(P438="","Aberto","Fechado"))</f>
        <v/>
      </c>
    </row>
    <row r="439">
      <c r="C439" s="6" t="n"/>
      <c r="E439" s="10" t="n"/>
      <c r="F439" s="11" t="n"/>
      <c r="G439" s="11" t="n"/>
      <c r="H439" s="11" t="n"/>
      <c r="J439" s="10" t="n"/>
      <c r="K439" s="11" t="n"/>
      <c r="L439" s="10" t="n"/>
      <c r="M439" s="11" t="n"/>
      <c r="N439" s="10" t="n"/>
      <c r="O439" s="11" t="n"/>
      <c r="P439" s="6" t="n"/>
      <c r="Q439" s="11" t="n"/>
      <c r="S439" s="8">
        <f>IF(B439="","",E439*F439)</f>
        <v/>
      </c>
      <c r="T439" s="8">
        <f>IF(OR(B439="",N(G439)=0),"",ABS(F439-G439)*E439)</f>
        <v/>
      </c>
      <c r="U439" s="8">
        <f>IF(OR(B439="",P439=""),"",IF(D439="Venda",-1,1)*((N(J439)*N(K439)+N(L439)*N(M439)+N(N439)*N(O439))-(N(J439)+N(L439)+N(N439))*F439)-N(Q439))</f>
        <v/>
      </c>
      <c r="V439" s="9">
        <f>IF(OR(B439="",P439=""),"",U439/S439)</f>
        <v/>
      </c>
      <c r="W439">
        <f>IF(OR(B439="",P439=""),"",P439-C439)</f>
        <v/>
      </c>
      <c r="X439">
        <f>IF(B439="","",IF(P439="","Aberto","Fechado"))</f>
        <v/>
      </c>
    </row>
    <row r="440">
      <c r="C440" s="6" t="n"/>
      <c r="E440" s="10" t="n"/>
      <c r="F440" s="11" t="n"/>
      <c r="G440" s="11" t="n"/>
      <c r="H440" s="11" t="n"/>
      <c r="J440" s="10" t="n"/>
      <c r="K440" s="11" t="n"/>
      <c r="L440" s="10" t="n"/>
      <c r="M440" s="11" t="n"/>
      <c r="N440" s="10" t="n"/>
      <c r="O440" s="11" t="n"/>
      <c r="P440" s="6" t="n"/>
      <c r="Q440" s="11" t="n"/>
      <c r="S440" s="8">
        <f>IF(B440="","",E440*F440)</f>
        <v/>
      </c>
      <c r="T440" s="8">
        <f>IF(OR(B440="",N(G440)=0),"",ABS(F440-G440)*E440)</f>
        <v/>
      </c>
      <c r="U440" s="8">
        <f>IF(OR(B440="",P440=""),"",IF(D440="Venda",-1,1)*((N(J440)*N(K440)+N(L440)*N(M440)+N(N440)*N(O440))-(N(J440)+N(L440)+N(N440))*F440)-N(Q440))</f>
        <v/>
      </c>
      <c r="V440" s="9">
        <f>IF(OR(B440="",P440=""),"",U440/S440)</f>
        <v/>
      </c>
      <c r="W440">
        <f>IF(OR(B440="",P440=""),"",P440-C440)</f>
        <v/>
      </c>
      <c r="X440">
        <f>IF(B440="","",IF(P440="","Aberto","Fechado"))</f>
        <v/>
      </c>
    </row>
    <row r="441">
      <c r="C441" s="6" t="n"/>
      <c r="E441" s="10" t="n"/>
      <c r="F441" s="11" t="n"/>
      <c r="G441" s="11" t="n"/>
      <c r="H441" s="11" t="n"/>
      <c r="J441" s="10" t="n"/>
      <c r="K441" s="11" t="n"/>
      <c r="L441" s="10" t="n"/>
      <c r="M441" s="11" t="n"/>
      <c r="N441" s="10" t="n"/>
      <c r="O441" s="11" t="n"/>
      <c r="P441" s="6" t="n"/>
      <c r="Q441" s="11" t="n"/>
      <c r="S441" s="8">
        <f>IF(B441="","",E441*F441)</f>
        <v/>
      </c>
      <c r="T441" s="8">
        <f>IF(OR(B441="",N(G441)=0),"",ABS(F441-G441)*E441)</f>
        <v/>
      </c>
      <c r="U441" s="8">
        <f>IF(OR(B441="",P441=""),"",IF(D441="Venda",-1,1)*((N(J441)*N(K441)+N(L441)*N(M441)+N(N441)*N(O441))-(N(J441)+N(L441)+N(N441))*F441)-N(Q441))</f>
        <v/>
      </c>
      <c r="V441" s="9">
        <f>IF(OR(B441="",P441=""),"",U441/S441)</f>
        <v/>
      </c>
      <c r="W441">
        <f>IF(OR(B441="",P441=""),"",P441-C441)</f>
        <v/>
      </c>
      <c r="X441">
        <f>IF(B441="","",IF(P441="","Aberto","Fechado"))</f>
        <v/>
      </c>
    </row>
    <row r="442">
      <c r="C442" s="6" t="n"/>
      <c r="E442" s="10" t="n"/>
      <c r="F442" s="11" t="n"/>
      <c r="G442" s="11" t="n"/>
      <c r="H442" s="11" t="n"/>
      <c r="J442" s="10" t="n"/>
      <c r="K442" s="11" t="n"/>
      <c r="L442" s="10" t="n"/>
      <c r="M442" s="11" t="n"/>
      <c r="N442" s="10" t="n"/>
      <c r="O442" s="11" t="n"/>
      <c r="P442" s="6" t="n"/>
      <c r="Q442" s="11" t="n"/>
      <c r="S442" s="8">
        <f>IF(B442="","",E442*F442)</f>
        <v/>
      </c>
      <c r="T442" s="8">
        <f>IF(OR(B442="",N(G442)=0),"",ABS(F442-G442)*E442)</f>
        <v/>
      </c>
      <c r="U442" s="8">
        <f>IF(OR(B442="",P442=""),"",IF(D442="Venda",-1,1)*((N(J442)*N(K442)+N(L442)*N(M442)+N(N442)*N(O442))-(N(J442)+N(L442)+N(N442))*F442)-N(Q442))</f>
        <v/>
      </c>
      <c r="V442" s="9">
        <f>IF(OR(B442="",P442=""),"",U442/S442)</f>
        <v/>
      </c>
      <c r="W442">
        <f>IF(OR(B442="",P442=""),"",P442-C442)</f>
        <v/>
      </c>
      <c r="X442">
        <f>IF(B442="","",IF(P442="","Aberto","Fechado"))</f>
        <v/>
      </c>
    </row>
    <row r="443">
      <c r="C443" s="6" t="n"/>
      <c r="E443" s="10" t="n"/>
      <c r="F443" s="11" t="n"/>
      <c r="G443" s="11" t="n"/>
      <c r="H443" s="11" t="n"/>
      <c r="J443" s="10" t="n"/>
      <c r="K443" s="11" t="n"/>
      <c r="L443" s="10" t="n"/>
      <c r="M443" s="11" t="n"/>
      <c r="N443" s="10" t="n"/>
      <c r="O443" s="11" t="n"/>
      <c r="P443" s="6" t="n"/>
      <c r="Q443" s="11" t="n"/>
      <c r="S443" s="8">
        <f>IF(B443="","",E443*F443)</f>
        <v/>
      </c>
      <c r="T443" s="8">
        <f>IF(OR(B443="",N(G443)=0),"",ABS(F443-G443)*E443)</f>
        <v/>
      </c>
      <c r="U443" s="8">
        <f>IF(OR(B443="",P443=""),"",IF(D443="Venda",-1,1)*((N(J443)*N(K443)+N(L443)*N(M443)+N(N443)*N(O443))-(N(J443)+N(L443)+N(N443))*F443)-N(Q443))</f>
        <v/>
      </c>
      <c r="V443" s="9">
        <f>IF(OR(B443="",P443=""),"",U443/S443)</f>
        <v/>
      </c>
      <c r="W443">
        <f>IF(OR(B443="",P443=""),"",P443-C443)</f>
        <v/>
      </c>
      <c r="X443">
        <f>IF(B443="","",IF(P443="","Aberto","Fechado"))</f>
        <v/>
      </c>
    </row>
    <row r="444">
      <c r="C444" s="6" t="n"/>
      <c r="E444" s="10" t="n"/>
      <c r="F444" s="11" t="n"/>
      <c r="G444" s="11" t="n"/>
      <c r="H444" s="11" t="n"/>
      <c r="J444" s="10" t="n"/>
      <c r="K444" s="11" t="n"/>
      <c r="L444" s="10" t="n"/>
      <c r="M444" s="11" t="n"/>
      <c r="N444" s="10" t="n"/>
      <c r="O444" s="11" t="n"/>
      <c r="P444" s="6" t="n"/>
      <c r="Q444" s="11" t="n"/>
      <c r="S444" s="8">
        <f>IF(B444="","",E444*F444)</f>
        <v/>
      </c>
      <c r="T444" s="8">
        <f>IF(OR(B444="",N(G444)=0),"",ABS(F444-G444)*E444)</f>
        <v/>
      </c>
      <c r="U444" s="8">
        <f>IF(OR(B444="",P444=""),"",IF(D444="Venda",-1,1)*((N(J444)*N(K444)+N(L444)*N(M444)+N(N444)*N(O444))-(N(J444)+N(L444)+N(N444))*F444)-N(Q444))</f>
        <v/>
      </c>
      <c r="V444" s="9">
        <f>IF(OR(B444="",P444=""),"",U444/S444)</f>
        <v/>
      </c>
      <c r="W444">
        <f>IF(OR(B444="",P444=""),"",P444-C444)</f>
        <v/>
      </c>
      <c r="X444">
        <f>IF(B444="","",IF(P444="","Aberto","Fechado"))</f>
        <v/>
      </c>
    </row>
    <row r="445">
      <c r="C445" s="6" t="n"/>
      <c r="E445" s="10" t="n"/>
      <c r="F445" s="11" t="n"/>
      <c r="G445" s="11" t="n"/>
      <c r="H445" s="11" t="n"/>
      <c r="J445" s="10" t="n"/>
      <c r="K445" s="11" t="n"/>
      <c r="L445" s="10" t="n"/>
      <c r="M445" s="11" t="n"/>
      <c r="N445" s="10" t="n"/>
      <c r="O445" s="11" t="n"/>
      <c r="P445" s="6" t="n"/>
      <c r="Q445" s="11" t="n"/>
      <c r="S445" s="8">
        <f>IF(B445="","",E445*F445)</f>
        <v/>
      </c>
      <c r="T445" s="8">
        <f>IF(OR(B445="",N(G445)=0),"",ABS(F445-G445)*E445)</f>
        <v/>
      </c>
      <c r="U445" s="8">
        <f>IF(OR(B445="",P445=""),"",IF(D445="Venda",-1,1)*((N(J445)*N(K445)+N(L445)*N(M445)+N(N445)*N(O445))-(N(J445)+N(L445)+N(N445))*F445)-N(Q445))</f>
        <v/>
      </c>
      <c r="V445" s="9">
        <f>IF(OR(B445="",P445=""),"",U445/S445)</f>
        <v/>
      </c>
      <c r="W445">
        <f>IF(OR(B445="",P445=""),"",P445-C445)</f>
        <v/>
      </c>
      <c r="X445">
        <f>IF(B445="","",IF(P445="","Aberto","Fechado"))</f>
        <v/>
      </c>
    </row>
    <row r="446">
      <c r="C446" s="6" t="n"/>
      <c r="E446" s="10" t="n"/>
      <c r="F446" s="11" t="n"/>
      <c r="G446" s="11" t="n"/>
      <c r="H446" s="11" t="n"/>
      <c r="J446" s="10" t="n"/>
      <c r="K446" s="11" t="n"/>
      <c r="L446" s="10" t="n"/>
      <c r="M446" s="11" t="n"/>
      <c r="N446" s="10" t="n"/>
      <c r="O446" s="11" t="n"/>
      <c r="P446" s="6" t="n"/>
      <c r="Q446" s="11" t="n"/>
      <c r="S446" s="8">
        <f>IF(B446="","",E446*F446)</f>
        <v/>
      </c>
      <c r="T446" s="8">
        <f>IF(OR(B446="",N(G446)=0),"",ABS(F446-G446)*E446)</f>
        <v/>
      </c>
      <c r="U446" s="8">
        <f>IF(OR(B446="",P446=""),"",IF(D446="Venda",-1,1)*((N(J446)*N(K446)+N(L446)*N(M446)+N(N446)*N(O446))-(N(J446)+N(L446)+N(N446))*F446)-N(Q446))</f>
        <v/>
      </c>
      <c r="V446" s="9">
        <f>IF(OR(B446="",P446=""),"",U446/S446)</f>
        <v/>
      </c>
      <c r="W446">
        <f>IF(OR(B446="",P446=""),"",P446-C446)</f>
        <v/>
      </c>
      <c r="X446">
        <f>IF(B446="","",IF(P446="","Aberto","Fechado"))</f>
        <v/>
      </c>
    </row>
    <row r="447">
      <c r="C447" s="6" t="n"/>
      <c r="E447" s="10" t="n"/>
      <c r="F447" s="11" t="n"/>
      <c r="G447" s="11" t="n"/>
      <c r="H447" s="11" t="n"/>
      <c r="J447" s="10" t="n"/>
      <c r="K447" s="11" t="n"/>
      <c r="L447" s="10" t="n"/>
      <c r="M447" s="11" t="n"/>
      <c r="N447" s="10" t="n"/>
      <c r="O447" s="11" t="n"/>
      <c r="P447" s="6" t="n"/>
      <c r="Q447" s="11" t="n"/>
      <c r="S447" s="8">
        <f>IF(B447="","",E447*F447)</f>
        <v/>
      </c>
      <c r="T447" s="8">
        <f>IF(OR(B447="",N(G447)=0),"",ABS(F447-G447)*E447)</f>
        <v/>
      </c>
      <c r="U447" s="8">
        <f>IF(OR(B447="",P447=""),"",IF(D447="Venda",-1,1)*((N(J447)*N(K447)+N(L447)*N(M447)+N(N447)*N(O447))-(N(J447)+N(L447)+N(N447))*F447)-N(Q447))</f>
        <v/>
      </c>
      <c r="V447" s="9">
        <f>IF(OR(B447="",P447=""),"",U447/S447)</f>
        <v/>
      </c>
      <c r="W447">
        <f>IF(OR(B447="",P447=""),"",P447-C447)</f>
        <v/>
      </c>
      <c r="X447">
        <f>IF(B447="","",IF(P447="","Aberto","Fechado"))</f>
        <v/>
      </c>
    </row>
    <row r="448">
      <c r="C448" s="6" t="n"/>
      <c r="E448" s="10" t="n"/>
      <c r="F448" s="11" t="n"/>
      <c r="G448" s="11" t="n"/>
      <c r="H448" s="11" t="n"/>
      <c r="J448" s="10" t="n"/>
      <c r="K448" s="11" t="n"/>
      <c r="L448" s="10" t="n"/>
      <c r="M448" s="11" t="n"/>
      <c r="N448" s="10" t="n"/>
      <c r="O448" s="11" t="n"/>
      <c r="P448" s="6" t="n"/>
      <c r="Q448" s="11" t="n"/>
      <c r="S448" s="8">
        <f>IF(B448="","",E448*F448)</f>
        <v/>
      </c>
      <c r="T448" s="8">
        <f>IF(OR(B448="",N(G448)=0),"",ABS(F448-G448)*E448)</f>
        <v/>
      </c>
      <c r="U448" s="8">
        <f>IF(OR(B448="",P448=""),"",IF(D448="Venda",-1,1)*((N(J448)*N(K448)+N(L448)*N(M448)+N(N448)*N(O448))-(N(J448)+N(L448)+N(N448))*F448)-N(Q448))</f>
        <v/>
      </c>
      <c r="V448" s="9">
        <f>IF(OR(B448="",P448=""),"",U448/S448)</f>
        <v/>
      </c>
      <c r="W448">
        <f>IF(OR(B448="",P448=""),"",P448-C448)</f>
        <v/>
      </c>
      <c r="X448">
        <f>IF(B448="","",IF(P448="","Aberto","Fechado"))</f>
        <v/>
      </c>
    </row>
    <row r="449">
      <c r="C449" s="6" t="n"/>
      <c r="E449" s="10" t="n"/>
      <c r="F449" s="11" t="n"/>
      <c r="G449" s="11" t="n"/>
      <c r="H449" s="11" t="n"/>
      <c r="J449" s="10" t="n"/>
      <c r="K449" s="11" t="n"/>
      <c r="L449" s="10" t="n"/>
      <c r="M449" s="11" t="n"/>
      <c r="N449" s="10" t="n"/>
      <c r="O449" s="11" t="n"/>
      <c r="P449" s="6" t="n"/>
      <c r="Q449" s="11" t="n"/>
      <c r="S449" s="8">
        <f>IF(B449="","",E449*F449)</f>
        <v/>
      </c>
      <c r="T449" s="8">
        <f>IF(OR(B449="",N(G449)=0),"",ABS(F449-G449)*E449)</f>
        <v/>
      </c>
      <c r="U449" s="8">
        <f>IF(OR(B449="",P449=""),"",IF(D449="Venda",-1,1)*((N(J449)*N(K449)+N(L449)*N(M449)+N(N449)*N(O449))-(N(J449)+N(L449)+N(N449))*F449)-N(Q449))</f>
        <v/>
      </c>
      <c r="V449" s="9">
        <f>IF(OR(B449="",P449=""),"",U449/S449)</f>
        <v/>
      </c>
      <c r="W449">
        <f>IF(OR(B449="",P449=""),"",P449-C449)</f>
        <v/>
      </c>
      <c r="X449">
        <f>IF(B449="","",IF(P449="","Aberto","Fechado"))</f>
        <v/>
      </c>
    </row>
    <row r="450">
      <c r="C450" s="6" t="n"/>
      <c r="E450" s="10" t="n"/>
      <c r="F450" s="11" t="n"/>
      <c r="G450" s="11" t="n"/>
      <c r="H450" s="11" t="n"/>
      <c r="J450" s="10" t="n"/>
      <c r="K450" s="11" t="n"/>
      <c r="L450" s="10" t="n"/>
      <c r="M450" s="11" t="n"/>
      <c r="N450" s="10" t="n"/>
      <c r="O450" s="11" t="n"/>
      <c r="P450" s="6" t="n"/>
      <c r="Q450" s="11" t="n"/>
      <c r="S450" s="8">
        <f>IF(B450="","",E450*F450)</f>
        <v/>
      </c>
      <c r="T450" s="8">
        <f>IF(OR(B450="",N(G450)=0),"",ABS(F450-G450)*E450)</f>
        <v/>
      </c>
      <c r="U450" s="8">
        <f>IF(OR(B450="",P450=""),"",IF(D450="Venda",-1,1)*((N(J450)*N(K450)+N(L450)*N(M450)+N(N450)*N(O450))-(N(J450)+N(L450)+N(N450))*F450)-N(Q450))</f>
        <v/>
      </c>
      <c r="V450" s="9">
        <f>IF(OR(B450="",P450=""),"",U450/S450)</f>
        <v/>
      </c>
      <c r="W450">
        <f>IF(OR(B450="",P450=""),"",P450-C450)</f>
        <v/>
      </c>
      <c r="X450">
        <f>IF(B450="","",IF(P450="","Aberto","Fechado"))</f>
        <v/>
      </c>
    </row>
    <row r="451">
      <c r="C451" s="6" t="n"/>
      <c r="E451" s="10" t="n"/>
      <c r="F451" s="11" t="n"/>
      <c r="G451" s="11" t="n"/>
      <c r="H451" s="11" t="n"/>
      <c r="J451" s="10" t="n"/>
      <c r="K451" s="11" t="n"/>
      <c r="L451" s="10" t="n"/>
      <c r="M451" s="11" t="n"/>
      <c r="N451" s="10" t="n"/>
      <c r="O451" s="11" t="n"/>
      <c r="P451" s="6" t="n"/>
      <c r="Q451" s="11" t="n"/>
      <c r="S451" s="8">
        <f>IF(B451="","",E451*F451)</f>
        <v/>
      </c>
      <c r="T451" s="8">
        <f>IF(OR(B451="",N(G451)=0),"",ABS(F451-G451)*E451)</f>
        <v/>
      </c>
      <c r="U451" s="8">
        <f>IF(OR(B451="",P451=""),"",IF(D451="Venda",-1,1)*((N(J451)*N(K451)+N(L451)*N(M451)+N(N451)*N(O451))-(N(J451)+N(L451)+N(N451))*F451)-N(Q451))</f>
        <v/>
      </c>
      <c r="V451" s="9">
        <f>IF(OR(B451="",P451=""),"",U451/S451)</f>
        <v/>
      </c>
      <c r="W451">
        <f>IF(OR(B451="",P451=""),"",P451-C451)</f>
        <v/>
      </c>
      <c r="X451">
        <f>IF(B451="","",IF(P451="","Aberto","Fechado"))</f>
        <v/>
      </c>
    </row>
    <row r="452">
      <c r="C452" s="6" t="n"/>
      <c r="E452" s="10" t="n"/>
      <c r="F452" s="11" t="n"/>
      <c r="G452" s="11" t="n"/>
      <c r="H452" s="11" t="n"/>
      <c r="J452" s="10" t="n"/>
      <c r="K452" s="11" t="n"/>
      <c r="L452" s="10" t="n"/>
      <c r="M452" s="11" t="n"/>
      <c r="N452" s="10" t="n"/>
      <c r="O452" s="11" t="n"/>
      <c r="P452" s="6" t="n"/>
      <c r="Q452" s="11" t="n"/>
      <c r="S452" s="8">
        <f>IF(B452="","",E452*F452)</f>
        <v/>
      </c>
      <c r="T452" s="8">
        <f>IF(OR(B452="",N(G452)=0),"",ABS(F452-G452)*E452)</f>
        <v/>
      </c>
      <c r="U452" s="8">
        <f>IF(OR(B452="",P452=""),"",IF(D452="Venda",-1,1)*((N(J452)*N(K452)+N(L452)*N(M452)+N(N452)*N(O452))-(N(J452)+N(L452)+N(N452))*F452)-N(Q452))</f>
        <v/>
      </c>
      <c r="V452" s="9">
        <f>IF(OR(B452="",P452=""),"",U452/S452)</f>
        <v/>
      </c>
      <c r="W452">
        <f>IF(OR(B452="",P452=""),"",P452-C452)</f>
        <v/>
      </c>
      <c r="X452">
        <f>IF(B452="","",IF(P452="","Aberto","Fechado"))</f>
        <v/>
      </c>
    </row>
    <row r="453">
      <c r="C453" s="6" t="n"/>
      <c r="E453" s="10" t="n"/>
      <c r="F453" s="11" t="n"/>
      <c r="G453" s="11" t="n"/>
      <c r="H453" s="11" t="n"/>
      <c r="J453" s="10" t="n"/>
      <c r="K453" s="11" t="n"/>
      <c r="L453" s="10" t="n"/>
      <c r="M453" s="11" t="n"/>
      <c r="N453" s="10" t="n"/>
      <c r="O453" s="11" t="n"/>
      <c r="P453" s="6" t="n"/>
      <c r="Q453" s="11" t="n"/>
      <c r="S453" s="8">
        <f>IF(B453="","",E453*F453)</f>
        <v/>
      </c>
      <c r="T453" s="8">
        <f>IF(OR(B453="",N(G453)=0),"",ABS(F453-G453)*E453)</f>
        <v/>
      </c>
      <c r="U453" s="8">
        <f>IF(OR(B453="",P453=""),"",IF(D453="Venda",-1,1)*((N(J453)*N(K453)+N(L453)*N(M453)+N(N453)*N(O453))-(N(J453)+N(L453)+N(N453))*F453)-N(Q453))</f>
        <v/>
      </c>
      <c r="V453" s="9">
        <f>IF(OR(B453="",P453=""),"",U453/S453)</f>
        <v/>
      </c>
      <c r="W453">
        <f>IF(OR(B453="",P453=""),"",P453-C453)</f>
        <v/>
      </c>
      <c r="X453">
        <f>IF(B453="","",IF(P453="","Aberto","Fechado"))</f>
        <v/>
      </c>
    </row>
    <row r="454">
      <c r="C454" s="6" t="n"/>
      <c r="E454" s="10" t="n"/>
      <c r="F454" s="11" t="n"/>
      <c r="G454" s="11" t="n"/>
      <c r="H454" s="11" t="n"/>
      <c r="J454" s="10" t="n"/>
      <c r="K454" s="11" t="n"/>
      <c r="L454" s="10" t="n"/>
      <c r="M454" s="11" t="n"/>
      <c r="N454" s="10" t="n"/>
      <c r="O454" s="11" t="n"/>
      <c r="P454" s="6" t="n"/>
      <c r="Q454" s="11" t="n"/>
      <c r="S454" s="8">
        <f>IF(B454="","",E454*F454)</f>
        <v/>
      </c>
      <c r="T454" s="8">
        <f>IF(OR(B454="",N(G454)=0),"",ABS(F454-G454)*E454)</f>
        <v/>
      </c>
      <c r="U454" s="8">
        <f>IF(OR(B454="",P454=""),"",IF(D454="Venda",-1,1)*((N(J454)*N(K454)+N(L454)*N(M454)+N(N454)*N(O454))-(N(J454)+N(L454)+N(N454))*F454)-N(Q454))</f>
        <v/>
      </c>
      <c r="V454" s="9">
        <f>IF(OR(B454="",P454=""),"",U454/S454)</f>
        <v/>
      </c>
      <c r="W454">
        <f>IF(OR(B454="",P454=""),"",P454-C454)</f>
        <v/>
      </c>
      <c r="X454">
        <f>IF(B454="","",IF(P454="","Aberto","Fechado"))</f>
        <v/>
      </c>
    </row>
    <row r="455">
      <c r="C455" s="6" t="n"/>
      <c r="E455" s="10" t="n"/>
      <c r="F455" s="11" t="n"/>
      <c r="G455" s="11" t="n"/>
      <c r="H455" s="11" t="n"/>
      <c r="J455" s="10" t="n"/>
      <c r="K455" s="11" t="n"/>
      <c r="L455" s="10" t="n"/>
      <c r="M455" s="11" t="n"/>
      <c r="N455" s="10" t="n"/>
      <c r="O455" s="11" t="n"/>
      <c r="P455" s="6" t="n"/>
      <c r="Q455" s="11" t="n"/>
      <c r="S455" s="8">
        <f>IF(B455="","",E455*F455)</f>
        <v/>
      </c>
      <c r="T455" s="8">
        <f>IF(OR(B455="",N(G455)=0),"",ABS(F455-G455)*E455)</f>
        <v/>
      </c>
      <c r="U455" s="8">
        <f>IF(OR(B455="",P455=""),"",IF(D455="Venda",-1,1)*((N(J455)*N(K455)+N(L455)*N(M455)+N(N455)*N(O455))-(N(J455)+N(L455)+N(N455))*F455)-N(Q455))</f>
        <v/>
      </c>
      <c r="V455" s="9">
        <f>IF(OR(B455="",P455=""),"",U455/S455)</f>
        <v/>
      </c>
      <c r="W455">
        <f>IF(OR(B455="",P455=""),"",P455-C455)</f>
        <v/>
      </c>
      <c r="X455">
        <f>IF(B455="","",IF(P455="","Aberto","Fechado"))</f>
        <v/>
      </c>
    </row>
    <row r="456">
      <c r="C456" s="6" t="n"/>
      <c r="E456" s="10" t="n"/>
      <c r="F456" s="11" t="n"/>
      <c r="G456" s="11" t="n"/>
      <c r="H456" s="11" t="n"/>
      <c r="J456" s="10" t="n"/>
      <c r="K456" s="11" t="n"/>
      <c r="L456" s="10" t="n"/>
      <c r="M456" s="11" t="n"/>
      <c r="N456" s="10" t="n"/>
      <c r="O456" s="11" t="n"/>
      <c r="P456" s="6" t="n"/>
      <c r="Q456" s="11" t="n"/>
      <c r="S456" s="8">
        <f>IF(B456="","",E456*F456)</f>
        <v/>
      </c>
      <c r="T456" s="8">
        <f>IF(OR(B456="",N(G456)=0),"",ABS(F456-G456)*E456)</f>
        <v/>
      </c>
      <c r="U456" s="8">
        <f>IF(OR(B456="",P456=""),"",IF(D456="Venda",-1,1)*((N(J456)*N(K456)+N(L456)*N(M456)+N(N456)*N(O456))-(N(J456)+N(L456)+N(N456))*F456)-N(Q456))</f>
        <v/>
      </c>
      <c r="V456" s="9">
        <f>IF(OR(B456="",P456=""),"",U456/S456)</f>
        <v/>
      </c>
      <c r="W456">
        <f>IF(OR(B456="",P456=""),"",P456-C456)</f>
        <v/>
      </c>
      <c r="X456">
        <f>IF(B456="","",IF(P456="","Aberto","Fechado"))</f>
        <v/>
      </c>
    </row>
    <row r="457">
      <c r="C457" s="6" t="n"/>
      <c r="E457" s="10" t="n"/>
      <c r="F457" s="11" t="n"/>
      <c r="G457" s="11" t="n"/>
      <c r="H457" s="11" t="n"/>
      <c r="J457" s="10" t="n"/>
      <c r="K457" s="11" t="n"/>
      <c r="L457" s="10" t="n"/>
      <c r="M457" s="11" t="n"/>
      <c r="N457" s="10" t="n"/>
      <c r="O457" s="11" t="n"/>
      <c r="P457" s="6" t="n"/>
      <c r="Q457" s="11" t="n"/>
      <c r="S457" s="8">
        <f>IF(B457="","",E457*F457)</f>
        <v/>
      </c>
      <c r="T457" s="8">
        <f>IF(OR(B457="",N(G457)=0),"",ABS(F457-G457)*E457)</f>
        <v/>
      </c>
      <c r="U457" s="8">
        <f>IF(OR(B457="",P457=""),"",IF(D457="Venda",-1,1)*((N(J457)*N(K457)+N(L457)*N(M457)+N(N457)*N(O457))-(N(J457)+N(L457)+N(N457))*F457)-N(Q457))</f>
        <v/>
      </c>
      <c r="V457" s="9">
        <f>IF(OR(B457="",P457=""),"",U457/S457)</f>
        <v/>
      </c>
      <c r="W457">
        <f>IF(OR(B457="",P457=""),"",P457-C457)</f>
        <v/>
      </c>
      <c r="X457">
        <f>IF(B457="","",IF(P457="","Aberto","Fechado"))</f>
        <v/>
      </c>
    </row>
    <row r="458">
      <c r="C458" s="6" t="n"/>
      <c r="E458" s="10" t="n"/>
      <c r="F458" s="11" t="n"/>
      <c r="G458" s="11" t="n"/>
      <c r="H458" s="11" t="n"/>
      <c r="J458" s="10" t="n"/>
      <c r="K458" s="11" t="n"/>
      <c r="L458" s="10" t="n"/>
      <c r="M458" s="11" t="n"/>
      <c r="N458" s="10" t="n"/>
      <c r="O458" s="11" t="n"/>
      <c r="P458" s="6" t="n"/>
      <c r="Q458" s="11" t="n"/>
      <c r="S458" s="8">
        <f>IF(B458="","",E458*F458)</f>
        <v/>
      </c>
      <c r="T458" s="8">
        <f>IF(OR(B458="",N(G458)=0),"",ABS(F458-G458)*E458)</f>
        <v/>
      </c>
      <c r="U458" s="8">
        <f>IF(OR(B458="",P458=""),"",IF(D458="Venda",-1,1)*((N(J458)*N(K458)+N(L458)*N(M458)+N(N458)*N(O458))-(N(J458)+N(L458)+N(N458))*F458)-N(Q458))</f>
        <v/>
      </c>
      <c r="V458" s="9">
        <f>IF(OR(B458="",P458=""),"",U458/S458)</f>
        <v/>
      </c>
      <c r="W458">
        <f>IF(OR(B458="",P458=""),"",P458-C458)</f>
        <v/>
      </c>
      <c r="X458">
        <f>IF(B458="","",IF(P458="","Aberto","Fechado"))</f>
        <v/>
      </c>
    </row>
    <row r="459">
      <c r="C459" s="6" t="n"/>
      <c r="E459" s="10" t="n"/>
      <c r="F459" s="11" t="n"/>
      <c r="G459" s="11" t="n"/>
      <c r="H459" s="11" t="n"/>
      <c r="J459" s="10" t="n"/>
      <c r="K459" s="11" t="n"/>
      <c r="L459" s="10" t="n"/>
      <c r="M459" s="11" t="n"/>
      <c r="N459" s="10" t="n"/>
      <c r="O459" s="11" t="n"/>
      <c r="P459" s="6" t="n"/>
      <c r="Q459" s="11" t="n"/>
      <c r="S459" s="8">
        <f>IF(B459="","",E459*F459)</f>
        <v/>
      </c>
      <c r="T459" s="8">
        <f>IF(OR(B459="",N(G459)=0),"",ABS(F459-G459)*E459)</f>
        <v/>
      </c>
      <c r="U459" s="8">
        <f>IF(OR(B459="",P459=""),"",IF(D459="Venda",-1,1)*((N(J459)*N(K459)+N(L459)*N(M459)+N(N459)*N(O459))-(N(J459)+N(L459)+N(N459))*F459)-N(Q459))</f>
        <v/>
      </c>
      <c r="V459" s="9">
        <f>IF(OR(B459="",P459=""),"",U459/S459)</f>
        <v/>
      </c>
      <c r="W459">
        <f>IF(OR(B459="",P459=""),"",P459-C459)</f>
        <v/>
      </c>
      <c r="X459">
        <f>IF(B459="","",IF(P459="","Aberto","Fechado"))</f>
        <v/>
      </c>
    </row>
    <row r="460">
      <c r="C460" s="6" t="n"/>
      <c r="E460" s="10" t="n"/>
      <c r="F460" s="11" t="n"/>
      <c r="G460" s="11" t="n"/>
      <c r="H460" s="11" t="n"/>
      <c r="J460" s="10" t="n"/>
      <c r="K460" s="11" t="n"/>
      <c r="L460" s="10" t="n"/>
      <c r="M460" s="11" t="n"/>
      <c r="N460" s="10" t="n"/>
      <c r="O460" s="11" t="n"/>
      <c r="P460" s="6" t="n"/>
      <c r="Q460" s="11" t="n"/>
      <c r="S460" s="8">
        <f>IF(B460="","",E460*F460)</f>
        <v/>
      </c>
      <c r="T460" s="8">
        <f>IF(OR(B460="",N(G460)=0),"",ABS(F460-G460)*E460)</f>
        <v/>
      </c>
      <c r="U460" s="8">
        <f>IF(OR(B460="",P460=""),"",IF(D460="Venda",-1,1)*((N(J460)*N(K460)+N(L460)*N(M460)+N(N460)*N(O460))-(N(J460)+N(L460)+N(N460))*F460)-N(Q460))</f>
        <v/>
      </c>
      <c r="V460" s="9">
        <f>IF(OR(B460="",P460=""),"",U460/S460)</f>
        <v/>
      </c>
      <c r="W460">
        <f>IF(OR(B460="",P460=""),"",P460-C460)</f>
        <v/>
      </c>
      <c r="X460">
        <f>IF(B460="","",IF(P460="","Aberto","Fechado"))</f>
        <v/>
      </c>
    </row>
    <row r="461">
      <c r="C461" s="6" t="n"/>
      <c r="E461" s="10" t="n"/>
      <c r="F461" s="11" t="n"/>
      <c r="G461" s="11" t="n"/>
      <c r="H461" s="11" t="n"/>
      <c r="J461" s="10" t="n"/>
      <c r="K461" s="11" t="n"/>
      <c r="L461" s="10" t="n"/>
      <c r="M461" s="11" t="n"/>
      <c r="N461" s="10" t="n"/>
      <c r="O461" s="11" t="n"/>
      <c r="P461" s="6" t="n"/>
      <c r="Q461" s="11" t="n"/>
      <c r="S461" s="8">
        <f>IF(B461="","",E461*F461)</f>
        <v/>
      </c>
      <c r="T461" s="8">
        <f>IF(OR(B461="",N(G461)=0),"",ABS(F461-G461)*E461)</f>
        <v/>
      </c>
      <c r="U461" s="8">
        <f>IF(OR(B461="",P461=""),"",IF(D461="Venda",-1,1)*((N(J461)*N(K461)+N(L461)*N(M461)+N(N461)*N(O461))-(N(J461)+N(L461)+N(N461))*F461)-N(Q461))</f>
        <v/>
      </c>
      <c r="V461" s="9">
        <f>IF(OR(B461="",P461=""),"",U461/S461)</f>
        <v/>
      </c>
      <c r="W461">
        <f>IF(OR(B461="",P461=""),"",P461-C461)</f>
        <v/>
      </c>
      <c r="X461">
        <f>IF(B461="","",IF(P461="","Aberto","Fechado"))</f>
        <v/>
      </c>
    </row>
    <row r="462">
      <c r="C462" s="6" t="n"/>
      <c r="E462" s="10" t="n"/>
      <c r="F462" s="11" t="n"/>
      <c r="G462" s="11" t="n"/>
      <c r="H462" s="11" t="n"/>
      <c r="J462" s="10" t="n"/>
      <c r="K462" s="11" t="n"/>
      <c r="L462" s="10" t="n"/>
      <c r="M462" s="11" t="n"/>
      <c r="N462" s="10" t="n"/>
      <c r="O462" s="11" t="n"/>
      <c r="P462" s="6" t="n"/>
      <c r="Q462" s="11" t="n"/>
      <c r="S462" s="8">
        <f>IF(B462="","",E462*F462)</f>
        <v/>
      </c>
      <c r="T462" s="8">
        <f>IF(OR(B462="",N(G462)=0),"",ABS(F462-G462)*E462)</f>
        <v/>
      </c>
      <c r="U462" s="8">
        <f>IF(OR(B462="",P462=""),"",IF(D462="Venda",-1,1)*((N(J462)*N(K462)+N(L462)*N(M462)+N(N462)*N(O462))-(N(J462)+N(L462)+N(N462))*F462)-N(Q462))</f>
        <v/>
      </c>
      <c r="V462" s="9">
        <f>IF(OR(B462="",P462=""),"",U462/S462)</f>
        <v/>
      </c>
      <c r="W462">
        <f>IF(OR(B462="",P462=""),"",P462-C462)</f>
        <v/>
      </c>
      <c r="X462">
        <f>IF(B462="","",IF(P462="","Aberto","Fechado"))</f>
        <v/>
      </c>
    </row>
    <row r="463">
      <c r="C463" s="6" t="n"/>
      <c r="E463" s="10" t="n"/>
      <c r="F463" s="11" t="n"/>
      <c r="G463" s="11" t="n"/>
      <c r="H463" s="11" t="n"/>
      <c r="J463" s="10" t="n"/>
      <c r="K463" s="11" t="n"/>
      <c r="L463" s="10" t="n"/>
      <c r="M463" s="11" t="n"/>
      <c r="N463" s="10" t="n"/>
      <c r="O463" s="11" t="n"/>
      <c r="P463" s="6" t="n"/>
      <c r="Q463" s="11" t="n"/>
      <c r="S463" s="8">
        <f>IF(B463="","",E463*F463)</f>
        <v/>
      </c>
      <c r="T463" s="8">
        <f>IF(OR(B463="",N(G463)=0),"",ABS(F463-G463)*E463)</f>
        <v/>
      </c>
      <c r="U463" s="8">
        <f>IF(OR(B463="",P463=""),"",IF(D463="Venda",-1,1)*((N(J463)*N(K463)+N(L463)*N(M463)+N(N463)*N(O463))-(N(J463)+N(L463)+N(N463))*F463)-N(Q463))</f>
        <v/>
      </c>
      <c r="V463" s="9">
        <f>IF(OR(B463="",P463=""),"",U463/S463)</f>
        <v/>
      </c>
      <c r="W463">
        <f>IF(OR(B463="",P463=""),"",P463-C463)</f>
        <v/>
      </c>
      <c r="X463">
        <f>IF(B463="","",IF(P463="","Aberto","Fechado"))</f>
        <v/>
      </c>
    </row>
    <row r="464">
      <c r="C464" s="6" t="n"/>
      <c r="E464" s="10" t="n"/>
      <c r="F464" s="11" t="n"/>
      <c r="G464" s="11" t="n"/>
      <c r="H464" s="11" t="n"/>
      <c r="J464" s="10" t="n"/>
      <c r="K464" s="11" t="n"/>
      <c r="L464" s="10" t="n"/>
      <c r="M464" s="11" t="n"/>
      <c r="N464" s="10" t="n"/>
      <c r="O464" s="11" t="n"/>
      <c r="P464" s="6" t="n"/>
      <c r="Q464" s="11" t="n"/>
      <c r="S464" s="8">
        <f>IF(B464="","",E464*F464)</f>
        <v/>
      </c>
      <c r="T464" s="8">
        <f>IF(OR(B464="",N(G464)=0),"",ABS(F464-G464)*E464)</f>
        <v/>
      </c>
      <c r="U464" s="8">
        <f>IF(OR(B464="",P464=""),"",IF(D464="Venda",-1,1)*((N(J464)*N(K464)+N(L464)*N(M464)+N(N464)*N(O464))-(N(J464)+N(L464)+N(N464))*F464)-N(Q464))</f>
        <v/>
      </c>
      <c r="V464" s="9">
        <f>IF(OR(B464="",P464=""),"",U464/S464)</f>
        <v/>
      </c>
      <c r="W464">
        <f>IF(OR(B464="",P464=""),"",P464-C464)</f>
        <v/>
      </c>
      <c r="X464">
        <f>IF(B464="","",IF(P464="","Aberto","Fechado"))</f>
        <v/>
      </c>
    </row>
    <row r="465">
      <c r="C465" s="6" t="n"/>
      <c r="E465" s="10" t="n"/>
      <c r="F465" s="11" t="n"/>
      <c r="G465" s="11" t="n"/>
      <c r="H465" s="11" t="n"/>
      <c r="J465" s="10" t="n"/>
      <c r="K465" s="11" t="n"/>
      <c r="L465" s="10" t="n"/>
      <c r="M465" s="11" t="n"/>
      <c r="N465" s="10" t="n"/>
      <c r="O465" s="11" t="n"/>
      <c r="P465" s="6" t="n"/>
      <c r="Q465" s="11" t="n"/>
      <c r="S465" s="8">
        <f>IF(B465="","",E465*F465)</f>
        <v/>
      </c>
      <c r="T465" s="8">
        <f>IF(OR(B465="",N(G465)=0),"",ABS(F465-G465)*E465)</f>
        <v/>
      </c>
      <c r="U465" s="8">
        <f>IF(OR(B465="",P465=""),"",IF(D465="Venda",-1,1)*((N(J465)*N(K465)+N(L465)*N(M465)+N(N465)*N(O465))-(N(J465)+N(L465)+N(N465))*F465)-N(Q465))</f>
        <v/>
      </c>
      <c r="V465" s="9">
        <f>IF(OR(B465="",P465=""),"",U465/S465)</f>
        <v/>
      </c>
      <c r="W465">
        <f>IF(OR(B465="",P465=""),"",P465-C465)</f>
        <v/>
      </c>
      <c r="X465">
        <f>IF(B465="","",IF(P465="","Aberto","Fechado"))</f>
        <v/>
      </c>
    </row>
    <row r="466">
      <c r="C466" s="6" t="n"/>
      <c r="E466" s="10" t="n"/>
      <c r="F466" s="11" t="n"/>
      <c r="G466" s="11" t="n"/>
      <c r="H466" s="11" t="n"/>
      <c r="J466" s="10" t="n"/>
      <c r="K466" s="11" t="n"/>
      <c r="L466" s="10" t="n"/>
      <c r="M466" s="11" t="n"/>
      <c r="N466" s="10" t="n"/>
      <c r="O466" s="11" t="n"/>
      <c r="P466" s="6" t="n"/>
      <c r="Q466" s="11" t="n"/>
      <c r="S466" s="8">
        <f>IF(B466="","",E466*F466)</f>
        <v/>
      </c>
      <c r="T466" s="8">
        <f>IF(OR(B466="",N(G466)=0),"",ABS(F466-G466)*E466)</f>
        <v/>
      </c>
      <c r="U466" s="8">
        <f>IF(OR(B466="",P466=""),"",IF(D466="Venda",-1,1)*((N(J466)*N(K466)+N(L466)*N(M466)+N(N466)*N(O466))-(N(J466)+N(L466)+N(N466))*F466)-N(Q466))</f>
        <v/>
      </c>
      <c r="V466" s="9">
        <f>IF(OR(B466="",P466=""),"",U466/S466)</f>
        <v/>
      </c>
      <c r="W466">
        <f>IF(OR(B466="",P466=""),"",P466-C466)</f>
        <v/>
      </c>
      <c r="X466">
        <f>IF(B466="","",IF(P466="","Aberto","Fechado"))</f>
        <v/>
      </c>
    </row>
    <row r="467">
      <c r="C467" s="6" t="n"/>
      <c r="E467" s="10" t="n"/>
      <c r="F467" s="11" t="n"/>
      <c r="G467" s="11" t="n"/>
      <c r="H467" s="11" t="n"/>
      <c r="J467" s="10" t="n"/>
      <c r="K467" s="11" t="n"/>
      <c r="L467" s="10" t="n"/>
      <c r="M467" s="11" t="n"/>
      <c r="N467" s="10" t="n"/>
      <c r="O467" s="11" t="n"/>
      <c r="P467" s="6" t="n"/>
      <c r="Q467" s="11" t="n"/>
      <c r="S467" s="8">
        <f>IF(B467="","",E467*F467)</f>
        <v/>
      </c>
      <c r="T467" s="8">
        <f>IF(OR(B467="",N(G467)=0),"",ABS(F467-G467)*E467)</f>
        <v/>
      </c>
      <c r="U467" s="8">
        <f>IF(OR(B467="",P467=""),"",IF(D467="Venda",-1,1)*((N(J467)*N(K467)+N(L467)*N(M467)+N(N467)*N(O467))-(N(J467)+N(L467)+N(N467))*F467)-N(Q467))</f>
        <v/>
      </c>
      <c r="V467" s="9">
        <f>IF(OR(B467="",P467=""),"",U467/S467)</f>
        <v/>
      </c>
      <c r="W467">
        <f>IF(OR(B467="",P467=""),"",P467-C467)</f>
        <v/>
      </c>
      <c r="X467">
        <f>IF(B467="","",IF(P467="","Aberto","Fechado"))</f>
        <v/>
      </c>
    </row>
    <row r="468">
      <c r="C468" s="6" t="n"/>
      <c r="E468" s="10" t="n"/>
      <c r="F468" s="11" t="n"/>
      <c r="G468" s="11" t="n"/>
      <c r="H468" s="11" t="n"/>
      <c r="J468" s="10" t="n"/>
      <c r="K468" s="11" t="n"/>
      <c r="L468" s="10" t="n"/>
      <c r="M468" s="11" t="n"/>
      <c r="N468" s="10" t="n"/>
      <c r="O468" s="11" t="n"/>
      <c r="P468" s="6" t="n"/>
      <c r="Q468" s="11" t="n"/>
      <c r="S468" s="8">
        <f>IF(B468="","",E468*F468)</f>
        <v/>
      </c>
      <c r="T468" s="8">
        <f>IF(OR(B468="",N(G468)=0),"",ABS(F468-G468)*E468)</f>
        <v/>
      </c>
      <c r="U468" s="8">
        <f>IF(OR(B468="",P468=""),"",IF(D468="Venda",-1,1)*((N(J468)*N(K468)+N(L468)*N(M468)+N(N468)*N(O468))-(N(J468)+N(L468)+N(N468))*F468)-N(Q468))</f>
        <v/>
      </c>
      <c r="V468" s="9">
        <f>IF(OR(B468="",P468=""),"",U468/S468)</f>
        <v/>
      </c>
      <c r="W468">
        <f>IF(OR(B468="",P468=""),"",P468-C468)</f>
        <v/>
      </c>
      <c r="X468">
        <f>IF(B468="","",IF(P468="","Aberto","Fechado"))</f>
        <v/>
      </c>
    </row>
    <row r="469">
      <c r="C469" s="6" t="n"/>
      <c r="E469" s="10" t="n"/>
      <c r="F469" s="11" t="n"/>
      <c r="G469" s="11" t="n"/>
      <c r="H469" s="11" t="n"/>
      <c r="J469" s="10" t="n"/>
      <c r="K469" s="11" t="n"/>
      <c r="L469" s="10" t="n"/>
      <c r="M469" s="11" t="n"/>
      <c r="N469" s="10" t="n"/>
      <c r="O469" s="11" t="n"/>
      <c r="P469" s="6" t="n"/>
      <c r="Q469" s="11" t="n"/>
      <c r="S469" s="8">
        <f>IF(B469="","",E469*F469)</f>
        <v/>
      </c>
      <c r="T469" s="8">
        <f>IF(OR(B469="",N(G469)=0),"",ABS(F469-G469)*E469)</f>
        <v/>
      </c>
      <c r="U469" s="8">
        <f>IF(OR(B469="",P469=""),"",IF(D469="Venda",-1,1)*((N(J469)*N(K469)+N(L469)*N(M469)+N(N469)*N(O469))-(N(J469)+N(L469)+N(N469))*F469)-N(Q469))</f>
        <v/>
      </c>
      <c r="V469" s="9">
        <f>IF(OR(B469="",P469=""),"",U469/S469)</f>
        <v/>
      </c>
      <c r="W469">
        <f>IF(OR(B469="",P469=""),"",P469-C469)</f>
        <v/>
      </c>
      <c r="X469">
        <f>IF(B469="","",IF(P469="","Aberto","Fechado"))</f>
        <v/>
      </c>
    </row>
    <row r="470">
      <c r="C470" s="6" t="n"/>
      <c r="E470" s="10" t="n"/>
      <c r="F470" s="11" t="n"/>
      <c r="G470" s="11" t="n"/>
      <c r="H470" s="11" t="n"/>
      <c r="J470" s="10" t="n"/>
      <c r="K470" s="11" t="n"/>
      <c r="L470" s="10" t="n"/>
      <c r="M470" s="11" t="n"/>
      <c r="N470" s="10" t="n"/>
      <c r="O470" s="11" t="n"/>
      <c r="P470" s="6" t="n"/>
      <c r="Q470" s="11" t="n"/>
      <c r="S470" s="8">
        <f>IF(B470="","",E470*F470)</f>
        <v/>
      </c>
      <c r="T470" s="8">
        <f>IF(OR(B470="",N(G470)=0),"",ABS(F470-G470)*E470)</f>
        <v/>
      </c>
      <c r="U470" s="8">
        <f>IF(OR(B470="",P470=""),"",IF(D470="Venda",-1,1)*((N(J470)*N(K470)+N(L470)*N(M470)+N(N470)*N(O470))-(N(J470)+N(L470)+N(N470))*F470)-N(Q470))</f>
        <v/>
      </c>
      <c r="V470" s="9">
        <f>IF(OR(B470="",P470=""),"",U470/S470)</f>
        <v/>
      </c>
      <c r="W470">
        <f>IF(OR(B470="",P470=""),"",P470-C470)</f>
        <v/>
      </c>
      <c r="X470">
        <f>IF(B470="","",IF(P470="","Aberto","Fechado"))</f>
        <v/>
      </c>
    </row>
    <row r="471">
      <c r="C471" s="6" t="n"/>
      <c r="E471" s="10" t="n"/>
      <c r="F471" s="11" t="n"/>
      <c r="G471" s="11" t="n"/>
      <c r="H471" s="11" t="n"/>
      <c r="J471" s="10" t="n"/>
      <c r="K471" s="11" t="n"/>
      <c r="L471" s="10" t="n"/>
      <c r="M471" s="11" t="n"/>
      <c r="N471" s="10" t="n"/>
      <c r="O471" s="11" t="n"/>
      <c r="P471" s="6" t="n"/>
      <c r="Q471" s="11" t="n"/>
      <c r="S471" s="8">
        <f>IF(B471="","",E471*F471)</f>
        <v/>
      </c>
      <c r="T471" s="8">
        <f>IF(OR(B471="",N(G471)=0),"",ABS(F471-G471)*E471)</f>
        <v/>
      </c>
      <c r="U471" s="8">
        <f>IF(OR(B471="",P471=""),"",IF(D471="Venda",-1,1)*((N(J471)*N(K471)+N(L471)*N(M471)+N(N471)*N(O471))-(N(J471)+N(L471)+N(N471))*F471)-N(Q471))</f>
        <v/>
      </c>
      <c r="V471" s="9">
        <f>IF(OR(B471="",P471=""),"",U471/S471)</f>
        <v/>
      </c>
      <c r="W471">
        <f>IF(OR(B471="",P471=""),"",P471-C471)</f>
        <v/>
      </c>
      <c r="X471">
        <f>IF(B471="","",IF(P471="","Aberto","Fechado"))</f>
        <v/>
      </c>
    </row>
    <row r="472">
      <c r="C472" s="6" t="n"/>
      <c r="E472" s="10" t="n"/>
      <c r="F472" s="11" t="n"/>
      <c r="G472" s="11" t="n"/>
      <c r="H472" s="11" t="n"/>
      <c r="J472" s="10" t="n"/>
      <c r="K472" s="11" t="n"/>
      <c r="L472" s="10" t="n"/>
      <c r="M472" s="11" t="n"/>
      <c r="N472" s="10" t="n"/>
      <c r="O472" s="11" t="n"/>
      <c r="P472" s="6" t="n"/>
      <c r="Q472" s="11" t="n"/>
      <c r="S472" s="8">
        <f>IF(B472="","",E472*F472)</f>
        <v/>
      </c>
      <c r="T472" s="8">
        <f>IF(OR(B472="",N(G472)=0),"",ABS(F472-G472)*E472)</f>
        <v/>
      </c>
      <c r="U472" s="8">
        <f>IF(OR(B472="",P472=""),"",IF(D472="Venda",-1,1)*((N(J472)*N(K472)+N(L472)*N(M472)+N(N472)*N(O472))-(N(J472)+N(L472)+N(N472))*F472)-N(Q472))</f>
        <v/>
      </c>
      <c r="V472" s="9">
        <f>IF(OR(B472="",P472=""),"",U472/S472)</f>
        <v/>
      </c>
      <c r="W472">
        <f>IF(OR(B472="",P472=""),"",P472-C472)</f>
        <v/>
      </c>
      <c r="X472">
        <f>IF(B472="","",IF(P472="","Aberto","Fechado"))</f>
        <v/>
      </c>
    </row>
    <row r="473">
      <c r="C473" s="6" t="n"/>
      <c r="E473" s="10" t="n"/>
      <c r="F473" s="11" t="n"/>
      <c r="G473" s="11" t="n"/>
      <c r="H473" s="11" t="n"/>
      <c r="J473" s="10" t="n"/>
      <c r="K473" s="11" t="n"/>
      <c r="L473" s="10" t="n"/>
      <c r="M473" s="11" t="n"/>
      <c r="N473" s="10" t="n"/>
      <c r="O473" s="11" t="n"/>
      <c r="P473" s="6" t="n"/>
      <c r="Q473" s="11" t="n"/>
      <c r="S473" s="8">
        <f>IF(B473="","",E473*F473)</f>
        <v/>
      </c>
      <c r="T473" s="8">
        <f>IF(OR(B473="",N(G473)=0),"",ABS(F473-G473)*E473)</f>
        <v/>
      </c>
      <c r="U473" s="8">
        <f>IF(OR(B473="",P473=""),"",IF(D473="Venda",-1,1)*((N(J473)*N(K473)+N(L473)*N(M473)+N(N473)*N(O473))-(N(J473)+N(L473)+N(N473))*F473)-N(Q473))</f>
        <v/>
      </c>
      <c r="V473" s="9">
        <f>IF(OR(B473="",P473=""),"",U473/S473)</f>
        <v/>
      </c>
      <c r="W473">
        <f>IF(OR(B473="",P473=""),"",P473-C473)</f>
        <v/>
      </c>
      <c r="X473">
        <f>IF(B473="","",IF(P473="","Aberto","Fechado"))</f>
        <v/>
      </c>
    </row>
    <row r="474">
      <c r="C474" s="6" t="n"/>
      <c r="E474" s="10" t="n"/>
      <c r="F474" s="11" t="n"/>
      <c r="G474" s="11" t="n"/>
      <c r="H474" s="11" t="n"/>
      <c r="J474" s="10" t="n"/>
      <c r="K474" s="11" t="n"/>
      <c r="L474" s="10" t="n"/>
      <c r="M474" s="11" t="n"/>
      <c r="N474" s="10" t="n"/>
      <c r="O474" s="11" t="n"/>
      <c r="P474" s="6" t="n"/>
      <c r="Q474" s="11" t="n"/>
      <c r="S474" s="8">
        <f>IF(B474="","",E474*F474)</f>
        <v/>
      </c>
      <c r="T474" s="8">
        <f>IF(OR(B474="",N(G474)=0),"",ABS(F474-G474)*E474)</f>
        <v/>
      </c>
      <c r="U474" s="8">
        <f>IF(OR(B474="",P474=""),"",IF(D474="Venda",-1,1)*((N(J474)*N(K474)+N(L474)*N(M474)+N(N474)*N(O474))-(N(J474)+N(L474)+N(N474))*F474)-N(Q474))</f>
        <v/>
      </c>
      <c r="V474" s="9">
        <f>IF(OR(B474="",P474=""),"",U474/S474)</f>
        <v/>
      </c>
      <c r="W474">
        <f>IF(OR(B474="",P474=""),"",P474-C474)</f>
        <v/>
      </c>
      <c r="X474">
        <f>IF(B474="","",IF(P474="","Aberto","Fechado"))</f>
        <v/>
      </c>
    </row>
    <row r="475">
      <c r="C475" s="6" t="n"/>
      <c r="E475" s="10" t="n"/>
      <c r="F475" s="11" t="n"/>
      <c r="G475" s="11" t="n"/>
      <c r="H475" s="11" t="n"/>
      <c r="J475" s="10" t="n"/>
      <c r="K475" s="11" t="n"/>
      <c r="L475" s="10" t="n"/>
      <c r="M475" s="11" t="n"/>
      <c r="N475" s="10" t="n"/>
      <c r="O475" s="11" t="n"/>
      <c r="P475" s="6" t="n"/>
      <c r="Q475" s="11" t="n"/>
      <c r="S475" s="8">
        <f>IF(B475="","",E475*F475)</f>
        <v/>
      </c>
      <c r="T475" s="8">
        <f>IF(OR(B475="",N(G475)=0),"",ABS(F475-G475)*E475)</f>
        <v/>
      </c>
      <c r="U475" s="8">
        <f>IF(OR(B475="",P475=""),"",IF(D475="Venda",-1,1)*((N(J475)*N(K475)+N(L475)*N(M475)+N(N475)*N(O475))-(N(J475)+N(L475)+N(N475))*F475)-N(Q475))</f>
        <v/>
      </c>
      <c r="V475" s="9">
        <f>IF(OR(B475="",P475=""),"",U475/S475)</f>
        <v/>
      </c>
      <c r="W475">
        <f>IF(OR(B475="",P475=""),"",P475-C475)</f>
        <v/>
      </c>
      <c r="X475">
        <f>IF(B475="","",IF(P475="","Aberto","Fechado"))</f>
        <v/>
      </c>
    </row>
    <row r="476">
      <c r="C476" s="6" t="n"/>
      <c r="E476" s="10" t="n"/>
      <c r="F476" s="11" t="n"/>
      <c r="G476" s="11" t="n"/>
      <c r="H476" s="11" t="n"/>
      <c r="J476" s="10" t="n"/>
      <c r="K476" s="11" t="n"/>
      <c r="L476" s="10" t="n"/>
      <c r="M476" s="11" t="n"/>
      <c r="N476" s="10" t="n"/>
      <c r="O476" s="11" t="n"/>
      <c r="P476" s="6" t="n"/>
      <c r="Q476" s="11" t="n"/>
      <c r="S476" s="8">
        <f>IF(B476="","",E476*F476)</f>
        <v/>
      </c>
      <c r="T476" s="8">
        <f>IF(OR(B476="",N(G476)=0),"",ABS(F476-G476)*E476)</f>
        <v/>
      </c>
      <c r="U476" s="8">
        <f>IF(OR(B476="",P476=""),"",IF(D476="Venda",-1,1)*((N(J476)*N(K476)+N(L476)*N(M476)+N(N476)*N(O476))-(N(J476)+N(L476)+N(N476))*F476)-N(Q476))</f>
        <v/>
      </c>
      <c r="V476" s="9">
        <f>IF(OR(B476="",P476=""),"",U476/S476)</f>
        <v/>
      </c>
      <c r="W476">
        <f>IF(OR(B476="",P476=""),"",P476-C476)</f>
        <v/>
      </c>
      <c r="X476">
        <f>IF(B476="","",IF(P476="","Aberto","Fechado"))</f>
        <v/>
      </c>
    </row>
    <row r="477">
      <c r="C477" s="6" t="n"/>
      <c r="E477" s="10" t="n"/>
      <c r="F477" s="11" t="n"/>
      <c r="G477" s="11" t="n"/>
      <c r="H477" s="11" t="n"/>
      <c r="J477" s="10" t="n"/>
      <c r="K477" s="11" t="n"/>
      <c r="L477" s="10" t="n"/>
      <c r="M477" s="11" t="n"/>
      <c r="N477" s="10" t="n"/>
      <c r="O477" s="11" t="n"/>
      <c r="P477" s="6" t="n"/>
      <c r="Q477" s="11" t="n"/>
      <c r="S477" s="8">
        <f>IF(B477="","",E477*F477)</f>
        <v/>
      </c>
      <c r="T477" s="8">
        <f>IF(OR(B477="",N(G477)=0),"",ABS(F477-G477)*E477)</f>
        <v/>
      </c>
      <c r="U477" s="8">
        <f>IF(OR(B477="",P477=""),"",IF(D477="Venda",-1,1)*((N(J477)*N(K477)+N(L477)*N(M477)+N(N477)*N(O477))-(N(J477)+N(L477)+N(N477))*F477)-N(Q477))</f>
        <v/>
      </c>
      <c r="V477" s="9">
        <f>IF(OR(B477="",P477=""),"",U477/S477)</f>
        <v/>
      </c>
      <c r="W477">
        <f>IF(OR(B477="",P477=""),"",P477-C477)</f>
        <v/>
      </c>
      <c r="X477">
        <f>IF(B477="","",IF(P477="","Aberto","Fechado"))</f>
        <v/>
      </c>
    </row>
    <row r="478">
      <c r="C478" s="6" t="n"/>
      <c r="E478" s="10" t="n"/>
      <c r="F478" s="11" t="n"/>
      <c r="G478" s="11" t="n"/>
      <c r="H478" s="11" t="n"/>
      <c r="J478" s="10" t="n"/>
      <c r="K478" s="11" t="n"/>
      <c r="L478" s="10" t="n"/>
      <c r="M478" s="11" t="n"/>
      <c r="N478" s="10" t="n"/>
      <c r="O478" s="11" t="n"/>
      <c r="P478" s="6" t="n"/>
      <c r="Q478" s="11" t="n"/>
      <c r="S478" s="8">
        <f>IF(B478="","",E478*F478)</f>
        <v/>
      </c>
      <c r="T478" s="8">
        <f>IF(OR(B478="",N(G478)=0),"",ABS(F478-G478)*E478)</f>
        <v/>
      </c>
      <c r="U478" s="8">
        <f>IF(OR(B478="",P478=""),"",IF(D478="Venda",-1,1)*((N(J478)*N(K478)+N(L478)*N(M478)+N(N478)*N(O478))-(N(J478)+N(L478)+N(N478))*F478)-N(Q478))</f>
        <v/>
      </c>
      <c r="V478" s="9">
        <f>IF(OR(B478="",P478=""),"",U478/S478)</f>
        <v/>
      </c>
      <c r="W478">
        <f>IF(OR(B478="",P478=""),"",P478-C478)</f>
        <v/>
      </c>
      <c r="X478">
        <f>IF(B478="","",IF(P478="","Aberto","Fechado"))</f>
        <v/>
      </c>
    </row>
    <row r="479">
      <c r="C479" s="6" t="n"/>
      <c r="E479" s="10" t="n"/>
      <c r="F479" s="11" t="n"/>
      <c r="G479" s="11" t="n"/>
      <c r="H479" s="11" t="n"/>
      <c r="J479" s="10" t="n"/>
      <c r="K479" s="11" t="n"/>
      <c r="L479" s="10" t="n"/>
      <c r="M479" s="11" t="n"/>
      <c r="N479" s="10" t="n"/>
      <c r="O479" s="11" t="n"/>
      <c r="P479" s="6" t="n"/>
      <c r="Q479" s="11" t="n"/>
      <c r="S479" s="8">
        <f>IF(B479="","",E479*F479)</f>
        <v/>
      </c>
      <c r="T479" s="8">
        <f>IF(OR(B479="",N(G479)=0),"",ABS(F479-G479)*E479)</f>
        <v/>
      </c>
      <c r="U479" s="8">
        <f>IF(OR(B479="",P479=""),"",IF(D479="Venda",-1,1)*((N(J479)*N(K479)+N(L479)*N(M479)+N(N479)*N(O479))-(N(J479)+N(L479)+N(N479))*F479)-N(Q479))</f>
        <v/>
      </c>
      <c r="V479" s="9">
        <f>IF(OR(B479="",P479=""),"",U479/S479)</f>
        <v/>
      </c>
      <c r="W479">
        <f>IF(OR(B479="",P479=""),"",P479-C479)</f>
        <v/>
      </c>
      <c r="X479">
        <f>IF(B479="","",IF(P479="","Aberto","Fechado"))</f>
        <v/>
      </c>
    </row>
    <row r="480">
      <c r="C480" s="6" t="n"/>
      <c r="E480" s="10" t="n"/>
      <c r="F480" s="11" t="n"/>
      <c r="G480" s="11" t="n"/>
      <c r="H480" s="11" t="n"/>
      <c r="J480" s="10" t="n"/>
      <c r="K480" s="11" t="n"/>
      <c r="L480" s="10" t="n"/>
      <c r="M480" s="11" t="n"/>
      <c r="N480" s="10" t="n"/>
      <c r="O480" s="11" t="n"/>
      <c r="P480" s="6" t="n"/>
      <c r="Q480" s="11" t="n"/>
      <c r="S480" s="8">
        <f>IF(B480="","",E480*F480)</f>
        <v/>
      </c>
      <c r="T480" s="8">
        <f>IF(OR(B480="",N(G480)=0),"",ABS(F480-G480)*E480)</f>
        <v/>
      </c>
      <c r="U480" s="8">
        <f>IF(OR(B480="",P480=""),"",IF(D480="Venda",-1,1)*((N(J480)*N(K480)+N(L480)*N(M480)+N(N480)*N(O480))-(N(J480)+N(L480)+N(N480))*F480)-N(Q480))</f>
        <v/>
      </c>
      <c r="V480" s="9">
        <f>IF(OR(B480="",P480=""),"",U480/S480)</f>
        <v/>
      </c>
      <c r="W480">
        <f>IF(OR(B480="",P480=""),"",P480-C480)</f>
        <v/>
      </c>
      <c r="X480">
        <f>IF(B480="","",IF(P480="","Aberto","Fechado"))</f>
        <v/>
      </c>
    </row>
    <row r="481">
      <c r="C481" s="6" t="n"/>
      <c r="E481" s="10" t="n"/>
      <c r="F481" s="11" t="n"/>
      <c r="G481" s="11" t="n"/>
      <c r="H481" s="11" t="n"/>
      <c r="J481" s="10" t="n"/>
      <c r="K481" s="11" t="n"/>
      <c r="L481" s="10" t="n"/>
      <c r="M481" s="11" t="n"/>
      <c r="N481" s="10" t="n"/>
      <c r="O481" s="11" t="n"/>
      <c r="P481" s="6" t="n"/>
      <c r="Q481" s="11" t="n"/>
      <c r="S481" s="8">
        <f>IF(B481="","",E481*F481)</f>
        <v/>
      </c>
      <c r="T481" s="8">
        <f>IF(OR(B481="",N(G481)=0),"",ABS(F481-G481)*E481)</f>
        <v/>
      </c>
      <c r="U481" s="8">
        <f>IF(OR(B481="",P481=""),"",IF(D481="Venda",-1,1)*((N(J481)*N(K481)+N(L481)*N(M481)+N(N481)*N(O481))-(N(J481)+N(L481)+N(N481))*F481)-N(Q481))</f>
        <v/>
      </c>
      <c r="V481" s="9">
        <f>IF(OR(B481="",P481=""),"",U481/S481)</f>
        <v/>
      </c>
      <c r="W481">
        <f>IF(OR(B481="",P481=""),"",P481-C481)</f>
        <v/>
      </c>
      <c r="X481">
        <f>IF(B481="","",IF(P481="","Aberto","Fechado"))</f>
        <v/>
      </c>
    </row>
    <row r="482">
      <c r="C482" s="6" t="n"/>
      <c r="E482" s="10" t="n"/>
      <c r="F482" s="11" t="n"/>
      <c r="G482" s="11" t="n"/>
      <c r="H482" s="11" t="n"/>
      <c r="J482" s="10" t="n"/>
      <c r="K482" s="11" t="n"/>
      <c r="L482" s="10" t="n"/>
      <c r="M482" s="11" t="n"/>
      <c r="N482" s="10" t="n"/>
      <c r="O482" s="11" t="n"/>
      <c r="P482" s="6" t="n"/>
      <c r="Q482" s="11" t="n"/>
      <c r="S482" s="8">
        <f>IF(B482="","",E482*F482)</f>
        <v/>
      </c>
      <c r="T482" s="8">
        <f>IF(OR(B482="",N(G482)=0),"",ABS(F482-G482)*E482)</f>
        <v/>
      </c>
      <c r="U482" s="8">
        <f>IF(OR(B482="",P482=""),"",IF(D482="Venda",-1,1)*((N(J482)*N(K482)+N(L482)*N(M482)+N(N482)*N(O482))-(N(J482)+N(L482)+N(N482))*F482)-N(Q482))</f>
        <v/>
      </c>
      <c r="V482" s="9">
        <f>IF(OR(B482="",P482=""),"",U482/S482)</f>
        <v/>
      </c>
      <c r="W482">
        <f>IF(OR(B482="",P482=""),"",P482-C482)</f>
        <v/>
      </c>
      <c r="X482">
        <f>IF(B482="","",IF(P482="","Aberto","Fechado"))</f>
        <v/>
      </c>
    </row>
    <row r="483">
      <c r="C483" s="6" t="n"/>
      <c r="E483" s="10" t="n"/>
      <c r="F483" s="11" t="n"/>
      <c r="G483" s="11" t="n"/>
      <c r="H483" s="11" t="n"/>
      <c r="J483" s="10" t="n"/>
      <c r="K483" s="11" t="n"/>
      <c r="L483" s="10" t="n"/>
      <c r="M483" s="11" t="n"/>
      <c r="N483" s="10" t="n"/>
      <c r="O483" s="11" t="n"/>
      <c r="P483" s="6" t="n"/>
      <c r="Q483" s="11" t="n"/>
      <c r="S483" s="8">
        <f>IF(B483="","",E483*F483)</f>
        <v/>
      </c>
      <c r="T483" s="8">
        <f>IF(OR(B483="",N(G483)=0),"",ABS(F483-G483)*E483)</f>
        <v/>
      </c>
      <c r="U483" s="8">
        <f>IF(OR(B483="",P483=""),"",IF(D483="Venda",-1,1)*((N(J483)*N(K483)+N(L483)*N(M483)+N(N483)*N(O483))-(N(J483)+N(L483)+N(N483))*F483)-N(Q483))</f>
        <v/>
      </c>
      <c r="V483" s="9">
        <f>IF(OR(B483="",P483=""),"",U483/S483)</f>
        <v/>
      </c>
      <c r="W483">
        <f>IF(OR(B483="",P483=""),"",P483-C483)</f>
        <v/>
      </c>
      <c r="X483">
        <f>IF(B483="","",IF(P483="","Aberto","Fechado"))</f>
        <v/>
      </c>
    </row>
    <row r="484">
      <c r="C484" s="6" t="n"/>
      <c r="E484" s="10" t="n"/>
      <c r="F484" s="11" t="n"/>
      <c r="G484" s="11" t="n"/>
      <c r="H484" s="11" t="n"/>
      <c r="J484" s="10" t="n"/>
      <c r="K484" s="11" t="n"/>
      <c r="L484" s="10" t="n"/>
      <c r="M484" s="11" t="n"/>
      <c r="N484" s="10" t="n"/>
      <c r="O484" s="11" t="n"/>
      <c r="P484" s="6" t="n"/>
      <c r="Q484" s="11" t="n"/>
      <c r="S484" s="8">
        <f>IF(B484="","",E484*F484)</f>
        <v/>
      </c>
      <c r="T484" s="8">
        <f>IF(OR(B484="",N(G484)=0),"",ABS(F484-G484)*E484)</f>
        <v/>
      </c>
      <c r="U484" s="8">
        <f>IF(OR(B484="",P484=""),"",IF(D484="Venda",-1,1)*((N(J484)*N(K484)+N(L484)*N(M484)+N(N484)*N(O484))-(N(J484)+N(L484)+N(N484))*F484)-N(Q484))</f>
        <v/>
      </c>
      <c r="V484" s="9">
        <f>IF(OR(B484="",P484=""),"",U484/S484)</f>
        <v/>
      </c>
      <c r="W484">
        <f>IF(OR(B484="",P484=""),"",P484-C484)</f>
        <v/>
      </c>
      <c r="X484">
        <f>IF(B484="","",IF(P484="","Aberto","Fechado"))</f>
        <v/>
      </c>
    </row>
    <row r="485">
      <c r="C485" s="6" t="n"/>
      <c r="E485" s="10" t="n"/>
      <c r="F485" s="11" t="n"/>
      <c r="G485" s="11" t="n"/>
      <c r="H485" s="11" t="n"/>
      <c r="J485" s="10" t="n"/>
      <c r="K485" s="11" t="n"/>
      <c r="L485" s="10" t="n"/>
      <c r="M485" s="11" t="n"/>
      <c r="N485" s="10" t="n"/>
      <c r="O485" s="11" t="n"/>
      <c r="P485" s="6" t="n"/>
      <c r="Q485" s="11" t="n"/>
      <c r="S485" s="8">
        <f>IF(B485="","",E485*F485)</f>
        <v/>
      </c>
      <c r="T485" s="8">
        <f>IF(OR(B485="",N(G485)=0),"",ABS(F485-G485)*E485)</f>
        <v/>
      </c>
      <c r="U485" s="8">
        <f>IF(OR(B485="",P485=""),"",IF(D485="Venda",-1,1)*((N(J485)*N(K485)+N(L485)*N(M485)+N(N485)*N(O485))-(N(J485)+N(L485)+N(N485))*F485)-N(Q485))</f>
        <v/>
      </c>
      <c r="V485" s="9">
        <f>IF(OR(B485="",P485=""),"",U485/S485)</f>
        <v/>
      </c>
      <c r="W485">
        <f>IF(OR(B485="",P485=""),"",P485-C485)</f>
        <v/>
      </c>
      <c r="X485">
        <f>IF(B485="","",IF(P485="","Aberto","Fechado"))</f>
        <v/>
      </c>
    </row>
    <row r="486">
      <c r="C486" s="6" t="n"/>
      <c r="E486" s="10" t="n"/>
      <c r="F486" s="11" t="n"/>
      <c r="G486" s="11" t="n"/>
      <c r="H486" s="11" t="n"/>
      <c r="J486" s="10" t="n"/>
      <c r="K486" s="11" t="n"/>
      <c r="L486" s="10" t="n"/>
      <c r="M486" s="11" t="n"/>
      <c r="N486" s="10" t="n"/>
      <c r="O486" s="11" t="n"/>
      <c r="P486" s="6" t="n"/>
      <c r="Q486" s="11" t="n"/>
      <c r="S486" s="8">
        <f>IF(B486="","",E486*F486)</f>
        <v/>
      </c>
      <c r="T486" s="8">
        <f>IF(OR(B486="",N(G486)=0),"",ABS(F486-G486)*E486)</f>
        <v/>
      </c>
      <c r="U486" s="8">
        <f>IF(OR(B486="",P486=""),"",IF(D486="Venda",-1,1)*((N(J486)*N(K486)+N(L486)*N(M486)+N(N486)*N(O486))-(N(J486)+N(L486)+N(N486))*F486)-N(Q486))</f>
        <v/>
      </c>
      <c r="V486" s="9">
        <f>IF(OR(B486="",P486=""),"",U486/S486)</f>
        <v/>
      </c>
      <c r="W486">
        <f>IF(OR(B486="",P486=""),"",P486-C486)</f>
        <v/>
      </c>
      <c r="X486">
        <f>IF(B486="","",IF(P486="","Aberto","Fechado"))</f>
        <v/>
      </c>
    </row>
    <row r="487">
      <c r="C487" s="6" t="n"/>
      <c r="E487" s="10" t="n"/>
      <c r="F487" s="11" t="n"/>
      <c r="G487" s="11" t="n"/>
      <c r="H487" s="11" t="n"/>
      <c r="J487" s="10" t="n"/>
      <c r="K487" s="11" t="n"/>
      <c r="L487" s="10" t="n"/>
      <c r="M487" s="11" t="n"/>
      <c r="N487" s="10" t="n"/>
      <c r="O487" s="11" t="n"/>
      <c r="P487" s="6" t="n"/>
      <c r="Q487" s="11" t="n"/>
      <c r="S487" s="8">
        <f>IF(B487="","",E487*F487)</f>
        <v/>
      </c>
      <c r="T487" s="8">
        <f>IF(OR(B487="",N(G487)=0),"",ABS(F487-G487)*E487)</f>
        <v/>
      </c>
      <c r="U487" s="8">
        <f>IF(OR(B487="",P487=""),"",IF(D487="Venda",-1,1)*((N(J487)*N(K487)+N(L487)*N(M487)+N(N487)*N(O487))-(N(J487)+N(L487)+N(N487))*F487)-N(Q487))</f>
        <v/>
      </c>
      <c r="V487" s="9">
        <f>IF(OR(B487="",P487=""),"",U487/S487)</f>
        <v/>
      </c>
      <c r="W487">
        <f>IF(OR(B487="",P487=""),"",P487-C487)</f>
        <v/>
      </c>
      <c r="X487">
        <f>IF(B487="","",IF(P487="","Aberto","Fechado"))</f>
        <v/>
      </c>
    </row>
    <row r="488">
      <c r="C488" s="6" t="n"/>
      <c r="E488" s="10" t="n"/>
      <c r="F488" s="11" t="n"/>
      <c r="G488" s="11" t="n"/>
      <c r="H488" s="11" t="n"/>
      <c r="J488" s="10" t="n"/>
      <c r="K488" s="11" t="n"/>
      <c r="L488" s="10" t="n"/>
      <c r="M488" s="11" t="n"/>
      <c r="N488" s="10" t="n"/>
      <c r="O488" s="11" t="n"/>
      <c r="P488" s="6" t="n"/>
      <c r="Q488" s="11" t="n"/>
      <c r="S488" s="8">
        <f>IF(B488="","",E488*F488)</f>
        <v/>
      </c>
      <c r="T488" s="8">
        <f>IF(OR(B488="",N(G488)=0),"",ABS(F488-G488)*E488)</f>
        <v/>
      </c>
      <c r="U488" s="8">
        <f>IF(OR(B488="",P488=""),"",IF(D488="Venda",-1,1)*((N(J488)*N(K488)+N(L488)*N(M488)+N(N488)*N(O488))-(N(J488)+N(L488)+N(N488))*F488)-N(Q488))</f>
        <v/>
      </c>
      <c r="V488" s="9">
        <f>IF(OR(B488="",P488=""),"",U488/S488)</f>
        <v/>
      </c>
      <c r="W488">
        <f>IF(OR(B488="",P488=""),"",P488-C488)</f>
        <v/>
      </c>
      <c r="X488">
        <f>IF(B488="","",IF(P488="","Aberto","Fechado"))</f>
        <v/>
      </c>
    </row>
    <row r="489">
      <c r="C489" s="6" t="n"/>
      <c r="E489" s="10" t="n"/>
      <c r="F489" s="11" t="n"/>
      <c r="G489" s="11" t="n"/>
      <c r="H489" s="11" t="n"/>
      <c r="J489" s="10" t="n"/>
      <c r="K489" s="11" t="n"/>
      <c r="L489" s="10" t="n"/>
      <c r="M489" s="11" t="n"/>
      <c r="N489" s="10" t="n"/>
      <c r="O489" s="11" t="n"/>
      <c r="P489" s="6" t="n"/>
      <c r="Q489" s="11" t="n"/>
      <c r="S489" s="8">
        <f>IF(B489="","",E489*F489)</f>
        <v/>
      </c>
      <c r="T489" s="8">
        <f>IF(OR(B489="",N(G489)=0),"",ABS(F489-G489)*E489)</f>
        <v/>
      </c>
      <c r="U489" s="8">
        <f>IF(OR(B489="",P489=""),"",IF(D489="Venda",-1,1)*((N(J489)*N(K489)+N(L489)*N(M489)+N(N489)*N(O489))-(N(J489)+N(L489)+N(N489))*F489)-N(Q489))</f>
        <v/>
      </c>
      <c r="V489" s="9">
        <f>IF(OR(B489="",P489=""),"",U489/S489)</f>
        <v/>
      </c>
      <c r="W489">
        <f>IF(OR(B489="",P489=""),"",P489-C489)</f>
        <v/>
      </c>
      <c r="X489">
        <f>IF(B489="","",IF(P489="","Aberto","Fechado"))</f>
        <v/>
      </c>
    </row>
    <row r="490">
      <c r="C490" s="6" t="n"/>
      <c r="E490" s="10" t="n"/>
      <c r="F490" s="11" t="n"/>
      <c r="G490" s="11" t="n"/>
      <c r="H490" s="11" t="n"/>
      <c r="J490" s="10" t="n"/>
      <c r="K490" s="11" t="n"/>
      <c r="L490" s="10" t="n"/>
      <c r="M490" s="11" t="n"/>
      <c r="N490" s="10" t="n"/>
      <c r="O490" s="11" t="n"/>
      <c r="P490" s="6" t="n"/>
      <c r="Q490" s="11" t="n"/>
      <c r="S490" s="8">
        <f>IF(B490="","",E490*F490)</f>
        <v/>
      </c>
      <c r="T490" s="8">
        <f>IF(OR(B490="",N(G490)=0),"",ABS(F490-G490)*E490)</f>
        <v/>
      </c>
      <c r="U490" s="8">
        <f>IF(OR(B490="",P490=""),"",IF(D490="Venda",-1,1)*((N(J490)*N(K490)+N(L490)*N(M490)+N(N490)*N(O490))-(N(J490)+N(L490)+N(N490))*F490)-N(Q490))</f>
        <v/>
      </c>
      <c r="V490" s="9">
        <f>IF(OR(B490="",P490=""),"",U490/S490)</f>
        <v/>
      </c>
      <c r="W490">
        <f>IF(OR(B490="",P490=""),"",P490-C490)</f>
        <v/>
      </c>
      <c r="X490">
        <f>IF(B490="","",IF(P490="","Aberto","Fechado"))</f>
        <v/>
      </c>
    </row>
    <row r="491">
      <c r="C491" s="6" t="n"/>
      <c r="E491" s="10" t="n"/>
      <c r="F491" s="11" t="n"/>
      <c r="G491" s="11" t="n"/>
      <c r="H491" s="11" t="n"/>
      <c r="J491" s="10" t="n"/>
      <c r="K491" s="11" t="n"/>
      <c r="L491" s="10" t="n"/>
      <c r="M491" s="11" t="n"/>
      <c r="N491" s="10" t="n"/>
      <c r="O491" s="11" t="n"/>
      <c r="P491" s="6" t="n"/>
      <c r="Q491" s="11" t="n"/>
      <c r="S491" s="8">
        <f>IF(B491="","",E491*F491)</f>
        <v/>
      </c>
      <c r="T491" s="8">
        <f>IF(OR(B491="",N(G491)=0),"",ABS(F491-G491)*E491)</f>
        <v/>
      </c>
      <c r="U491" s="8">
        <f>IF(OR(B491="",P491=""),"",IF(D491="Venda",-1,1)*((N(J491)*N(K491)+N(L491)*N(M491)+N(N491)*N(O491))-(N(J491)+N(L491)+N(N491))*F491)-N(Q491))</f>
        <v/>
      </c>
      <c r="V491" s="9">
        <f>IF(OR(B491="",P491=""),"",U491/S491)</f>
        <v/>
      </c>
      <c r="W491">
        <f>IF(OR(B491="",P491=""),"",P491-C491)</f>
        <v/>
      </c>
      <c r="X491">
        <f>IF(B491="","",IF(P491="","Aberto","Fechado"))</f>
        <v/>
      </c>
    </row>
    <row r="492">
      <c r="C492" s="6" t="n"/>
      <c r="E492" s="10" t="n"/>
      <c r="F492" s="11" t="n"/>
      <c r="G492" s="11" t="n"/>
      <c r="H492" s="11" t="n"/>
      <c r="J492" s="10" t="n"/>
      <c r="K492" s="11" t="n"/>
      <c r="L492" s="10" t="n"/>
      <c r="M492" s="11" t="n"/>
      <c r="N492" s="10" t="n"/>
      <c r="O492" s="11" t="n"/>
      <c r="P492" s="6" t="n"/>
      <c r="Q492" s="11" t="n"/>
      <c r="S492" s="8">
        <f>IF(B492="","",E492*F492)</f>
        <v/>
      </c>
      <c r="T492" s="8">
        <f>IF(OR(B492="",N(G492)=0),"",ABS(F492-G492)*E492)</f>
        <v/>
      </c>
      <c r="U492" s="8">
        <f>IF(OR(B492="",P492=""),"",IF(D492="Venda",-1,1)*((N(J492)*N(K492)+N(L492)*N(M492)+N(N492)*N(O492))-(N(J492)+N(L492)+N(N492))*F492)-N(Q492))</f>
        <v/>
      </c>
      <c r="V492" s="9">
        <f>IF(OR(B492="",P492=""),"",U492/S492)</f>
        <v/>
      </c>
      <c r="W492">
        <f>IF(OR(B492="",P492=""),"",P492-C492)</f>
        <v/>
      </c>
      <c r="X492">
        <f>IF(B492="","",IF(P492="","Aberto","Fechado"))</f>
        <v/>
      </c>
    </row>
    <row r="493">
      <c r="C493" s="6" t="n"/>
      <c r="E493" s="10" t="n"/>
      <c r="F493" s="11" t="n"/>
      <c r="G493" s="11" t="n"/>
      <c r="H493" s="11" t="n"/>
      <c r="J493" s="10" t="n"/>
      <c r="K493" s="11" t="n"/>
      <c r="L493" s="10" t="n"/>
      <c r="M493" s="11" t="n"/>
      <c r="N493" s="10" t="n"/>
      <c r="O493" s="11" t="n"/>
      <c r="P493" s="6" t="n"/>
      <c r="Q493" s="11" t="n"/>
      <c r="S493" s="8">
        <f>IF(B493="","",E493*F493)</f>
        <v/>
      </c>
      <c r="T493" s="8">
        <f>IF(OR(B493="",N(G493)=0),"",ABS(F493-G493)*E493)</f>
        <v/>
      </c>
      <c r="U493" s="8">
        <f>IF(OR(B493="",P493=""),"",IF(D493="Venda",-1,1)*((N(J493)*N(K493)+N(L493)*N(M493)+N(N493)*N(O493))-(N(J493)+N(L493)+N(N493))*F493)-N(Q493))</f>
        <v/>
      </c>
      <c r="V493" s="9">
        <f>IF(OR(B493="",P493=""),"",U493/S493)</f>
        <v/>
      </c>
      <c r="W493">
        <f>IF(OR(B493="",P493=""),"",P493-C493)</f>
        <v/>
      </c>
      <c r="X493">
        <f>IF(B493="","",IF(P493="","Aberto","Fechado"))</f>
        <v/>
      </c>
    </row>
    <row r="494">
      <c r="C494" s="6" t="n"/>
      <c r="E494" s="10" t="n"/>
      <c r="F494" s="11" t="n"/>
      <c r="G494" s="11" t="n"/>
      <c r="H494" s="11" t="n"/>
      <c r="J494" s="10" t="n"/>
      <c r="K494" s="11" t="n"/>
      <c r="L494" s="10" t="n"/>
      <c r="M494" s="11" t="n"/>
      <c r="N494" s="10" t="n"/>
      <c r="O494" s="11" t="n"/>
      <c r="P494" s="6" t="n"/>
      <c r="Q494" s="11" t="n"/>
      <c r="S494" s="8">
        <f>IF(B494="","",E494*F494)</f>
        <v/>
      </c>
      <c r="T494" s="8">
        <f>IF(OR(B494="",N(G494)=0),"",ABS(F494-G494)*E494)</f>
        <v/>
      </c>
      <c r="U494" s="8">
        <f>IF(OR(B494="",P494=""),"",IF(D494="Venda",-1,1)*((N(J494)*N(K494)+N(L494)*N(M494)+N(N494)*N(O494))-(N(J494)+N(L494)+N(N494))*F494)-N(Q494))</f>
        <v/>
      </c>
      <c r="V494" s="9">
        <f>IF(OR(B494="",P494=""),"",U494/S494)</f>
        <v/>
      </c>
      <c r="W494">
        <f>IF(OR(B494="",P494=""),"",P494-C494)</f>
        <v/>
      </c>
      <c r="X494">
        <f>IF(B494="","",IF(P494="","Aberto","Fechado"))</f>
        <v/>
      </c>
    </row>
    <row r="495">
      <c r="C495" s="6" t="n"/>
      <c r="E495" s="10" t="n"/>
      <c r="F495" s="11" t="n"/>
      <c r="G495" s="11" t="n"/>
      <c r="H495" s="11" t="n"/>
      <c r="J495" s="10" t="n"/>
      <c r="K495" s="11" t="n"/>
      <c r="L495" s="10" t="n"/>
      <c r="M495" s="11" t="n"/>
      <c r="N495" s="10" t="n"/>
      <c r="O495" s="11" t="n"/>
      <c r="P495" s="6" t="n"/>
      <c r="Q495" s="11" t="n"/>
      <c r="S495" s="8">
        <f>IF(B495="","",E495*F495)</f>
        <v/>
      </c>
      <c r="T495" s="8">
        <f>IF(OR(B495="",N(G495)=0),"",ABS(F495-G495)*E495)</f>
        <v/>
      </c>
      <c r="U495" s="8">
        <f>IF(OR(B495="",P495=""),"",IF(D495="Venda",-1,1)*((N(J495)*N(K495)+N(L495)*N(M495)+N(N495)*N(O495))-(N(J495)+N(L495)+N(N495))*F495)-N(Q495))</f>
        <v/>
      </c>
      <c r="V495" s="9">
        <f>IF(OR(B495="",P495=""),"",U495/S495)</f>
        <v/>
      </c>
      <c r="W495">
        <f>IF(OR(B495="",P495=""),"",P495-C495)</f>
        <v/>
      </c>
      <c r="X495">
        <f>IF(B495="","",IF(P495="","Aberto","Fechado"))</f>
        <v/>
      </c>
    </row>
    <row r="496">
      <c r="C496" s="6" t="n"/>
      <c r="E496" s="10" t="n"/>
      <c r="F496" s="11" t="n"/>
      <c r="G496" s="11" t="n"/>
      <c r="H496" s="11" t="n"/>
      <c r="J496" s="10" t="n"/>
      <c r="K496" s="11" t="n"/>
      <c r="L496" s="10" t="n"/>
      <c r="M496" s="11" t="n"/>
      <c r="N496" s="10" t="n"/>
      <c r="O496" s="11" t="n"/>
      <c r="P496" s="6" t="n"/>
      <c r="Q496" s="11" t="n"/>
      <c r="S496" s="8">
        <f>IF(B496="","",E496*F496)</f>
        <v/>
      </c>
      <c r="T496" s="8">
        <f>IF(OR(B496="",N(G496)=0),"",ABS(F496-G496)*E496)</f>
        <v/>
      </c>
      <c r="U496" s="8">
        <f>IF(OR(B496="",P496=""),"",IF(D496="Venda",-1,1)*((N(J496)*N(K496)+N(L496)*N(M496)+N(N496)*N(O496))-(N(J496)+N(L496)+N(N496))*F496)-N(Q496))</f>
        <v/>
      </c>
      <c r="V496" s="9">
        <f>IF(OR(B496="",P496=""),"",U496/S496)</f>
        <v/>
      </c>
      <c r="W496">
        <f>IF(OR(B496="",P496=""),"",P496-C496)</f>
        <v/>
      </c>
      <c r="X496">
        <f>IF(B496="","",IF(P496="","Aberto","Fechado"))</f>
        <v/>
      </c>
    </row>
    <row r="497">
      <c r="C497" s="6" t="n"/>
      <c r="E497" s="10" t="n"/>
      <c r="F497" s="11" t="n"/>
      <c r="G497" s="11" t="n"/>
      <c r="H497" s="11" t="n"/>
      <c r="J497" s="10" t="n"/>
      <c r="K497" s="11" t="n"/>
      <c r="L497" s="10" t="n"/>
      <c r="M497" s="11" t="n"/>
      <c r="N497" s="10" t="n"/>
      <c r="O497" s="11" t="n"/>
      <c r="P497" s="6" t="n"/>
      <c r="Q497" s="11" t="n"/>
      <c r="S497" s="8">
        <f>IF(B497="","",E497*F497)</f>
        <v/>
      </c>
      <c r="T497" s="8">
        <f>IF(OR(B497="",N(G497)=0),"",ABS(F497-G497)*E497)</f>
        <v/>
      </c>
      <c r="U497" s="8">
        <f>IF(OR(B497="",P497=""),"",IF(D497="Venda",-1,1)*((N(J497)*N(K497)+N(L497)*N(M497)+N(N497)*N(O497))-(N(J497)+N(L497)+N(N497))*F497)-N(Q497))</f>
        <v/>
      </c>
      <c r="V497" s="9">
        <f>IF(OR(B497="",P497=""),"",U497/S497)</f>
        <v/>
      </c>
      <c r="W497">
        <f>IF(OR(B497="",P497=""),"",P497-C497)</f>
        <v/>
      </c>
      <c r="X497">
        <f>IF(B497="","",IF(P497="","Aberto","Fechado"))</f>
        <v/>
      </c>
    </row>
    <row r="498">
      <c r="C498" s="6" t="n"/>
      <c r="E498" s="10" t="n"/>
      <c r="F498" s="11" t="n"/>
      <c r="G498" s="11" t="n"/>
      <c r="H498" s="11" t="n"/>
      <c r="J498" s="10" t="n"/>
      <c r="K498" s="11" t="n"/>
      <c r="L498" s="10" t="n"/>
      <c r="M498" s="11" t="n"/>
      <c r="N498" s="10" t="n"/>
      <c r="O498" s="11" t="n"/>
      <c r="P498" s="6" t="n"/>
      <c r="Q498" s="11" t="n"/>
      <c r="S498" s="8">
        <f>IF(B498="","",E498*F498)</f>
        <v/>
      </c>
      <c r="T498" s="8">
        <f>IF(OR(B498="",N(G498)=0),"",ABS(F498-G498)*E498)</f>
        <v/>
      </c>
      <c r="U498" s="8">
        <f>IF(OR(B498="",P498=""),"",IF(D498="Venda",-1,1)*((N(J498)*N(K498)+N(L498)*N(M498)+N(N498)*N(O498))-(N(J498)+N(L498)+N(N498))*F498)-N(Q498))</f>
        <v/>
      </c>
      <c r="V498" s="9">
        <f>IF(OR(B498="",P498=""),"",U498/S498)</f>
        <v/>
      </c>
      <c r="W498">
        <f>IF(OR(B498="",P498=""),"",P498-C498)</f>
        <v/>
      </c>
      <c r="X498">
        <f>IF(B498="","",IF(P498="","Aberto","Fechado"))</f>
        <v/>
      </c>
    </row>
    <row r="499">
      <c r="C499" s="6" t="n"/>
      <c r="E499" s="10" t="n"/>
      <c r="F499" s="11" t="n"/>
      <c r="G499" s="11" t="n"/>
      <c r="H499" s="11" t="n"/>
      <c r="J499" s="10" t="n"/>
      <c r="K499" s="11" t="n"/>
      <c r="L499" s="10" t="n"/>
      <c r="M499" s="11" t="n"/>
      <c r="N499" s="10" t="n"/>
      <c r="O499" s="11" t="n"/>
      <c r="P499" s="6" t="n"/>
      <c r="Q499" s="11" t="n"/>
      <c r="S499" s="8">
        <f>IF(B499="","",E499*F499)</f>
        <v/>
      </c>
      <c r="T499" s="8">
        <f>IF(OR(B499="",N(G499)=0),"",ABS(F499-G499)*E499)</f>
        <v/>
      </c>
      <c r="U499" s="8">
        <f>IF(OR(B499="",P499=""),"",IF(D499="Venda",-1,1)*((N(J499)*N(K499)+N(L499)*N(M499)+N(N499)*N(O499))-(N(J499)+N(L499)+N(N499))*F499)-N(Q499))</f>
        <v/>
      </c>
      <c r="V499" s="9">
        <f>IF(OR(B499="",P499=""),"",U499/S499)</f>
        <v/>
      </c>
      <c r="W499">
        <f>IF(OR(B499="",P499=""),"",P499-C499)</f>
        <v/>
      </c>
      <c r="X499">
        <f>IF(B499="","",IF(P499="","Aberto","Fechado"))</f>
        <v/>
      </c>
    </row>
    <row r="500">
      <c r="C500" s="6" t="n"/>
      <c r="E500" s="10" t="n"/>
      <c r="F500" s="11" t="n"/>
      <c r="G500" s="11" t="n"/>
      <c r="H500" s="11" t="n"/>
      <c r="J500" s="10" t="n"/>
      <c r="K500" s="11" t="n"/>
      <c r="L500" s="10" t="n"/>
      <c r="M500" s="11" t="n"/>
      <c r="N500" s="10" t="n"/>
      <c r="O500" s="11" t="n"/>
      <c r="P500" s="6" t="n"/>
      <c r="Q500" s="11" t="n"/>
      <c r="S500" s="8">
        <f>IF(B500="","",E500*F500)</f>
        <v/>
      </c>
      <c r="T500" s="8">
        <f>IF(OR(B500="",N(G500)=0),"",ABS(F500-G500)*E500)</f>
        <v/>
      </c>
      <c r="U500" s="8">
        <f>IF(OR(B500="",P500=""),"",IF(D500="Venda",-1,1)*((N(J500)*N(K500)+N(L500)*N(M500)+N(N500)*N(O500))-(N(J500)+N(L500)+N(N500))*F500)-N(Q500))</f>
        <v/>
      </c>
      <c r="V500" s="9">
        <f>IF(OR(B500="",P500=""),"",U500/S500)</f>
        <v/>
      </c>
      <c r="W500">
        <f>IF(OR(B500="",P500=""),"",P500-C500)</f>
        <v/>
      </c>
      <c r="X500">
        <f>IF(B500="","",IF(P500="","Aberto","Fechado"))</f>
        <v/>
      </c>
    </row>
    <row r="501">
      <c r="C501" s="6" t="n"/>
      <c r="E501" s="10" t="n"/>
      <c r="F501" s="11" t="n"/>
      <c r="G501" s="11" t="n"/>
      <c r="H501" s="11" t="n"/>
      <c r="J501" s="10" t="n"/>
      <c r="K501" s="11" t="n"/>
      <c r="L501" s="10" t="n"/>
      <c r="M501" s="11" t="n"/>
      <c r="N501" s="10" t="n"/>
      <c r="O501" s="11" t="n"/>
      <c r="P501" s="6" t="n"/>
      <c r="Q501" s="11" t="n"/>
      <c r="S501" s="8">
        <f>IF(B501="","",E501*F501)</f>
        <v/>
      </c>
      <c r="T501" s="8">
        <f>IF(OR(B501="",N(G501)=0),"",ABS(F501-G501)*E501)</f>
        <v/>
      </c>
      <c r="U501" s="8">
        <f>IF(OR(B501="",P501=""),"",IF(D501="Venda",-1,1)*((N(J501)*N(K501)+N(L501)*N(M501)+N(N501)*N(O501))-(N(J501)+N(L501)+N(N501))*F501)-N(Q501))</f>
        <v/>
      </c>
      <c r="V501" s="9">
        <f>IF(OR(B501="",P501=""),"",U501/S501)</f>
        <v/>
      </c>
      <c r="W501">
        <f>IF(OR(B501="",P501=""),"",P501-C501)</f>
        <v/>
      </c>
      <c r="X501">
        <f>IF(B501="","",IF(P501="","Aberto","Fechado"))</f>
        <v/>
      </c>
    </row>
    <row r="502">
      <c r="C502" s="6" t="n"/>
      <c r="E502" s="10" t="n"/>
      <c r="F502" s="11" t="n"/>
      <c r="G502" s="11" t="n"/>
      <c r="H502" s="11" t="n"/>
      <c r="J502" s="10" t="n"/>
      <c r="K502" s="11" t="n"/>
      <c r="L502" s="10" t="n"/>
      <c r="M502" s="11" t="n"/>
      <c r="N502" s="10" t="n"/>
      <c r="O502" s="11" t="n"/>
      <c r="P502" s="6" t="n"/>
      <c r="Q502" s="11" t="n"/>
      <c r="S502" s="8">
        <f>IF(B502="","",E502*F502)</f>
        <v/>
      </c>
      <c r="T502" s="8">
        <f>IF(OR(B502="",N(G502)=0),"",ABS(F502-G502)*E502)</f>
        <v/>
      </c>
      <c r="U502" s="8">
        <f>IF(OR(B502="",P502=""),"",IF(D502="Venda",-1,1)*((N(J502)*N(K502)+N(L502)*N(M502)+N(N502)*N(O502))-(N(J502)+N(L502)+N(N502))*F502)-N(Q502))</f>
        <v/>
      </c>
      <c r="V502" s="9">
        <f>IF(OR(B502="",P502=""),"",U502/S502)</f>
        <v/>
      </c>
      <c r="W502">
        <f>IF(OR(B502="",P502=""),"",P502-C502)</f>
        <v/>
      </c>
      <c r="X502">
        <f>IF(B502="","",IF(P502="","Aberto","Fechado"))</f>
        <v/>
      </c>
    </row>
    <row r="503">
      <c r="C503" s="6" t="n"/>
      <c r="E503" s="10" t="n"/>
      <c r="F503" s="11" t="n"/>
      <c r="G503" s="11" t="n"/>
      <c r="H503" s="11" t="n"/>
      <c r="J503" s="10" t="n"/>
      <c r="K503" s="11" t="n"/>
      <c r="L503" s="10" t="n"/>
      <c r="M503" s="11" t="n"/>
      <c r="N503" s="10" t="n"/>
      <c r="O503" s="11" t="n"/>
      <c r="P503" s="6" t="n"/>
      <c r="Q503" s="11" t="n"/>
      <c r="S503" s="8">
        <f>IF(B503="","",E503*F503)</f>
        <v/>
      </c>
      <c r="T503" s="8">
        <f>IF(OR(B503="",N(G503)=0),"",ABS(F503-G503)*E503)</f>
        <v/>
      </c>
      <c r="U503" s="8">
        <f>IF(OR(B503="",P503=""),"",IF(D503="Venda",-1,1)*((N(J503)*N(K503)+N(L503)*N(M503)+N(N503)*N(O503))-(N(J503)+N(L503)+N(N503))*F503)-N(Q503))</f>
        <v/>
      </c>
      <c r="V503" s="9">
        <f>IF(OR(B503="",P503=""),"",U503/S503)</f>
        <v/>
      </c>
      <c r="W503">
        <f>IF(OR(B503="",P503=""),"",P503-C503)</f>
        <v/>
      </c>
      <c r="X503">
        <f>IF(B503="","",IF(P503="","Aberto","Fechado"))</f>
        <v/>
      </c>
    </row>
    <row r="504">
      <c r="C504" s="6" t="n"/>
      <c r="E504" s="10" t="n"/>
      <c r="F504" s="11" t="n"/>
      <c r="G504" s="11" t="n"/>
      <c r="H504" s="11" t="n"/>
      <c r="J504" s="10" t="n"/>
      <c r="K504" s="11" t="n"/>
      <c r="L504" s="10" t="n"/>
      <c r="M504" s="11" t="n"/>
      <c r="N504" s="10" t="n"/>
      <c r="O504" s="11" t="n"/>
      <c r="P504" s="6" t="n"/>
      <c r="Q504" s="11" t="n"/>
      <c r="S504" s="8">
        <f>IF(B504="","",E504*F504)</f>
        <v/>
      </c>
      <c r="T504" s="8">
        <f>IF(OR(B504="",N(G504)=0),"",ABS(F504-G504)*E504)</f>
        <v/>
      </c>
      <c r="U504" s="8">
        <f>IF(OR(B504="",P504=""),"",IF(D504="Venda",-1,1)*((N(J504)*N(K504)+N(L504)*N(M504)+N(N504)*N(O504))-(N(J504)+N(L504)+N(N504))*F504)-N(Q504))</f>
        <v/>
      </c>
      <c r="V504" s="9">
        <f>IF(OR(B504="",P504=""),"",U504/S504)</f>
        <v/>
      </c>
      <c r="W504">
        <f>IF(OR(B504="",P504=""),"",P504-C504)</f>
        <v/>
      </c>
      <c r="X504">
        <f>IF(B504="","",IF(P504="","Aberto","Fechado"))</f>
        <v/>
      </c>
    </row>
    <row r="505">
      <c r="C505" s="6" t="n"/>
      <c r="E505" s="10" t="n"/>
      <c r="F505" s="11" t="n"/>
      <c r="G505" s="11" t="n"/>
      <c r="H505" s="11" t="n"/>
      <c r="J505" s="10" t="n"/>
      <c r="K505" s="11" t="n"/>
      <c r="L505" s="10" t="n"/>
      <c r="M505" s="11" t="n"/>
      <c r="N505" s="10" t="n"/>
      <c r="O505" s="11" t="n"/>
      <c r="P505" s="6" t="n"/>
      <c r="Q505" s="11" t="n"/>
      <c r="S505" s="8">
        <f>IF(B505="","",E505*F505)</f>
        <v/>
      </c>
      <c r="T505" s="8">
        <f>IF(OR(B505="",N(G505)=0),"",ABS(F505-G505)*E505)</f>
        <v/>
      </c>
      <c r="U505" s="8">
        <f>IF(OR(B505="",P505=""),"",IF(D505="Venda",-1,1)*((N(J505)*N(K505)+N(L505)*N(M505)+N(N505)*N(O505))-(N(J505)+N(L505)+N(N505))*F505)-N(Q505))</f>
        <v/>
      </c>
      <c r="V505" s="9">
        <f>IF(OR(B505="",P505=""),"",U505/S505)</f>
        <v/>
      </c>
      <c r="W505">
        <f>IF(OR(B505="",P505=""),"",P505-C505)</f>
        <v/>
      </c>
      <c r="X505">
        <f>IF(B505="","",IF(P505="","Aberto","Fechado"))</f>
        <v/>
      </c>
    </row>
    <row r="506">
      <c r="C506" s="6" t="n"/>
      <c r="E506" s="10" t="n"/>
      <c r="F506" s="11" t="n"/>
      <c r="G506" s="11" t="n"/>
      <c r="H506" s="11" t="n"/>
      <c r="J506" s="10" t="n"/>
      <c r="K506" s="11" t="n"/>
      <c r="L506" s="10" t="n"/>
      <c r="M506" s="11" t="n"/>
      <c r="N506" s="10" t="n"/>
      <c r="O506" s="11" t="n"/>
      <c r="P506" s="6" t="n"/>
      <c r="Q506" s="11" t="n"/>
      <c r="S506" s="8">
        <f>IF(B506="","",E506*F506)</f>
        <v/>
      </c>
      <c r="T506" s="8">
        <f>IF(OR(B506="",N(G506)=0),"",ABS(F506-G506)*E506)</f>
        <v/>
      </c>
      <c r="U506" s="8">
        <f>IF(OR(B506="",P506=""),"",IF(D506="Venda",-1,1)*((N(J506)*N(K506)+N(L506)*N(M506)+N(N506)*N(O506))-(N(J506)+N(L506)+N(N506))*F506)-N(Q506))</f>
        <v/>
      </c>
      <c r="V506" s="9">
        <f>IF(OR(B506="",P506=""),"",U506/S506)</f>
        <v/>
      </c>
      <c r="W506">
        <f>IF(OR(B506="",P506=""),"",P506-C506)</f>
        <v/>
      </c>
      <c r="X506">
        <f>IF(B506="","",IF(P506="","Aberto","Fechado"))</f>
        <v/>
      </c>
    </row>
    <row r="507">
      <c r="C507" s="6" t="n"/>
      <c r="E507" s="10" t="n"/>
      <c r="F507" s="11" t="n"/>
      <c r="G507" s="11" t="n"/>
      <c r="H507" s="11" t="n"/>
      <c r="J507" s="10" t="n"/>
      <c r="K507" s="11" t="n"/>
      <c r="L507" s="10" t="n"/>
      <c r="M507" s="11" t="n"/>
      <c r="N507" s="10" t="n"/>
      <c r="O507" s="11" t="n"/>
      <c r="P507" s="6" t="n"/>
      <c r="Q507" s="11" t="n"/>
      <c r="S507" s="8">
        <f>IF(B507="","",E507*F507)</f>
        <v/>
      </c>
      <c r="T507" s="8">
        <f>IF(OR(B507="",N(G507)=0),"",ABS(F507-G507)*E507)</f>
        <v/>
      </c>
      <c r="U507" s="8">
        <f>IF(OR(B507="",P507=""),"",IF(D507="Venda",-1,1)*((N(J507)*N(K507)+N(L507)*N(M507)+N(N507)*N(O507))-(N(J507)+N(L507)+N(N507))*F507)-N(Q507))</f>
        <v/>
      </c>
      <c r="V507" s="9">
        <f>IF(OR(B507="",P507=""),"",U507/S507)</f>
        <v/>
      </c>
      <c r="W507">
        <f>IF(OR(B507="",P507=""),"",P507-C507)</f>
        <v/>
      </c>
      <c r="X507">
        <f>IF(B507="","",IF(P507="","Aberto","Fechado"))</f>
        <v/>
      </c>
    </row>
    <row r="508">
      <c r="C508" s="6" t="n"/>
      <c r="E508" s="10" t="n"/>
      <c r="F508" s="11" t="n"/>
      <c r="G508" s="11" t="n"/>
      <c r="H508" s="11" t="n"/>
      <c r="J508" s="10" t="n"/>
      <c r="K508" s="11" t="n"/>
      <c r="L508" s="10" t="n"/>
      <c r="M508" s="11" t="n"/>
      <c r="N508" s="10" t="n"/>
      <c r="O508" s="11" t="n"/>
      <c r="P508" s="6" t="n"/>
      <c r="Q508" s="11" t="n"/>
      <c r="S508" s="8">
        <f>IF(B508="","",E508*F508)</f>
        <v/>
      </c>
      <c r="T508" s="8">
        <f>IF(OR(B508="",N(G508)=0),"",ABS(F508-G508)*E508)</f>
        <v/>
      </c>
      <c r="U508" s="8">
        <f>IF(OR(B508="",P508=""),"",IF(D508="Venda",-1,1)*((N(J508)*N(K508)+N(L508)*N(M508)+N(N508)*N(O508))-(N(J508)+N(L508)+N(N508))*F508)-N(Q508))</f>
        <v/>
      </c>
      <c r="V508" s="9">
        <f>IF(OR(B508="",P508=""),"",U508/S508)</f>
        <v/>
      </c>
      <c r="W508">
        <f>IF(OR(B508="",P508=""),"",P508-C508)</f>
        <v/>
      </c>
      <c r="X508">
        <f>IF(B508="","",IF(P508="","Aberto","Fechado"))</f>
        <v/>
      </c>
    </row>
    <row r="509">
      <c r="C509" s="6" t="n"/>
      <c r="E509" s="10" t="n"/>
      <c r="F509" s="11" t="n"/>
      <c r="G509" s="11" t="n"/>
      <c r="H509" s="11" t="n"/>
      <c r="J509" s="10" t="n"/>
      <c r="K509" s="11" t="n"/>
      <c r="L509" s="10" t="n"/>
      <c r="M509" s="11" t="n"/>
      <c r="N509" s="10" t="n"/>
      <c r="O509" s="11" t="n"/>
      <c r="P509" s="6" t="n"/>
      <c r="Q509" s="11" t="n"/>
      <c r="S509" s="8">
        <f>IF(B509="","",E509*F509)</f>
        <v/>
      </c>
      <c r="T509" s="8">
        <f>IF(OR(B509="",N(G509)=0),"",ABS(F509-G509)*E509)</f>
        <v/>
      </c>
      <c r="U509" s="8">
        <f>IF(OR(B509="",P509=""),"",IF(D509="Venda",-1,1)*((N(J509)*N(K509)+N(L509)*N(M509)+N(N509)*N(O509))-(N(J509)+N(L509)+N(N509))*F509)-N(Q509))</f>
        <v/>
      </c>
      <c r="V509" s="9">
        <f>IF(OR(B509="",P509=""),"",U509/S509)</f>
        <v/>
      </c>
      <c r="W509">
        <f>IF(OR(B509="",P509=""),"",P509-C509)</f>
        <v/>
      </c>
      <c r="X509">
        <f>IF(B509="","",IF(P509="","Aberto","Fechado"))</f>
        <v/>
      </c>
    </row>
    <row r="510">
      <c r="C510" s="6" t="n"/>
      <c r="E510" s="10" t="n"/>
      <c r="F510" s="11" t="n"/>
      <c r="G510" s="11" t="n"/>
      <c r="H510" s="11" t="n"/>
      <c r="J510" s="10" t="n"/>
      <c r="K510" s="11" t="n"/>
      <c r="L510" s="10" t="n"/>
      <c r="M510" s="11" t="n"/>
      <c r="N510" s="10" t="n"/>
      <c r="O510" s="11" t="n"/>
      <c r="P510" s="6" t="n"/>
      <c r="Q510" s="11" t="n"/>
      <c r="S510" s="8">
        <f>IF(B510="","",E510*F510)</f>
        <v/>
      </c>
      <c r="T510" s="8">
        <f>IF(OR(B510="",N(G510)=0),"",ABS(F510-G510)*E510)</f>
        <v/>
      </c>
      <c r="U510" s="8">
        <f>IF(OR(B510="",P510=""),"",IF(D510="Venda",-1,1)*((N(J510)*N(K510)+N(L510)*N(M510)+N(N510)*N(O510))-(N(J510)+N(L510)+N(N510))*F510)-N(Q510))</f>
        <v/>
      </c>
      <c r="V510" s="9">
        <f>IF(OR(B510="",P510=""),"",U510/S510)</f>
        <v/>
      </c>
      <c r="W510">
        <f>IF(OR(B510="",P510=""),"",P510-C510)</f>
        <v/>
      </c>
      <c r="X510">
        <f>IF(B510="","",IF(P510="","Aberto","Fechado"))</f>
        <v/>
      </c>
    </row>
    <row r="511">
      <c r="C511" s="6" t="n"/>
      <c r="E511" s="10" t="n"/>
      <c r="F511" s="11" t="n"/>
      <c r="G511" s="11" t="n"/>
      <c r="H511" s="11" t="n"/>
      <c r="J511" s="10" t="n"/>
      <c r="K511" s="11" t="n"/>
      <c r="L511" s="10" t="n"/>
      <c r="M511" s="11" t="n"/>
      <c r="N511" s="10" t="n"/>
      <c r="O511" s="11" t="n"/>
      <c r="P511" s="6" t="n"/>
      <c r="Q511" s="11" t="n"/>
      <c r="S511" s="8">
        <f>IF(B511="","",E511*F511)</f>
        <v/>
      </c>
      <c r="T511" s="8">
        <f>IF(OR(B511="",N(G511)=0),"",ABS(F511-G511)*E511)</f>
        <v/>
      </c>
      <c r="U511" s="8">
        <f>IF(OR(B511="",P511=""),"",IF(D511="Venda",-1,1)*((N(J511)*N(K511)+N(L511)*N(M511)+N(N511)*N(O511))-(N(J511)+N(L511)+N(N511))*F511)-N(Q511))</f>
        <v/>
      </c>
      <c r="V511" s="9">
        <f>IF(OR(B511="",P511=""),"",U511/S511)</f>
        <v/>
      </c>
      <c r="W511">
        <f>IF(OR(B511="",P511=""),"",P511-C511)</f>
        <v/>
      </c>
      <c r="X511">
        <f>IF(B511="","",IF(P511="","Aberto","Fechado"))</f>
        <v/>
      </c>
    </row>
    <row r="512">
      <c r="C512" s="6" t="n"/>
      <c r="E512" s="10" t="n"/>
      <c r="F512" s="11" t="n"/>
      <c r="G512" s="11" t="n"/>
      <c r="H512" s="11" t="n"/>
      <c r="J512" s="10" t="n"/>
      <c r="K512" s="11" t="n"/>
      <c r="L512" s="10" t="n"/>
      <c r="M512" s="11" t="n"/>
      <c r="N512" s="10" t="n"/>
      <c r="O512" s="11" t="n"/>
      <c r="P512" s="6" t="n"/>
      <c r="Q512" s="11" t="n"/>
      <c r="S512" s="8">
        <f>IF(B512="","",E512*F512)</f>
        <v/>
      </c>
      <c r="T512" s="8">
        <f>IF(OR(B512="",N(G512)=0),"",ABS(F512-G512)*E512)</f>
        <v/>
      </c>
      <c r="U512" s="8">
        <f>IF(OR(B512="",P512=""),"",IF(D512="Venda",-1,1)*((N(J512)*N(K512)+N(L512)*N(M512)+N(N512)*N(O512))-(N(J512)+N(L512)+N(N512))*F512)-N(Q512))</f>
        <v/>
      </c>
      <c r="V512" s="9">
        <f>IF(OR(B512="",P512=""),"",U512/S512)</f>
        <v/>
      </c>
      <c r="W512">
        <f>IF(OR(B512="",P512=""),"",P512-C512)</f>
        <v/>
      </c>
      <c r="X512">
        <f>IF(B512="","",IF(P512="","Aberto","Fechado"))</f>
        <v/>
      </c>
    </row>
    <row r="513">
      <c r="C513" s="6" t="n"/>
      <c r="E513" s="10" t="n"/>
      <c r="F513" s="11" t="n"/>
      <c r="G513" s="11" t="n"/>
      <c r="H513" s="11" t="n"/>
      <c r="J513" s="10" t="n"/>
      <c r="K513" s="11" t="n"/>
      <c r="L513" s="10" t="n"/>
      <c r="M513" s="11" t="n"/>
      <c r="N513" s="10" t="n"/>
      <c r="O513" s="11" t="n"/>
      <c r="P513" s="6" t="n"/>
      <c r="Q513" s="11" t="n"/>
      <c r="S513" s="8">
        <f>IF(B513="","",E513*F513)</f>
        <v/>
      </c>
      <c r="T513" s="8">
        <f>IF(OR(B513="",N(G513)=0),"",ABS(F513-G513)*E513)</f>
        <v/>
      </c>
      <c r="U513" s="8">
        <f>IF(OR(B513="",P513=""),"",IF(D513="Venda",-1,1)*((N(J513)*N(K513)+N(L513)*N(M513)+N(N513)*N(O513))-(N(J513)+N(L513)+N(N513))*F513)-N(Q513))</f>
        <v/>
      </c>
      <c r="V513" s="9">
        <f>IF(OR(B513="",P513=""),"",U513/S513)</f>
        <v/>
      </c>
      <c r="W513">
        <f>IF(OR(B513="",P513=""),"",P513-C513)</f>
        <v/>
      </c>
      <c r="X513">
        <f>IF(B513="","",IF(P513="","Aberto","Fechado"))</f>
        <v/>
      </c>
    </row>
    <row r="514">
      <c r="C514" s="6" t="n"/>
      <c r="E514" s="10" t="n"/>
      <c r="F514" s="11" t="n"/>
      <c r="G514" s="11" t="n"/>
      <c r="H514" s="11" t="n"/>
      <c r="J514" s="10" t="n"/>
      <c r="K514" s="11" t="n"/>
      <c r="L514" s="10" t="n"/>
      <c r="M514" s="11" t="n"/>
      <c r="N514" s="10" t="n"/>
      <c r="O514" s="11" t="n"/>
      <c r="P514" s="6" t="n"/>
      <c r="Q514" s="11" t="n"/>
      <c r="S514" s="8">
        <f>IF(B514="","",E514*F514)</f>
        <v/>
      </c>
      <c r="T514" s="8">
        <f>IF(OR(B514="",N(G514)=0),"",ABS(F514-G514)*E514)</f>
        <v/>
      </c>
      <c r="U514" s="8">
        <f>IF(OR(B514="",P514=""),"",IF(D514="Venda",-1,1)*((N(J514)*N(K514)+N(L514)*N(M514)+N(N514)*N(O514))-(N(J514)+N(L514)+N(N514))*F514)-N(Q514))</f>
        <v/>
      </c>
      <c r="V514" s="9">
        <f>IF(OR(B514="",P514=""),"",U514/S514)</f>
        <v/>
      </c>
      <c r="W514">
        <f>IF(OR(B514="",P514=""),"",P514-C514)</f>
        <v/>
      </c>
      <c r="X514">
        <f>IF(B514="","",IF(P514="","Aberto","Fechado"))</f>
        <v/>
      </c>
    </row>
    <row r="515">
      <c r="C515" s="6" t="n"/>
      <c r="E515" s="10" t="n"/>
      <c r="F515" s="11" t="n"/>
      <c r="G515" s="11" t="n"/>
      <c r="H515" s="11" t="n"/>
      <c r="J515" s="10" t="n"/>
      <c r="K515" s="11" t="n"/>
      <c r="L515" s="10" t="n"/>
      <c r="M515" s="11" t="n"/>
      <c r="N515" s="10" t="n"/>
      <c r="O515" s="11" t="n"/>
      <c r="P515" s="6" t="n"/>
      <c r="Q515" s="11" t="n"/>
      <c r="S515" s="8">
        <f>IF(B515="","",E515*F515)</f>
        <v/>
      </c>
      <c r="T515" s="8">
        <f>IF(OR(B515="",N(G515)=0),"",ABS(F515-G515)*E515)</f>
        <v/>
      </c>
      <c r="U515" s="8">
        <f>IF(OR(B515="",P515=""),"",IF(D515="Venda",-1,1)*((N(J515)*N(K515)+N(L515)*N(M515)+N(N515)*N(O515))-(N(J515)+N(L515)+N(N515))*F515)-N(Q515))</f>
        <v/>
      </c>
      <c r="V515" s="9">
        <f>IF(OR(B515="",P515=""),"",U515/S515)</f>
        <v/>
      </c>
      <c r="W515">
        <f>IF(OR(B515="",P515=""),"",P515-C515)</f>
        <v/>
      </c>
      <c r="X515">
        <f>IF(B515="","",IF(P515="","Aberto","Fechado"))</f>
        <v/>
      </c>
    </row>
    <row r="516">
      <c r="C516" s="6" t="n"/>
      <c r="E516" s="10" t="n"/>
      <c r="F516" s="11" t="n"/>
      <c r="G516" s="11" t="n"/>
      <c r="H516" s="11" t="n"/>
      <c r="J516" s="10" t="n"/>
      <c r="K516" s="11" t="n"/>
      <c r="L516" s="10" t="n"/>
      <c r="M516" s="11" t="n"/>
      <c r="N516" s="10" t="n"/>
      <c r="O516" s="11" t="n"/>
      <c r="P516" s="6" t="n"/>
      <c r="Q516" s="11" t="n"/>
      <c r="S516" s="8">
        <f>IF(B516="","",E516*F516)</f>
        <v/>
      </c>
      <c r="T516" s="8">
        <f>IF(OR(B516="",N(G516)=0),"",ABS(F516-G516)*E516)</f>
        <v/>
      </c>
      <c r="U516" s="8">
        <f>IF(OR(B516="",P516=""),"",IF(D516="Venda",-1,1)*((N(J516)*N(K516)+N(L516)*N(M516)+N(N516)*N(O516))-(N(J516)+N(L516)+N(N516))*F516)-N(Q516))</f>
        <v/>
      </c>
      <c r="V516" s="9">
        <f>IF(OR(B516="",P516=""),"",U516/S516)</f>
        <v/>
      </c>
      <c r="W516">
        <f>IF(OR(B516="",P516=""),"",P516-C516)</f>
        <v/>
      </c>
      <c r="X516">
        <f>IF(B516="","",IF(P516="","Aberto","Fechado"))</f>
        <v/>
      </c>
    </row>
    <row r="517">
      <c r="C517" s="6" t="n"/>
      <c r="E517" s="10" t="n"/>
      <c r="F517" s="11" t="n"/>
      <c r="G517" s="11" t="n"/>
      <c r="H517" s="11" t="n"/>
      <c r="J517" s="10" t="n"/>
      <c r="K517" s="11" t="n"/>
      <c r="L517" s="10" t="n"/>
      <c r="M517" s="11" t="n"/>
      <c r="N517" s="10" t="n"/>
      <c r="O517" s="11" t="n"/>
      <c r="P517" s="6" t="n"/>
      <c r="Q517" s="11" t="n"/>
      <c r="S517" s="8">
        <f>IF(B517="","",E517*F517)</f>
        <v/>
      </c>
      <c r="T517" s="8">
        <f>IF(OR(B517="",N(G517)=0),"",ABS(F517-G517)*E517)</f>
        <v/>
      </c>
      <c r="U517" s="8">
        <f>IF(OR(B517="",P517=""),"",IF(D517="Venda",-1,1)*((N(J517)*N(K517)+N(L517)*N(M517)+N(N517)*N(O517))-(N(J517)+N(L517)+N(N517))*F517)-N(Q517))</f>
        <v/>
      </c>
      <c r="V517" s="9">
        <f>IF(OR(B517="",P517=""),"",U517/S517)</f>
        <v/>
      </c>
      <c r="W517">
        <f>IF(OR(B517="",P517=""),"",P517-C517)</f>
        <v/>
      </c>
      <c r="X517">
        <f>IF(B517="","",IF(P517="","Aberto","Fechado"))</f>
        <v/>
      </c>
    </row>
    <row r="518">
      <c r="C518" s="6" t="n"/>
      <c r="E518" s="10" t="n"/>
      <c r="F518" s="11" t="n"/>
      <c r="G518" s="11" t="n"/>
      <c r="H518" s="11" t="n"/>
      <c r="J518" s="10" t="n"/>
      <c r="K518" s="11" t="n"/>
      <c r="L518" s="10" t="n"/>
      <c r="M518" s="11" t="n"/>
      <c r="N518" s="10" t="n"/>
      <c r="O518" s="11" t="n"/>
      <c r="P518" s="6" t="n"/>
      <c r="Q518" s="11" t="n"/>
      <c r="S518" s="8">
        <f>IF(B518="","",E518*F518)</f>
        <v/>
      </c>
      <c r="T518" s="8">
        <f>IF(OR(B518="",N(G518)=0),"",ABS(F518-G518)*E518)</f>
        <v/>
      </c>
      <c r="U518" s="8">
        <f>IF(OR(B518="",P518=""),"",IF(D518="Venda",-1,1)*((N(J518)*N(K518)+N(L518)*N(M518)+N(N518)*N(O518))-(N(J518)+N(L518)+N(N518))*F518)-N(Q518))</f>
        <v/>
      </c>
      <c r="V518" s="9">
        <f>IF(OR(B518="",P518=""),"",U518/S518)</f>
        <v/>
      </c>
      <c r="W518">
        <f>IF(OR(B518="",P518=""),"",P518-C518)</f>
        <v/>
      </c>
      <c r="X518">
        <f>IF(B518="","",IF(P518="","Aberto","Fechado"))</f>
        <v/>
      </c>
    </row>
    <row r="519">
      <c r="C519" s="6" t="n"/>
      <c r="E519" s="10" t="n"/>
      <c r="F519" s="11" t="n"/>
      <c r="G519" s="11" t="n"/>
      <c r="H519" s="11" t="n"/>
      <c r="J519" s="10" t="n"/>
      <c r="K519" s="11" t="n"/>
      <c r="L519" s="10" t="n"/>
      <c r="M519" s="11" t="n"/>
      <c r="N519" s="10" t="n"/>
      <c r="O519" s="11" t="n"/>
      <c r="P519" s="6" t="n"/>
      <c r="Q519" s="11" t="n"/>
      <c r="S519" s="8">
        <f>IF(B519="","",E519*F519)</f>
        <v/>
      </c>
      <c r="T519" s="8">
        <f>IF(OR(B519="",N(G519)=0),"",ABS(F519-G519)*E519)</f>
        <v/>
      </c>
      <c r="U519" s="8">
        <f>IF(OR(B519="",P519=""),"",IF(D519="Venda",-1,1)*((N(J519)*N(K519)+N(L519)*N(M519)+N(N519)*N(O519))-(N(J519)+N(L519)+N(N519))*F519)-N(Q519))</f>
        <v/>
      </c>
      <c r="V519" s="9">
        <f>IF(OR(B519="",P519=""),"",U519/S519)</f>
        <v/>
      </c>
      <c r="W519">
        <f>IF(OR(B519="",P519=""),"",P519-C519)</f>
        <v/>
      </c>
      <c r="X519">
        <f>IF(B519="","",IF(P519="","Aberto","Fechado"))</f>
        <v/>
      </c>
    </row>
    <row r="520">
      <c r="C520" s="6" t="n"/>
      <c r="E520" s="10" t="n"/>
      <c r="F520" s="11" t="n"/>
      <c r="G520" s="11" t="n"/>
      <c r="H520" s="11" t="n"/>
      <c r="J520" s="10" t="n"/>
      <c r="K520" s="11" t="n"/>
      <c r="L520" s="10" t="n"/>
      <c r="M520" s="11" t="n"/>
      <c r="N520" s="10" t="n"/>
      <c r="O520" s="11" t="n"/>
      <c r="P520" s="6" t="n"/>
      <c r="Q520" s="11" t="n"/>
      <c r="S520" s="8">
        <f>IF(B520="","",E520*F520)</f>
        <v/>
      </c>
      <c r="T520" s="8">
        <f>IF(OR(B520="",N(G520)=0),"",ABS(F520-G520)*E520)</f>
        <v/>
      </c>
      <c r="U520" s="8">
        <f>IF(OR(B520="",P520=""),"",IF(D520="Venda",-1,1)*((N(J520)*N(K520)+N(L520)*N(M520)+N(N520)*N(O520))-(N(J520)+N(L520)+N(N520))*F520)-N(Q520))</f>
        <v/>
      </c>
      <c r="V520" s="9">
        <f>IF(OR(B520="",P520=""),"",U520/S520)</f>
        <v/>
      </c>
      <c r="W520">
        <f>IF(OR(B520="",P520=""),"",P520-C520)</f>
        <v/>
      </c>
      <c r="X520">
        <f>IF(B520="","",IF(P520="","Aberto","Fechado"))</f>
        <v/>
      </c>
    </row>
    <row r="521">
      <c r="C521" s="6" t="n"/>
      <c r="E521" s="10" t="n"/>
      <c r="F521" s="11" t="n"/>
      <c r="G521" s="11" t="n"/>
      <c r="H521" s="11" t="n"/>
      <c r="J521" s="10" t="n"/>
      <c r="K521" s="11" t="n"/>
      <c r="L521" s="10" t="n"/>
      <c r="M521" s="11" t="n"/>
      <c r="N521" s="10" t="n"/>
      <c r="O521" s="11" t="n"/>
      <c r="P521" s="6" t="n"/>
      <c r="Q521" s="11" t="n"/>
      <c r="S521" s="8">
        <f>IF(B521="","",E521*F521)</f>
        <v/>
      </c>
      <c r="T521" s="8">
        <f>IF(OR(B521="",N(G521)=0),"",ABS(F521-G521)*E521)</f>
        <v/>
      </c>
      <c r="U521" s="8">
        <f>IF(OR(B521="",P521=""),"",IF(D521="Venda",-1,1)*((N(J521)*N(K521)+N(L521)*N(M521)+N(N521)*N(O521))-(N(J521)+N(L521)+N(N521))*F521)-N(Q521))</f>
        <v/>
      </c>
      <c r="V521" s="9">
        <f>IF(OR(B521="",P521=""),"",U521/S521)</f>
        <v/>
      </c>
      <c r="W521">
        <f>IF(OR(B521="",P521=""),"",P521-C521)</f>
        <v/>
      </c>
      <c r="X521">
        <f>IF(B521="","",IF(P521="","Aberto","Fechado"))</f>
        <v/>
      </c>
    </row>
    <row r="522">
      <c r="C522" s="6" t="n"/>
      <c r="E522" s="10" t="n"/>
      <c r="F522" s="11" t="n"/>
      <c r="G522" s="11" t="n"/>
      <c r="H522" s="11" t="n"/>
      <c r="J522" s="10" t="n"/>
      <c r="K522" s="11" t="n"/>
      <c r="L522" s="10" t="n"/>
      <c r="M522" s="11" t="n"/>
      <c r="N522" s="10" t="n"/>
      <c r="O522" s="11" t="n"/>
      <c r="P522" s="6" t="n"/>
      <c r="Q522" s="11" t="n"/>
      <c r="S522" s="8">
        <f>IF(B522="","",E522*F522)</f>
        <v/>
      </c>
      <c r="T522" s="8">
        <f>IF(OR(B522="",N(G522)=0),"",ABS(F522-G522)*E522)</f>
        <v/>
      </c>
      <c r="U522" s="8">
        <f>IF(OR(B522="",P522=""),"",IF(D522="Venda",-1,1)*((N(J522)*N(K522)+N(L522)*N(M522)+N(N522)*N(O522))-(N(J522)+N(L522)+N(N522))*F522)-N(Q522))</f>
        <v/>
      </c>
      <c r="V522" s="9">
        <f>IF(OR(B522="",P522=""),"",U522/S522)</f>
        <v/>
      </c>
      <c r="W522">
        <f>IF(OR(B522="",P522=""),"",P522-C522)</f>
        <v/>
      </c>
      <c r="X522">
        <f>IF(B522="","",IF(P522="","Aberto","Fechado"))</f>
        <v/>
      </c>
    </row>
    <row r="523">
      <c r="C523" s="6" t="n"/>
      <c r="E523" s="10" t="n"/>
      <c r="F523" s="11" t="n"/>
      <c r="G523" s="11" t="n"/>
      <c r="H523" s="11" t="n"/>
      <c r="J523" s="10" t="n"/>
      <c r="K523" s="11" t="n"/>
      <c r="L523" s="10" t="n"/>
      <c r="M523" s="11" t="n"/>
      <c r="N523" s="10" t="n"/>
      <c r="O523" s="11" t="n"/>
      <c r="P523" s="6" t="n"/>
      <c r="Q523" s="11" t="n"/>
      <c r="S523" s="8">
        <f>IF(B523="","",E523*F523)</f>
        <v/>
      </c>
      <c r="T523" s="8">
        <f>IF(OR(B523="",N(G523)=0),"",ABS(F523-G523)*E523)</f>
        <v/>
      </c>
      <c r="U523" s="8">
        <f>IF(OR(B523="",P523=""),"",IF(D523="Venda",-1,1)*((N(J523)*N(K523)+N(L523)*N(M523)+N(N523)*N(O523))-(N(J523)+N(L523)+N(N523))*F523)-N(Q523))</f>
        <v/>
      </c>
      <c r="V523" s="9">
        <f>IF(OR(B523="",P523=""),"",U523/S523)</f>
        <v/>
      </c>
      <c r="W523">
        <f>IF(OR(B523="",P523=""),"",P523-C523)</f>
        <v/>
      </c>
      <c r="X523">
        <f>IF(B523="","",IF(P523="","Aberto","Fechado"))</f>
        <v/>
      </c>
    </row>
    <row r="524">
      <c r="C524" s="6" t="n"/>
      <c r="E524" s="10" t="n"/>
      <c r="F524" s="11" t="n"/>
      <c r="G524" s="11" t="n"/>
      <c r="H524" s="11" t="n"/>
      <c r="J524" s="10" t="n"/>
      <c r="K524" s="11" t="n"/>
      <c r="L524" s="10" t="n"/>
      <c r="M524" s="11" t="n"/>
      <c r="N524" s="10" t="n"/>
      <c r="O524" s="11" t="n"/>
      <c r="P524" s="6" t="n"/>
      <c r="Q524" s="11" t="n"/>
      <c r="S524" s="8">
        <f>IF(B524="","",E524*F524)</f>
        <v/>
      </c>
      <c r="T524" s="8">
        <f>IF(OR(B524="",N(G524)=0),"",ABS(F524-G524)*E524)</f>
        <v/>
      </c>
      <c r="U524" s="8">
        <f>IF(OR(B524="",P524=""),"",IF(D524="Venda",-1,1)*((N(J524)*N(K524)+N(L524)*N(M524)+N(N524)*N(O524))-(N(J524)+N(L524)+N(N524))*F524)-N(Q524))</f>
        <v/>
      </c>
      <c r="V524" s="9">
        <f>IF(OR(B524="",P524=""),"",U524/S524)</f>
        <v/>
      </c>
      <c r="W524">
        <f>IF(OR(B524="",P524=""),"",P524-C524)</f>
        <v/>
      </c>
      <c r="X524">
        <f>IF(B524="","",IF(P524="","Aberto","Fechado"))</f>
        <v/>
      </c>
    </row>
    <row r="525">
      <c r="C525" s="6" t="n"/>
      <c r="E525" s="10" t="n"/>
      <c r="F525" s="11" t="n"/>
      <c r="G525" s="11" t="n"/>
      <c r="H525" s="11" t="n"/>
      <c r="J525" s="10" t="n"/>
      <c r="K525" s="11" t="n"/>
      <c r="L525" s="10" t="n"/>
      <c r="M525" s="11" t="n"/>
      <c r="N525" s="10" t="n"/>
      <c r="O525" s="11" t="n"/>
      <c r="P525" s="6" t="n"/>
      <c r="Q525" s="11" t="n"/>
      <c r="S525" s="8">
        <f>IF(B525="","",E525*F525)</f>
        <v/>
      </c>
      <c r="T525" s="8">
        <f>IF(OR(B525="",N(G525)=0),"",ABS(F525-G525)*E525)</f>
        <v/>
      </c>
      <c r="U525" s="8">
        <f>IF(OR(B525="",P525=""),"",IF(D525="Venda",-1,1)*((N(J525)*N(K525)+N(L525)*N(M525)+N(N525)*N(O525))-(N(J525)+N(L525)+N(N525))*F525)-N(Q525))</f>
        <v/>
      </c>
      <c r="V525" s="9">
        <f>IF(OR(B525="",P525=""),"",U525/S525)</f>
        <v/>
      </c>
      <c r="W525">
        <f>IF(OR(B525="",P525=""),"",P525-C525)</f>
        <v/>
      </c>
      <c r="X525">
        <f>IF(B525="","",IF(P525="","Aberto","Fechado"))</f>
        <v/>
      </c>
    </row>
    <row r="526">
      <c r="C526" s="6" t="n"/>
      <c r="E526" s="10" t="n"/>
      <c r="F526" s="11" t="n"/>
      <c r="G526" s="11" t="n"/>
      <c r="H526" s="11" t="n"/>
      <c r="J526" s="10" t="n"/>
      <c r="K526" s="11" t="n"/>
      <c r="L526" s="10" t="n"/>
      <c r="M526" s="11" t="n"/>
      <c r="N526" s="10" t="n"/>
      <c r="O526" s="11" t="n"/>
      <c r="P526" s="6" t="n"/>
      <c r="Q526" s="11" t="n"/>
      <c r="S526" s="8">
        <f>IF(B526="","",E526*F526)</f>
        <v/>
      </c>
      <c r="T526" s="8">
        <f>IF(OR(B526="",N(G526)=0),"",ABS(F526-G526)*E526)</f>
        <v/>
      </c>
      <c r="U526" s="8">
        <f>IF(OR(B526="",P526=""),"",IF(D526="Venda",-1,1)*((N(J526)*N(K526)+N(L526)*N(M526)+N(N526)*N(O526))-(N(J526)+N(L526)+N(N526))*F526)-N(Q526))</f>
        <v/>
      </c>
      <c r="V526" s="9">
        <f>IF(OR(B526="",P526=""),"",U526/S526)</f>
        <v/>
      </c>
      <c r="W526">
        <f>IF(OR(B526="",P526=""),"",P526-C526)</f>
        <v/>
      </c>
      <c r="X526">
        <f>IF(B526="","",IF(P526="","Aberto","Fechado"))</f>
        <v/>
      </c>
    </row>
    <row r="527">
      <c r="C527" s="6" t="n"/>
      <c r="E527" s="10" t="n"/>
      <c r="F527" s="11" t="n"/>
      <c r="G527" s="11" t="n"/>
      <c r="H527" s="11" t="n"/>
      <c r="J527" s="10" t="n"/>
      <c r="K527" s="11" t="n"/>
      <c r="L527" s="10" t="n"/>
      <c r="M527" s="11" t="n"/>
      <c r="N527" s="10" t="n"/>
      <c r="O527" s="11" t="n"/>
      <c r="P527" s="6" t="n"/>
      <c r="Q527" s="11" t="n"/>
      <c r="S527" s="8">
        <f>IF(B527="","",E527*F527)</f>
        <v/>
      </c>
      <c r="T527" s="8">
        <f>IF(OR(B527="",N(G527)=0),"",ABS(F527-G527)*E527)</f>
        <v/>
      </c>
      <c r="U527" s="8">
        <f>IF(OR(B527="",P527=""),"",IF(D527="Venda",-1,1)*((N(J527)*N(K527)+N(L527)*N(M527)+N(N527)*N(O527))-(N(J527)+N(L527)+N(N527))*F527)-N(Q527))</f>
        <v/>
      </c>
      <c r="V527" s="9">
        <f>IF(OR(B527="",P527=""),"",U527/S527)</f>
        <v/>
      </c>
      <c r="W527">
        <f>IF(OR(B527="",P527=""),"",P527-C527)</f>
        <v/>
      </c>
      <c r="X527">
        <f>IF(B527="","",IF(P527="","Aberto","Fechado"))</f>
        <v/>
      </c>
    </row>
    <row r="528">
      <c r="C528" s="6" t="n"/>
      <c r="E528" s="10" t="n"/>
      <c r="F528" s="11" t="n"/>
      <c r="G528" s="11" t="n"/>
      <c r="H528" s="11" t="n"/>
      <c r="J528" s="10" t="n"/>
      <c r="K528" s="11" t="n"/>
      <c r="L528" s="10" t="n"/>
      <c r="M528" s="11" t="n"/>
      <c r="N528" s="10" t="n"/>
      <c r="O528" s="11" t="n"/>
      <c r="P528" s="6" t="n"/>
      <c r="Q528" s="11" t="n"/>
      <c r="S528" s="8">
        <f>IF(B528="","",E528*F528)</f>
        <v/>
      </c>
      <c r="T528" s="8">
        <f>IF(OR(B528="",N(G528)=0),"",ABS(F528-G528)*E528)</f>
        <v/>
      </c>
      <c r="U528" s="8">
        <f>IF(OR(B528="",P528=""),"",IF(D528="Venda",-1,1)*((N(J528)*N(K528)+N(L528)*N(M528)+N(N528)*N(O528))-(N(J528)+N(L528)+N(N528))*F528)-N(Q528))</f>
        <v/>
      </c>
      <c r="V528" s="9">
        <f>IF(OR(B528="",P528=""),"",U528/S528)</f>
        <v/>
      </c>
      <c r="W528">
        <f>IF(OR(B528="",P528=""),"",P528-C528)</f>
        <v/>
      </c>
      <c r="X528">
        <f>IF(B528="","",IF(P528="","Aberto","Fechado"))</f>
        <v/>
      </c>
    </row>
    <row r="529">
      <c r="C529" s="6" t="n"/>
      <c r="E529" s="10" t="n"/>
      <c r="F529" s="11" t="n"/>
      <c r="G529" s="11" t="n"/>
      <c r="H529" s="11" t="n"/>
      <c r="J529" s="10" t="n"/>
      <c r="K529" s="11" t="n"/>
      <c r="L529" s="10" t="n"/>
      <c r="M529" s="11" t="n"/>
      <c r="N529" s="10" t="n"/>
      <c r="O529" s="11" t="n"/>
      <c r="P529" s="6" t="n"/>
      <c r="Q529" s="11" t="n"/>
      <c r="S529" s="8">
        <f>IF(B529="","",E529*F529)</f>
        <v/>
      </c>
      <c r="T529" s="8">
        <f>IF(OR(B529="",N(G529)=0),"",ABS(F529-G529)*E529)</f>
        <v/>
      </c>
      <c r="U529" s="8">
        <f>IF(OR(B529="",P529=""),"",IF(D529="Venda",-1,1)*((N(J529)*N(K529)+N(L529)*N(M529)+N(N529)*N(O529))-(N(J529)+N(L529)+N(N529))*F529)-N(Q529))</f>
        <v/>
      </c>
      <c r="V529" s="9">
        <f>IF(OR(B529="",P529=""),"",U529/S529)</f>
        <v/>
      </c>
      <c r="W529">
        <f>IF(OR(B529="",P529=""),"",P529-C529)</f>
        <v/>
      </c>
      <c r="X529">
        <f>IF(B529="","",IF(P529="","Aberto","Fechado"))</f>
        <v/>
      </c>
    </row>
    <row r="530">
      <c r="C530" s="6" t="n"/>
      <c r="E530" s="10" t="n"/>
      <c r="F530" s="11" t="n"/>
      <c r="G530" s="11" t="n"/>
      <c r="H530" s="11" t="n"/>
      <c r="J530" s="10" t="n"/>
      <c r="K530" s="11" t="n"/>
      <c r="L530" s="10" t="n"/>
      <c r="M530" s="11" t="n"/>
      <c r="N530" s="10" t="n"/>
      <c r="O530" s="11" t="n"/>
      <c r="P530" s="6" t="n"/>
      <c r="Q530" s="11" t="n"/>
      <c r="S530" s="8">
        <f>IF(B530="","",E530*F530)</f>
        <v/>
      </c>
      <c r="T530" s="8">
        <f>IF(OR(B530="",N(G530)=0),"",ABS(F530-G530)*E530)</f>
        <v/>
      </c>
      <c r="U530" s="8">
        <f>IF(OR(B530="",P530=""),"",IF(D530="Venda",-1,1)*((N(J530)*N(K530)+N(L530)*N(M530)+N(N530)*N(O530))-(N(J530)+N(L530)+N(N530))*F530)-N(Q530))</f>
        <v/>
      </c>
      <c r="V530" s="9">
        <f>IF(OR(B530="",P530=""),"",U530/S530)</f>
        <v/>
      </c>
      <c r="W530">
        <f>IF(OR(B530="",P530=""),"",P530-C530)</f>
        <v/>
      </c>
      <c r="X530">
        <f>IF(B530="","",IF(P530="","Aberto","Fechado"))</f>
        <v/>
      </c>
    </row>
    <row r="531">
      <c r="C531" s="6" t="n"/>
      <c r="E531" s="10" t="n"/>
      <c r="F531" s="11" t="n"/>
      <c r="G531" s="11" t="n"/>
      <c r="H531" s="11" t="n"/>
      <c r="J531" s="10" t="n"/>
      <c r="K531" s="11" t="n"/>
      <c r="L531" s="10" t="n"/>
      <c r="M531" s="11" t="n"/>
      <c r="N531" s="10" t="n"/>
      <c r="O531" s="11" t="n"/>
      <c r="P531" s="6" t="n"/>
      <c r="Q531" s="11" t="n"/>
      <c r="S531" s="8">
        <f>IF(B531="","",E531*F531)</f>
        <v/>
      </c>
      <c r="T531" s="8">
        <f>IF(OR(B531="",N(G531)=0),"",ABS(F531-G531)*E531)</f>
        <v/>
      </c>
      <c r="U531" s="8">
        <f>IF(OR(B531="",P531=""),"",IF(D531="Venda",-1,1)*((N(J531)*N(K531)+N(L531)*N(M531)+N(N531)*N(O531))-(N(J531)+N(L531)+N(N531))*F531)-N(Q531))</f>
        <v/>
      </c>
      <c r="V531" s="9">
        <f>IF(OR(B531="",P531=""),"",U531/S531)</f>
        <v/>
      </c>
      <c r="W531">
        <f>IF(OR(B531="",P531=""),"",P531-C531)</f>
        <v/>
      </c>
      <c r="X531">
        <f>IF(B531="","",IF(P531="","Aberto","Fechado"))</f>
        <v/>
      </c>
    </row>
    <row r="532">
      <c r="C532" s="6" t="n"/>
      <c r="E532" s="10" t="n"/>
      <c r="F532" s="11" t="n"/>
      <c r="G532" s="11" t="n"/>
      <c r="H532" s="11" t="n"/>
      <c r="J532" s="10" t="n"/>
      <c r="K532" s="11" t="n"/>
      <c r="L532" s="10" t="n"/>
      <c r="M532" s="11" t="n"/>
      <c r="N532" s="10" t="n"/>
      <c r="O532" s="11" t="n"/>
      <c r="P532" s="6" t="n"/>
      <c r="Q532" s="11" t="n"/>
      <c r="S532" s="8">
        <f>IF(B532="","",E532*F532)</f>
        <v/>
      </c>
      <c r="T532" s="8">
        <f>IF(OR(B532="",N(G532)=0),"",ABS(F532-G532)*E532)</f>
        <v/>
      </c>
      <c r="U532" s="8">
        <f>IF(OR(B532="",P532=""),"",IF(D532="Venda",-1,1)*((N(J532)*N(K532)+N(L532)*N(M532)+N(N532)*N(O532))-(N(J532)+N(L532)+N(N532))*F532)-N(Q532))</f>
        <v/>
      </c>
      <c r="V532" s="9">
        <f>IF(OR(B532="",P532=""),"",U532/S532)</f>
        <v/>
      </c>
      <c r="W532">
        <f>IF(OR(B532="",P532=""),"",P532-C532)</f>
        <v/>
      </c>
      <c r="X532">
        <f>IF(B532="","",IF(P532="","Aberto","Fechado"))</f>
        <v/>
      </c>
    </row>
    <row r="533">
      <c r="C533" s="6" t="n"/>
      <c r="E533" s="10" t="n"/>
      <c r="F533" s="11" t="n"/>
      <c r="G533" s="11" t="n"/>
      <c r="H533" s="11" t="n"/>
      <c r="J533" s="10" t="n"/>
      <c r="K533" s="11" t="n"/>
      <c r="L533" s="10" t="n"/>
      <c r="M533" s="11" t="n"/>
      <c r="N533" s="10" t="n"/>
      <c r="O533" s="11" t="n"/>
      <c r="P533" s="6" t="n"/>
      <c r="Q533" s="11" t="n"/>
      <c r="S533" s="8">
        <f>IF(B533="","",E533*F533)</f>
        <v/>
      </c>
      <c r="T533" s="8">
        <f>IF(OR(B533="",N(G533)=0),"",ABS(F533-G533)*E533)</f>
        <v/>
      </c>
      <c r="U533" s="8">
        <f>IF(OR(B533="",P533=""),"",IF(D533="Venda",-1,1)*((N(J533)*N(K533)+N(L533)*N(M533)+N(N533)*N(O533))-(N(J533)+N(L533)+N(N533))*F533)-N(Q533))</f>
        <v/>
      </c>
      <c r="V533" s="9">
        <f>IF(OR(B533="",P533=""),"",U533/S533)</f>
        <v/>
      </c>
      <c r="W533">
        <f>IF(OR(B533="",P533=""),"",P533-C533)</f>
        <v/>
      </c>
      <c r="X533">
        <f>IF(B533="","",IF(P533="","Aberto","Fechado"))</f>
        <v/>
      </c>
    </row>
    <row r="534">
      <c r="C534" s="6" t="n"/>
      <c r="E534" s="10" t="n"/>
      <c r="F534" s="11" t="n"/>
      <c r="G534" s="11" t="n"/>
      <c r="H534" s="11" t="n"/>
      <c r="J534" s="10" t="n"/>
      <c r="K534" s="11" t="n"/>
      <c r="L534" s="10" t="n"/>
      <c r="M534" s="11" t="n"/>
      <c r="N534" s="10" t="n"/>
      <c r="O534" s="11" t="n"/>
      <c r="P534" s="6" t="n"/>
      <c r="Q534" s="11" t="n"/>
      <c r="S534" s="8">
        <f>IF(B534="","",E534*F534)</f>
        <v/>
      </c>
      <c r="T534" s="8">
        <f>IF(OR(B534="",N(G534)=0),"",ABS(F534-G534)*E534)</f>
        <v/>
      </c>
      <c r="U534" s="8">
        <f>IF(OR(B534="",P534=""),"",IF(D534="Venda",-1,1)*((N(J534)*N(K534)+N(L534)*N(M534)+N(N534)*N(O534))-(N(J534)+N(L534)+N(N534))*F534)-N(Q534))</f>
        <v/>
      </c>
      <c r="V534" s="9">
        <f>IF(OR(B534="",P534=""),"",U534/S534)</f>
        <v/>
      </c>
      <c r="W534">
        <f>IF(OR(B534="",P534=""),"",P534-C534)</f>
        <v/>
      </c>
      <c r="X534">
        <f>IF(B534="","",IF(P534="","Aberto","Fechado"))</f>
        <v/>
      </c>
    </row>
    <row r="535">
      <c r="C535" s="6" t="n"/>
      <c r="E535" s="10" t="n"/>
      <c r="F535" s="11" t="n"/>
      <c r="G535" s="11" t="n"/>
      <c r="H535" s="11" t="n"/>
      <c r="J535" s="10" t="n"/>
      <c r="K535" s="11" t="n"/>
      <c r="L535" s="10" t="n"/>
      <c r="M535" s="11" t="n"/>
      <c r="N535" s="10" t="n"/>
      <c r="O535" s="11" t="n"/>
      <c r="P535" s="6" t="n"/>
      <c r="Q535" s="11" t="n"/>
      <c r="S535" s="8">
        <f>IF(B535="","",E535*F535)</f>
        <v/>
      </c>
      <c r="T535" s="8">
        <f>IF(OR(B535="",N(G535)=0),"",ABS(F535-G535)*E535)</f>
        <v/>
      </c>
      <c r="U535" s="8">
        <f>IF(OR(B535="",P535=""),"",IF(D535="Venda",-1,1)*((N(J535)*N(K535)+N(L535)*N(M535)+N(N535)*N(O535))-(N(J535)+N(L535)+N(N535))*F535)-N(Q535))</f>
        <v/>
      </c>
      <c r="V535" s="9">
        <f>IF(OR(B535="",P535=""),"",U535/S535)</f>
        <v/>
      </c>
      <c r="W535">
        <f>IF(OR(B535="",P535=""),"",P535-C535)</f>
        <v/>
      </c>
      <c r="X535">
        <f>IF(B535="","",IF(P535="","Aberto","Fechado"))</f>
        <v/>
      </c>
    </row>
    <row r="536">
      <c r="C536" s="6" t="n"/>
      <c r="E536" s="10" t="n"/>
      <c r="F536" s="11" t="n"/>
      <c r="G536" s="11" t="n"/>
      <c r="H536" s="11" t="n"/>
      <c r="J536" s="10" t="n"/>
      <c r="K536" s="11" t="n"/>
      <c r="L536" s="10" t="n"/>
      <c r="M536" s="11" t="n"/>
      <c r="N536" s="10" t="n"/>
      <c r="O536" s="11" t="n"/>
      <c r="P536" s="6" t="n"/>
      <c r="Q536" s="11" t="n"/>
      <c r="S536" s="8">
        <f>IF(B536="","",E536*F536)</f>
        <v/>
      </c>
      <c r="T536" s="8">
        <f>IF(OR(B536="",N(G536)=0),"",ABS(F536-G536)*E536)</f>
        <v/>
      </c>
      <c r="U536" s="8">
        <f>IF(OR(B536="",P536=""),"",IF(D536="Venda",-1,1)*((N(J536)*N(K536)+N(L536)*N(M536)+N(N536)*N(O536))-(N(J536)+N(L536)+N(N536))*F536)-N(Q536))</f>
        <v/>
      </c>
      <c r="V536" s="9">
        <f>IF(OR(B536="",P536=""),"",U536/S536)</f>
        <v/>
      </c>
      <c r="W536">
        <f>IF(OR(B536="",P536=""),"",P536-C536)</f>
        <v/>
      </c>
      <c r="X536">
        <f>IF(B536="","",IF(P536="","Aberto","Fechado"))</f>
        <v/>
      </c>
    </row>
    <row r="537">
      <c r="C537" s="6" t="n"/>
      <c r="E537" s="10" t="n"/>
      <c r="F537" s="11" t="n"/>
      <c r="G537" s="11" t="n"/>
      <c r="H537" s="11" t="n"/>
      <c r="J537" s="10" t="n"/>
      <c r="K537" s="11" t="n"/>
      <c r="L537" s="10" t="n"/>
      <c r="M537" s="11" t="n"/>
      <c r="N537" s="10" t="n"/>
      <c r="O537" s="11" t="n"/>
      <c r="P537" s="6" t="n"/>
      <c r="Q537" s="11" t="n"/>
      <c r="S537" s="8">
        <f>IF(B537="","",E537*F537)</f>
        <v/>
      </c>
      <c r="T537" s="8">
        <f>IF(OR(B537="",N(G537)=0),"",ABS(F537-G537)*E537)</f>
        <v/>
      </c>
      <c r="U537" s="8">
        <f>IF(OR(B537="",P537=""),"",IF(D537="Venda",-1,1)*((N(J537)*N(K537)+N(L537)*N(M537)+N(N537)*N(O537))-(N(J537)+N(L537)+N(N537))*F537)-N(Q537))</f>
        <v/>
      </c>
      <c r="V537" s="9">
        <f>IF(OR(B537="",P537=""),"",U537/S537)</f>
        <v/>
      </c>
      <c r="W537">
        <f>IF(OR(B537="",P537=""),"",P537-C537)</f>
        <v/>
      </c>
      <c r="X537">
        <f>IF(B537="","",IF(P537="","Aberto","Fechado"))</f>
        <v/>
      </c>
    </row>
    <row r="538">
      <c r="C538" s="6" t="n"/>
      <c r="E538" s="10" t="n"/>
      <c r="F538" s="11" t="n"/>
      <c r="G538" s="11" t="n"/>
      <c r="H538" s="11" t="n"/>
      <c r="J538" s="10" t="n"/>
      <c r="K538" s="11" t="n"/>
      <c r="L538" s="10" t="n"/>
      <c r="M538" s="11" t="n"/>
      <c r="N538" s="10" t="n"/>
      <c r="O538" s="11" t="n"/>
      <c r="P538" s="6" t="n"/>
      <c r="Q538" s="11" t="n"/>
      <c r="S538" s="8">
        <f>IF(B538="","",E538*F538)</f>
        <v/>
      </c>
      <c r="T538" s="8">
        <f>IF(OR(B538="",N(G538)=0),"",ABS(F538-G538)*E538)</f>
        <v/>
      </c>
      <c r="U538" s="8">
        <f>IF(OR(B538="",P538=""),"",IF(D538="Venda",-1,1)*((N(J538)*N(K538)+N(L538)*N(M538)+N(N538)*N(O538))-(N(J538)+N(L538)+N(N538))*F538)-N(Q538))</f>
        <v/>
      </c>
      <c r="V538" s="9">
        <f>IF(OR(B538="",P538=""),"",U538/S538)</f>
        <v/>
      </c>
      <c r="W538">
        <f>IF(OR(B538="",P538=""),"",P538-C538)</f>
        <v/>
      </c>
      <c r="X538">
        <f>IF(B538="","",IF(P538="","Aberto","Fechado"))</f>
        <v/>
      </c>
    </row>
    <row r="539">
      <c r="C539" s="6" t="n"/>
      <c r="E539" s="10" t="n"/>
      <c r="F539" s="11" t="n"/>
      <c r="G539" s="11" t="n"/>
      <c r="H539" s="11" t="n"/>
      <c r="J539" s="10" t="n"/>
      <c r="K539" s="11" t="n"/>
      <c r="L539" s="10" t="n"/>
      <c r="M539" s="11" t="n"/>
      <c r="N539" s="10" t="n"/>
      <c r="O539" s="11" t="n"/>
      <c r="P539" s="6" t="n"/>
      <c r="Q539" s="11" t="n"/>
      <c r="S539" s="8">
        <f>IF(B539="","",E539*F539)</f>
        <v/>
      </c>
      <c r="T539" s="8">
        <f>IF(OR(B539="",N(G539)=0),"",ABS(F539-G539)*E539)</f>
        <v/>
      </c>
      <c r="U539" s="8">
        <f>IF(OR(B539="",P539=""),"",IF(D539="Venda",-1,1)*((N(J539)*N(K539)+N(L539)*N(M539)+N(N539)*N(O539))-(N(J539)+N(L539)+N(N539))*F539)-N(Q539))</f>
        <v/>
      </c>
      <c r="V539" s="9">
        <f>IF(OR(B539="",P539=""),"",U539/S539)</f>
        <v/>
      </c>
      <c r="W539">
        <f>IF(OR(B539="",P539=""),"",P539-C539)</f>
        <v/>
      </c>
      <c r="X539">
        <f>IF(B539="","",IF(P539="","Aberto","Fechado"))</f>
        <v/>
      </c>
    </row>
    <row r="540">
      <c r="C540" s="6" t="n"/>
      <c r="E540" s="10" t="n"/>
      <c r="F540" s="11" t="n"/>
      <c r="G540" s="11" t="n"/>
      <c r="H540" s="11" t="n"/>
      <c r="J540" s="10" t="n"/>
      <c r="K540" s="11" t="n"/>
      <c r="L540" s="10" t="n"/>
      <c r="M540" s="11" t="n"/>
      <c r="N540" s="10" t="n"/>
      <c r="O540" s="11" t="n"/>
      <c r="P540" s="6" t="n"/>
      <c r="Q540" s="11" t="n"/>
      <c r="S540" s="8">
        <f>IF(B540="","",E540*F540)</f>
        <v/>
      </c>
      <c r="T540" s="8">
        <f>IF(OR(B540="",N(G540)=0),"",ABS(F540-G540)*E540)</f>
        <v/>
      </c>
      <c r="U540" s="8">
        <f>IF(OR(B540="",P540=""),"",IF(D540="Venda",-1,1)*((N(J540)*N(K540)+N(L540)*N(M540)+N(N540)*N(O540))-(N(J540)+N(L540)+N(N540))*F540)-N(Q540))</f>
        <v/>
      </c>
      <c r="V540" s="9">
        <f>IF(OR(B540="",P540=""),"",U540/S540)</f>
        <v/>
      </c>
      <c r="W540">
        <f>IF(OR(B540="",P540=""),"",P540-C540)</f>
        <v/>
      </c>
      <c r="X540">
        <f>IF(B540="","",IF(P540="","Aberto","Fechado"))</f>
        <v/>
      </c>
    </row>
    <row r="541">
      <c r="C541" s="6" t="n"/>
      <c r="E541" s="10" t="n"/>
      <c r="F541" s="11" t="n"/>
      <c r="G541" s="11" t="n"/>
      <c r="H541" s="11" t="n"/>
      <c r="J541" s="10" t="n"/>
      <c r="K541" s="11" t="n"/>
      <c r="L541" s="10" t="n"/>
      <c r="M541" s="11" t="n"/>
      <c r="N541" s="10" t="n"/>
      <c r="O541" s="11" t="n"/>
      <c r="P541" s="6" t="n"/>
      <c r="Q541" s="11" t="n"/>
      <c r="S541" s="8">
        <f>IF(B541="","",E541*F541)</f>
        <v/>
      </c>
      <c r="T541" s="8">
        <f>IF(OR(B541="",N(G541)=0),"",ABS(F541-G541)*E541)</f>
        <v/>
      </c>
      <c r="U541" s="8">
        <f>IF(OR(B541="",P541=""),"",IF(D541="Venda",-1,1)*((N(J541)*N(K541)+N(L541)*N(M541)+N(N541)*N(O541))-(N(J541)+N(L541)+N(N541))*F541)-N(Q541))</f>
        <v/>
      </c>
      <c r="V541" s="9">
        <f>IF(OR(B541="",P541=""),"",U541/S541)</f>
        <v/>
      </c>
      <c r="W541">
        <f>IF(OR(B541="",P541=""),"",P541-C541)</f>
        <v/>
      </c>
      <c r="X541">
        <f>IF(B541="","",IF(P541="","Aberto","Fechado"))</f>
        <v/>
      </c>
    </row>
    <row r="542">
      <c r="C542" s="6" t="n"/>
      <c r="E542" s="10" t="n"/>
      <c r="F542" s="11" t="n"/>
      <c r="G542" s="11" t="n"/>
      <c r="H542" s="11" t="n"/>
      <c r="J542" s="10" t="n"/>
      <c r="K542" s="11" t="n"/>
      <c r="L542" s="10" t="n"/>
      <c r="M542" s="11" t="n"/>
      <c r="N542" s="10" t="n"/>
      <c r="O542" s="11" t="n"/>
      <c r="P542" s="6" t="n"/>
      <c r="Q542" s="11" t="n"/>
      <c r="S542" s="8">
        <f>IF(B542="","",E542*F542)</f>
        <v/>
      </c>
      <c r="T542" s="8">
        <f>IF(OR(B542="",N(G542)=0),"",ABS(F542-G542)*E542)</f>
        <v/>
      </c>
      <c r="U542" s="8">
        <f>IF(OR(B542="",P542=""),"",IF(D542="Venda",-1,1)*((N(J542)*N(K542)+N(L542)*N(M542)+N(N542)*N(O542))-(N(J542)+N(L542)+N(N542))*F542)-N(Q542))</f>
        <v/>
      </c>
      <c r="V542" s="9">
        <f>IF(OR(B542="",P542=""),"",U542/S542)</f>
        <v/>
      </c>
      <c r="W542">
        <f>IF(OR(B542="",P542=""),"",P542-C542)</f>
        <v/>
      </c>
      <c r="X542">
        <f>IF(B542="","",IF(P542="","Aberto","Fechado"))</f>
        <v/>
      </c>
    </row>
    <row r="543">
      <c r="C543" s="6" t="n"/>
      <c r="E543" s="10" t="n"/>
      <c r="F543" s="11" t="n"/>
      <c r="G543" s="11" t="n"/>
      <c r="H543" s="11" t="n"/>
      <c r="J543" s="10" t="n"/>
      <c r="K543" s="11" t="n"/>
      <c r="L543" s="10" t="n"/>
      <c r="M543" s="11" t="n"/>
      <c r="N543" s="10" t="n"/>
      <c r="O543" s="11" t="n"/>
      <c r="P543" s="6" t="n"/>
      <c r="Q543" s="11" t="n"/>
      <c r="S543" s="8">
        <f>IF(B543="","",E543*F543)</f>
        <v/>
      </c>
      <c r="T543" s="8">
        <f>IF(OR(B543="",N(G543)=0),"",ABS(F543-G543)*E543)</f>
        <v/>
      </c>
      <c r="U543" s="8">
        <f>IF(OR(B543="",P543=""),"",IF(D543="Venda",-1,1)*((N(J543)*N(K543)+N(L543)*N(M543)+N(N543)*N(O543))-(N(J543)+N(L543)+N(N543))*F543)-N(Q543))</f>
        <v/>
      </c>
      <c r="V543" s="9">
        <f>IF(OR(B543="",P543=""),"",U543/S543)</f>
        <v/>
      </c>
      <c r="W543">
        <f>IF(OR(B543="",P543=""),"",P543-C543)</f>
        <v/>
      </c>
      <c r="X543">
        <f>IF(B543="","",IF(P543="","Aberto","Fechado"))</f>
        <v/>
      </c>
    </row>
    <row r="544">
      <c r="C544" s="6" t="n"/>
      <c r="E544" s="10" t="n"/>
      <c r="F544" s="11" t="n"/>
      <c r="G544" s="11" t="n"/>
      <c r="H544" s="11" t="n"/>
      <c r="J544" s="10" t="n"/>
      <c r="K544" s="11" t="n"/>
      <c r="L544" s="10" t="n"/>
      <c r="M544" s="11" t="n"/>
      <c r="N544" s="10" t="n"/>
      <c r="O544" s="11" t="n"/>
      <c r="P544" s="6" t="n"/>
      <c r="Q544" s="11" t="n"/>
      <c r="S544" s="8">
        <f>IF(B544="","",E544*F544)</f>
        <v/>
      </c>
      <c r="T544" s="8">
        <f>IF(OR(B544="",N(G544)=0),"",ABS(F544-G544)*E544)</f>
        <v/>
      </c>
      <c r="U544" s="8">
        <f>IF(OR(B544="",P544=""),"",IF(D544="Venda",-1,1)*((N(J544)*N(K544)+N(L544)*N(M544)+N(N544)*N(O544))-(N(J544)+N(L544)+N(N544))*F544)-N(Q544))</f>
        <v/>
      </c>
      <c r="V544" s="9">
        <f>IF(OR(B544="",P544=""),"",U544/S544)</f>
        <v/>
      </c>
      <c r="W544">
        <f>IF(OR(B544="",P544=""),"",P544-C544)</f>
        <v/>
      </c>
      <c r="X544">
        <f>IF(B544="","",IF(P544="","Aberto","Fechado"))</f>
        <v/>
      </c>
    </row>
    <row r="545">
      <c r="C545" s="6" t="n"/>
      <c r="E545" s="10" t="n"/>
      <c r="F545" s="11" t="n"/>
      <c r="G545" s="11" t="n"/>
      <c r="H545" s="11" t="n"/>
      <c r="J545" s="10" t="n"/>
      <c r="K545" s="11" t="n"/>
      <c r="L545" s="10" t="n"/>
      <c r="M545" s="11" t="n"/>
      <c r="N545" s="10" t="n"/>
      <c r="O545" s="11" t="n"/>
      <c r="P545" s="6" t="n"/>
      <c r="Q545" s="11" t="n"/>
      <c r="S545" s="8">
        <f>IF(B545="","",E545*F545)</f>
        <v/>
      </c>
      <c r="T545" s="8">
        <f>IF(OR(B545="",N(G545)=0),"",ABS(F545-G545)*E545)</f>
        <v/>
      </c>
      <c r="U545" s="8">
        <f>IF(OR(B545="",P545=""),"",IF(D545="Venda",-1,1)*((N(J545)*N(K545)+N(L545)*N(M545)+N(N545)*N(O545))-(N(J545)+N(L545)+N(N545))*F545)-N(Q545))</f>
        <v/>
      </c>
      <c r="V545" s="9">
        <f>IF(OR(B545="",P545=""),"",U545/S545)</f>
        <v/>
      </c>
      <c r="W545">
        <f>IF(OR(B545="",P545=""),"",P545-C545)</f>
        <v/>
      </c>
      <c r="X545">
        <f>IF(B545="","",IF(P545="","Aberto","Fechado"))</f>
        <v/>
      </c>
    </row>
    <row r="546">
      <c r="C546" s="6" t="n"/>
      <c r="E546" s="10" t="n"/>
      <c r="F546" s="11" t="n"/>
      <c r="G546" s="11" t="n"/>
      <c r="H546" s="11" t="n"/>
      <c r="J546" s="10" t="n"/>
      <c r="K546" s="11" t="n"/>
      <c r="L546" s="10" t="n"/>
      <c r="M546" s="11" t="n"/>
      <c r="N546" s="10" t="n"/>
      <c r="O546" s="11" t="n"/>
      <c r="P546" s="6" t="n"/>
      <c r="Q546" s="11" t="n"/>
      <c r="S546" s="8">
        <f>IF(B546="","",E546*F546)</f>
        <v/>
      </c>
      <c r="T546" s="8">
        <f>IF(OR(B546="",N(G546)=0),"",ABS(F546-G546)*E546)</f>
        <v/>
      </c>
      <c r="U546" s="8">
        <f>IF(OR(B546="",P546=""),"",IF(D546="Venda",-1,1)*((N(J546)*N(K546)+N(L546)*N(M546)+N(N546)*N(O546))-(N(J546)+N(L546)+N(N546))*F546)-N(Q546))</f>
        <v/>
      </c>
      <c r="V546" s="9">
        <f>IF(OR(B546="",P546=""),"",U546/S546)</f>
        <v/>
      </c>
      <c r="W546">
        <f>IF(OR(B546="",P546=""),"",P546-C546)</f>
        <v/>
      </c>
      <c r="X546">
        <f>IF(B546="","",IF(P546="","Aberto","Fechado"))</f>
        <v/>
      </c>
    </row>
    <row r="547">
      <c r="C547" s="6" t="n"/>
      <c r="E547" s="10" t="n"/>
      <c r="F547" s="11" t="n"/>
      <c r="G547" s="11" t="n"/>
      <c r="H547" s="11" t="n"/>
      <c r="J547" s="10" t="n"/>
      <c r="K547" s="11" t="n"/>
      <c r="L547" s="10" t="n"/>
      <c r="M547" s="11" t="n"/>
      <c r="N547" s="10" t="n"/>
      <c r="O547" s="11" t="n"/>
      <c r="P547" s="6" t="n"/>
      <c r="Q547" s="11" t="n"/>
      <c r="S547" s="8">
        <f>IF(B547="","",E547*F547)</f>
        <v/>
      </c>
      <c r="T547" s="8">
        <f>IF(OR(B547="",N(G547)=0),"",ABS(F547-G547)*E547)</f>
        <v/>
      </c>
      <c r="U547" s="8">
        <f>IF(OR(B547="",P547=""),"",IF(D547="Venda",-1,1)*((N(J547)*N(K547)+N(L547)*N(M547)+N(N547)*N(O547))-(N(J547)+N(L547)+N(N547))*F547)-N(Q547))</f>
        <v/>
      </c>
      <c r="V547" s="9">
        <f>IF(OR(B547="",P547=""),"",U547/S547)</f>
        <v/>
      </c>
      <c r="W547">
        <f>IF(OR(B547="",P547=""),"",P547-C547)</f>
        <v/>
      </c>
      <c r="X547">
        <f>IF(B547="","",IF(P547="","Aberto","Fechado"))</f>
        <v/>
      </c>
    </row>
    <row r="548">
      <c r="C548" s="6" t="n"/>
      <c r="E548" s="10" t="n"/>
      <c r="F548" s="11" t="n"/>
      <c r="G548" s="11" t="n"/>
      <c r="H548" s="11" t="n"/>
      <c r="J548" s="10" t="n"/>
      <c r="K548" s="11" t="n"/>
      <c r="L548" s="10" t="n"/>
      <c r="M548" s="11" t="n"/>
      <c r="N548" s="10" t="n"/>
      <c r="O548" s="11" t="n"/>
      <c r="P548" s="6" t="n"/>
      <c r="Q548" s="11" t="n"/>
      <c r="S548" s="8">
        <f>IF(B548="","",E548*F548)</f>
        <v/>
      </c>
      <c r="T548" s="8">
        <f>IF(OR(B548="",N(G548)=0),"",ABS(F548-G548)*E548)</f>
        <v/>
      </c>
      <c r="U548" s="8">
        <f>IF(OR(B548="",P548=""),"",IF(D548="Venda",-1,1)*((N(J548)*N(K548)+N(L548)*N(M548)+N(N548)*N(O548))-(N(J548)+N(L548)+N(N548))*F548)-N(Q548))</f>
        <v/>
      </c>
      <c r="V548" s="9">
        <f>IF(OR(B548="",P548=""),"",U548/S548)</f>
        <v/>
      </c>
      <c r="W548">
        <f>IF(OR(B548="",P548=""),"",P548-C548)</f>
        <v/>
      </c>
      <c r="X548">
        <f>IF(B548="","",IF(P548="","Aberto","Fechado"))</f>
        <v/>
      </c>
    </row>
    <row r="549">
      <c r="C549" s="6" t="n"/>
      <c r="E549" s="10" t="n"/>
      <c r="F549" s="11" t="n"/>
      <c r="G549" s="11" t="n"/>
      <c r="H549" s="11" t="n"/>
      <c r="J549" s="10" t="n"/>
      <c r="K549" s="11" t="n"/>
      <c r="L549" s="10" t="n"/>
      <c r="M549" s="11" t="n"/>
      <c r="N549" s="10" t="n"/>
      <c r="O549" s="11" t="n"/>
      <c r="P549" s="6" t="n"/>
      <c r="Q549" s="11" t="n"/>
      <c r="S549" s="8">
        <f>IF(B549="","",E549*F549)</f>
        <v/>
      </c>
      <c r="T549" s="8">
        <f>IF(OR(B549="",N(G549)=0),"",ABS(F549-G549)*E549)</f>
        <v/>
      </c>
      <c r="U549" s="8">
        <f>IF(OR(B549="",P549=""),"",IF(D549="Venda",-1,1)*((N(J549)*N(K549)+N(L549)*N(M549)+N(N549)*N(O549))-(N(J549)+N(L549)+N(N549))*F549)-N(Q549))</f>
        <v/>
      </c>
      <c r="V549" s="9">
        <f>IF(OR(B549="",P549=""),"",U549/S549)</f>
        <v/>
      </c>
      <c r="W549">
        <f>IF(OR(B549="",P549=""),"",P549-C549)</f>
        <v/>
      </c>
      <c r="X549">
        <f>IF(B549="","",IF(P549="","Aberto","Fechado"))</f>
        <v/>
      </c>
    </row>
    <row r="550">
      <c r="C550" s="6" t="n"/>
      <c r="E550" s="10" t="n"/>
      <c r="F550" s="11" t="n"/>
      <c r="G550" s="11" t="n"/>
      <c r="H550" s="11" t="n"/>
      <c r="J550" s="10" t="n"/>
      <c r="K550" s="11" t="n"/>
      <c r="L550" s="10" t="n"/>
      <c r="M550" s="11" t="n"/>
      <c r="N550" s="10" t="n"/>
      <c r="O550" s="11" t="n"/>
      <c r="P550" s="6" t="n"/>
      <c r="Q550" s="11" t="n"/>
      <c r="S550" s="8">
        <f>IF(B550="","",E550*F550)</f>
        <v/>
      </c>
      <c r="T550" s="8">
        <f>IF(OR(B550="",N(G550)=0),"",ABS(F550-G550)*E550)</f>
        <v/>
      </c>
      <c r="U550" s="8">
        <f>IF(OR(B550="",P550=""),"",IF(D550="Venda",-1,1)*((N(J550)*N(K550)+N(L550)*N(M550)+N(N550)*N(O550))-(N(J550)+N(L550)+N(N550))*F550)-N(Q550))</f>
        <v/>
      </c>
      <c r="V550" s="9">
        <f>IF(OR(B550="",P550=""),"",U550/S550)</f>
        <v/>
      </c>
      <c r="W550">
        <f>IF(OR(B550="",P550=""),"",P550-C550)</f>
        <v/>
      </c>
      <c r="X550">
        <f>IF(B550="","",IF(P550="","Aberto","Fechado"))</f>
        <v/>
      </c>
    </row>
    <row r="551">
      <c r="C551" s="6" t="n"/>
      <c r="E551" s="10" t="n"/>
      <c r="F551" s="11" t="n"/>
      <c r="G551" s="11" t="n"/>
      <c r="H551" s="11" t="n"/>
      <c r="J551" s="10" t="n"/>
      <c r="K551" s="11" t="n"/>
      <c r="L551" s="10" t="n"/>
      <c r="M551" s="11" t="n"/>
      <c r="N551" s="10" t="n"/>
      <c r="O551" s="11" t="n"/>
      <c r="P551" s="6" t="n"/>
      <c r="Q551" s="11" t="n"/>
      <c r="S551" s="8">
        <f>IF(B551="","",E551*F551)</f>
        <v/>
      </c>
      <c r="T551" s="8">
        <f>IF(OR(B551="",N(G551)=0),"",ABS(F551-G551)*E551)</f>
        <v/>
      </c>
      <c r="U551" s="8">
        <f>IF(OR(B551="",P551=""),"",IF(D551="Venda",-1,1)*((N(J551)*N(K551)+N(L551)*N(M551)+N(N551)*N(O551))-(N(J551)+N(L551)+N(N551))*F551)-N(Q551))</f>
        <v/>
      </c>
      <c r="V551" s="9">
        <f>IF(OR(B551="",P551=""),"",U551/S551)</f>
        <v/>
      </c>
      <c r="W551">
        <f>IF(OR(B551="",P551=""),"",P551-C551)</f>
        <v/>
      </c>
      <c r="X551">
        <f>IF(B551="","",IF(P551="","Aberto","Fechado"))</f>
        <v/>
      </c>
    </row>
    <row r="552">
      <c r="C552" s="6" t="n"/>
      <c r="E552" s="10" t="n"/>
      <c r="F552" s="11" t="n"/>
      <c r="G552" s="11" t="n"/>
      <c r="H552" s="11" t="n"/>
      <c r="J552" s="10" t="n"/>
      <c r="K552" s="11" t="n"/>
      <c r="L552" s="10" t="n"/>
      <c r="M552" s="11" t="n"/>
      <c r="N552" s="10" t="n"/>
      <c r="O552" s="11" t="n"/>
      <c r="P552" s="6" t="n"/>
      <c r="Q552" s="11" t="n"/>
      <c r="S552" s="8">
        <f>IF(B552="","",E552*F552)</f>
        <v/>
      </c>
      <c r="T552" s="8">
        <f>IF(OR(B552="",N(G552)=0),"",ABS(F552-G552)*E552)</f>
        <v/>
      </c>
      <c r="U552" s="8">
        <f>IF(OR(B552="",P552=""),"",IF(D552="Venda",-1,1)*((N(J552)*N(K552)+N(L552)*N(M552)+N(N552)*N(O552))-(N(J552)+N(L552)+N(N552))*F552)-N(Q552))</f>
        <v/>
      </c>
      <c r="V552" s="9">
        <f>IF(OR(B552="",P552=""),"",U552/S552)</f>
        <v/>
      </c>
      <c r="W552">
        <f>IF(OR(B552="",P552=""),"",P552-C552)</f>
        <v/>
      </c>
      <c r="X552">
        <f>IF(B552="","",IF(P552="","Aberto","Fechado"))</f>
        <v/>
      </c>
    </row>
    <row r="553">
      <c r="C553" s="6" t="n"/>
      <c r="E553" s="10" t="n"/>
      <c r="F553" s="11" t="n"/>
      <c r="G553" s="11" t="n"/>
      <c r="H553" s="11" t="n"/>
      <c r="J553" s="10" t="n"/>
      <c r="K553" s="11" t="n"/>
      <c r="L553" s="10" t="n"/>
      <c r="M553" s="11" t="n"/>
      <c r="N553" s="10" t="n"/>
      <c r="O553" s="11" t="n"/>
      <c r="P553" s="6" t="n"/>
      <c r="Q553" s="11" t="n"/>
      <c r="S553" s="8">
        <f>IF(B553="","",E553*F553)</f>
        <v/>
      </c>
      <c r="T553" s="8">
        <f>IF(OR(B553="",N(G553)=0),"",ABS(F553-G553)*E553)</f>
        <v/>
      </c>
      <c r="U553" s="8">
        <f>IF(OR(B553="",P553=""),"",IF(D553="Venda",-1,1)*((N(J553)*N(K553)+N(L553)*N(M553)+N(N553)*N(O553))-(N(J553)+N(L553)+N(N553))*F553)-N(Q553))</f>
        <v/>
      </c>
      <c r="V553" s="9">
        <f>IF(OR(B553="",P553=""),"",U553/S553)</f>
        <v/>
      </c>
      <c r="W553">
        <f>IF(OR(B553="",P553=""),"",P553-C553)</f>
        <v/>
      </c>
      <c r="X553">
        <f>IF(B553="","",IF(P553="","Aberto","Fechado"))</f>
        <v/>
      </c>
    </row>
    <row r="554">
      <c r="C554" s="6" t="n"/>
      <c r="E554" s="10" t="n"/>
      <c r="F554" s="11" t="n"/>
      <c r="G554" s="11" t="n"/>
      <c r="H554" s="11" t="n"/>
      <c r="J554" s="10" t="n"/>
      <c r="K554" s="11" t="n"/>
      <c r="L554" s="10" t="n"/>
      <c r="M554" s="11" t="n"/>
      <c r="N554" s="10" t="n"/>
      <c r="O554" s="11" t="n"/>
      <c r="P554" s="6" t="n"/>
      <c r="Q554" s="11" t="n"/>
      <c r="S554" s="8">
        <f>IF(B554="","",E554*F554)</f>
        <v/>
      </c>
      <c r="T554" s="8">
        <f>IF(OR(B554="",N(G554)=0),"",ABS(F554-G554)*E554)</f>
        <v/>
      </c>
      <c r="U554" s="8">
        <f>IF(OR(B554="",P554=""),"",IF(D554="Venda",-1,1)*((N(J554)*N(K554)+N(L554)*N(M554)+N(N554)*N(O554))-(N(J554)+N(L554)+N(N554))*F554)-N(Q554))</f>
        <v/>
      </c>
      <c r="V554" s="9">
        <f>IF(OR(B554="",P554=""),"",U554/S554)</f>
        <v/>
      </c>
      <c r="W554">
        <f>IF(OR(B554="",P554=""),"",P554-C554)</f>
        <v/>
      </c>
      <c r="X554">
        <f>IF(B554="","",IF(P554="","Aberto","Fechado"))</f>
        <v/>
      </c>
    </row>
    <row r="555">
      <c r="C555" s="6" t="n"/>
      <c r="E555" s="10" t="n"/>
      <c r="F555" s="11" t="n"/>
      <c r="G555" s="11" t="n"/>
      <c r="H555" s="11" t="n"/>
      <c r="J555" s="10" t="n"/>
      <c r="K555" s="11" t="n"/>
      <c r="L555" s="10" t="n"/>
      <c r="M555" s="11" t="n"/>
      <c r="N555" s="10" t="n"/>
      <c r="O555" s="11" t="n"/>
      <c r="P555" s="6" t="n"/>
      <c r="Q555" s="11" t="n"/>
      <c r="S555" s="8">
        <f>IF(B555="","",E555*F555)</f>
        <v/>
      </c>
      <c r="T555" s="8">
        <f>IF(OR(B555="",N(G555)=0),"",ABS(F555-G555)*E555)</f>
        <v/>
      </c>
      <c r="U555" s="8">
        <f>IF(OR(B555="",P555=""),"",IF(D555="Venda",-1,1)*((N(J555)*N(K555)+N(L555)*N(M555)+N(N555)*N(O555))-(N(J555)+N(L555)+N(N555))*F555)-N(Q555))</f>
        <v/>
      </c>
      <c r="V555" s="9">
        <f>IF(OR(B555="",P555=""),"",U555/S555)</f>
        <v/>
      </c>
      <c r="W555">
        <f>IF(OR(B555="",P555=""),"",P555-C555)</f>
        <v/>
      </c>
      <c r="X555">
        <f>IF(B555="","",IF(P555="","Aberto","Fechado"))</f>
        <v/>
      </c>
    </row>
    <row r="556">
      <c r="C556" s="6" t="n"/>
      <c r="E556" s="10" t="n"/>
      <c r="F556" s="11" t="n"/>
      <c r="G556" s="11" t="n"/>
      <c r="H556" s="11" t="n"/>
      <c r="J556" s="10" t="n"/>
      <c r="K556" s="11" t="n"/>
      <c r="L556" s="10" t="n"/>
      <c r="M556" s="11" t="n"/>
      <c r="N556" s="10" t="n"/>
      <c r="O556" s="11" t="n"/>
      <c r="P556" s="6" t="n"/>
      <c r="Q556" s="11" t="n"/>
      <c r="S556" s="8">
        <f>IF(B556="","",E556*F556)</f>
        <v/>
      </c>
      <c r="T556" s="8">
        <f>IF(OR(B556="",N(G556)=0),"",ABS(F556-G556)*E556)</f>
        <v/>
      </c>
      <c r="U556" s="8">
        <f>IF(OR(B556="",P556=""),"",IF(D556="Venda",-1,1)*((N(J556)*N(K556)+N(L556)*N(M556)+N(N556)*N(O556))-(N(J556)+N(L556)+N(N556))*F556)-N(Q556))</f>
        <v/>
      </c>
      <c r="V556" s="9">
        <f>IF(OR(B556="",P556=""),"",U556/S556)</f>
        <v/>
      </c>
      <c r="W556">
        <f>IF(OR(B556="",P556=""),"",P556-C556)</f>
        <v/>
      </c>
      <c r="X556">
        <f>IF(B556="","",IF(P556="","Aberto","Fechado"))</f>
        <v/>
      </c>
    </row>
    <row r="557">
      <c r="C557" s="6" t="n"/>
      <c r="E557" s="10" t="n"/>
      <c r="F557" s="11" t="n"/>
      <c r="G557" s="11" t="n"/>
      <c r="H557" s="11" t="n"/>
      <c r="J557" s="10" t="n"/>
      <c r="K557" s="11" t="n"/>
      <c r="L557" s="10" t="n"/>
      <c r="M557" s="11" t="n"/>
      <c r="N557" s="10" t="n"/>
      <c r="O557" s="11" t="n"/>
      <c r="P557" s="6" t="n"/>
      <c r="Q557" s="11" t="n"/>
      <c r="S557" s="8">
        <f>IF(B557="","",E557*F557)</f>
        <v/>
      </c>
      <c r="T557" s="8">
        <f>IF(OR(B557="",N(G557)=0),"",ABS(F557-G557)*E557)</f>
        <v/>
      </c>
      <c r="U557" s="8">
        <f>IF(OR(B557="",P557=""),"",IF(D557="Venda",-1,1)*((N(J557)*N(K557)+N(L557)*N(M557)+N(N557)*N(O557))-(N(J557)+N(L557)+N(N557))*F557)-N(Q557))</f>
        <v/>
      </c>
      <c r="V557" s="9">
        <f>IF(OR(B557="",P557=""),"",U557/S557)</f>
        <v/>
      </c>
      <c r="W557">
        <f>IF(OR(B557="",P557=""),"",P557-C557)</f>
        <v/>
      </c>
      <c r="X557">
        <f>IF(B557="","",IF(P557="","Aberto","Fechado"))</f>
        <v/>
      </c>
    </row>
    <row r="558">
      <c r="C558" s="6" t="n"/>
      <c r="E558" s="10" t="n"/>
      <c r="F558" s="11" t="n"/>
      <c r="G558" s="11" t="n"/>
      <c r="H558" s="11" t="n"/>
      <c r="J558" s="10" t="n"/>
      <c r="K558" s="11" t="n"/>
      <c r="L558" s="10" t="n"/>
      <c r="M558" s="11" t="n"/>
      <c r="N558" s="10" t="n"/>
      <c r="O558" s="11" t="n"/>
      <c r="P558" s="6" t="n"/>
      <c r="Q558" s="11" t="n"/>
      <c r="S558" s="8">
        <f>IF(B558="","",E558*F558)</f>
        <v/>
      </c>
      <c r="T558" s="8">
        <f>IF(OR(B558="",N(G558)=0),"",ABS(F558-G558)*E558)</f>
        <v/>
      </c>
      <c r="U558" s="8">
        <f>IF(OR(B558="",P558=""),"",IF(D558="Venda",-1,1)*((N(J558)*N(K558)+N(L558)*N(M558)+N(N558)*N(O558))-(N(J558)+N(L558)+N(N558))*F558)-N(Q558))</f>
        <v/>
      </c>
      <c r="V558" s="9">
        <f>IF(OR(B558="",P558=""),"",U558/S558)</f>
        <v/>
      </c>
      <c r="W558">
        <f>IF(OR(B558="",P558=""),"",P558-C558)</f>
        <v/>
      </c>
      <c r="X558">
        <f>IF(B558="","",IF(P558="","Aberto","Fechado"))</f>
        <v/>
      </c>
    </row>
    <row r="559">
      <c r="C559" s="6" t="n"/>
      <c r="E559" s="10" t="n"/>
      <c r="F559" s="11" t="n"/>
      <c r="G559" s="11" t="n"/>
      <c r="H559" s="11" t="n"/>
      <c r="J559" s="10" t="n"/>
      <c r="K559" s="11" t="n"/>
      <c r="L559" s="10" t="n"/>
      <c r="M559" s="11" t="n"/>
      <c r="N559" s="10" t="n"/>
      <c r="O559" s="11" t="n"/>
      <c r="P559" s="6" t="n"/>
      <c r="Q559" s="11" t="n"/>
      <c r="S559" s="8">
        <f>IF(B559="","",E559*F559)</f>
        <v/>
      </c>
      <c r="T559" s="8">
        <f>IF(OR(B559="",N(G559)=0),"",ABS(F559-G559)*E559)</f>
        <v/>
      </c>
      <c r="U559" s="8">
        <f>IF(OR(B559="",P559=""),"",IF(D559="Venda",-1,1)*((N(J559)*N(K559)+N(L559)*N(M559)+N(N559)*N(O559))-(N(J559)+N(L559)+N(N559))*F559)-N(Q559))</f>
        <v/>
      </c>
      <c r="V559" s="9">
        <f>IF(OR(B559="",P559=""),"",U559/S559)</f>
        <v/>
      </c>
      <c r="W559">
        <f>IF(OR(B559="",P559=""),"",P559-C559)</f>
        <v/>
      </c>
      <c r="X559">
        <f>IF(B559="","",IF(P559="","Aberto","Fechado"))</f>
        <v/>
      </c>
    </row>
    <row r="560">
      <c r="C560" s="6" t="n"/>
      <c r="E560" s="10" t="n"/>
      <c r="F560" s="11" t="n"/>
      <c r="G560" s="11" t="n"/>
      <c r="H560" s="11" t="n"/>
      <c r="J560" s="10" t="n"/>
      <c r="K560" s="11" t="n"/>
      <c r="L560" s="10" t="n"/>
      <c r="M560" s="11" t="n"/>
      <c r="N560" s="10" t="n"/>
      <c r="O560" s="11" t="n"/>
      <c r="P560" s="6" t="n"/>
      <c r="Q560" s="11" t="n"/>
      <c r="S560" s="8">
        <f>IF(B560="","",E560*F560)</f>
        <v/>
      </c>
      <c r="T560" s="8">
        <f>IF(OR(B560="",N(G560)=0),"",ABS(F560-G560)*E560)</f>
        <v/>
      </c>
      <c r="U560" s="8">
        <f>IF(OR(B560="",P560=""),"",IF(D560="Venda",-1,1)*((N(J560)*N(K560)+N(L560)*N(M560)+N(N560)*N(O560))-(N(J560)+N(L560)+N(N560))*F560)-N(Q560))</f>
        <v/>
      </c>
      <c r="V560" s="9">
        <f>IF(OR(B560="",P560=""),"",U560/S560)</f>
        <v/>
      </c>
      <c r="W560">
        <f>IF(OR(B560="",P560=""),"",P560-C560)</f>
        <v/>
      </c>
      <c r="X560">
        <f>IF(B560="","",IF(P560="","Aberto","Fechado"))</f>
        <v/>
      </c>
    </row>
    <row r="561">
      <c r="C561" s="6" t="n"/>
      <c r="E561" s="10" t="n"/>
      <c r="F561" s="11" t="n"/>
      <c r="G561" s="11" t="n"/>
      <c r="H561" s="11" t="n"/>
      <c r="J561" s="10" t="n"/>
      <c r="K561" s="11" t="n"/>
      <c r="L561" s="10" t="n"/>
      <c r="M561" s="11" t="n"/>
      <c r="N561" s="10" t="n"/>
      <c r="O561" s="11" t="n"/>
      <c r="P561" s="6" t="n"/>
      <c r="Q561" s="11" t="n"/>
      <c r="S561" s="8">
        <f>IF(B561="","",E561*F561)</f>
        <v/>
      </c>
      <c r="T561" s="8">
        <f>IF(OR(B561="",N(G561)=0),"",ABS(F561-G561)*E561)</f>
        <v/>
      </c>
      <c r="U561" s="8">
        <f>IF(OR(B561="",P561=""),"",IF(D561="Venda",-1,1)*((N(J561)*N(K561)+N(L561)*N(M561)+N(N561)*N(O561))-(N(J561)+N(L561)+N(N561))*F561)-N(Q561))</f>
        <v/>
      </c>
      <c r="V561" s="9">
        <f>IF(OR(B561="",P561=""),"",U561/S561)</f>
        <v/>
      </c>
      <c r="W561">
        <f>IF(OR(B561="",P561=""),"",P561-C561)</f>
        <v/>
      </c>
      <c r="X561">
        <f>IF(B561="","",IF(P561="","Aberto","Fechado"))</f>
        <v/>
      </c>
    </row>
    <row r="562">
      <c r="C562" s="6" t="n"/>
      <c r="E562" s="10" t="n"/>
      <c r="F562" s="11" t="n"/>
      <c r="G562" s="11" t="n"/>
      <c r="H562" s="11" t="n"/>
      <c r="J562" s="10" t="n"/>
      <c r="K562" s="11" t="n"/>
      <c r="L562" s="10" t="n"/>
      <c r="M562" s="11" t="n"/>
      <c r="N562" s="10" t="n"/>
      <c r="O562" s="11" t="n"/>
      <c r="P562" s="6" t="n"/>
      <c r="Q562" s="11" t="n"/>
      <c r="S562" s="8">
        <f>IF(B562="","",E562*F562)</f>
        <v/>
      </c>
      <c r="T562" s="8">
        <f>IF(OR(B562="",N(G562)=0),"",ABS(F562-G562)*E562)</f>
        <v/>
      </c>
      <c r="U562" s="8">
        <f>IF(OR(B562="",P562=""),"",IF(D562="Venda",-1,1)*((N(J562)*N(K562)+N(L562)*N(M562)+N(N562)*N(O562))-(N(J562)+N(L562)+N(N562))*F562)-N(Q562))</f>
        <v/>
      </c>
      <c r="V562" s="9">
        <f>IF(OR(B562="",P562=""),"",U562/S562)</f>
        <v/>
      </c>
      <c r="W562">
        <f>IF(OR(B562="",P562=""),"",P562-C562)</f>
        <v/>
      </c>
      <c r="X562">
        <f>IF(B562="","",IF(P562="","Aberto","Fechado"))</f>
        <v/>
      </c>
    </row>
    <row r="563">
      <c r="C563" s="6" t="n"/>
      <c r="E563" s="10" t="n"/>
      <c r="F563" s="11" t="n"/>
      <c r="G563" s="11" t="n"/>
      <c r="H563" s="11" t="n"/>
      <c r="J563" s="10" t="n"/>
      <c r="K563" s="11" t="n"/>
      <c r="L563" s="10" t="n"/>
      <c r="M563" s="11" t="n"/>
      <c r="N563" s="10" t="n"/>
      <c r="O563" s="11" t="n"/>
      <c r="P563" s="6" t="n"/>
      <c r="Q563" s="11" t="n"/>
      <c r="S563" s="8">
        <f>IF(B563="","",E563*F563)</f>
        <v/>
      </c>
      <c r="T563" s="8">
        <f>IF(OR(B563="",N(G563)=0),"",ABS(F563-G563)*E563)</f>
        <v/>
      </c>
      <c r="U563" s="8">
        <f>IF(OR(B563="",P563=""),"",IF(D563="Venda",-1,1)*((N(J563)*N(K563)+N(L563)*N(M563)+N(N563)*N(O563))-(N(J563)+N(L563)+N(N563))*F563)-N(Q563))</f>
        <v/>
      </c>
      <c r="V563" s="9">
        <f>IF(OR(B563="",P563=""),"",U563/S563)</f>
        <v/>
      </c>
      <c r="W563">
        <f>IF(OR(B563="",P563=""),"",P563-C563)</f>
        <v/>
      </c>
      <c r="X563">
        <f>IF(B563="","",IF(P563="","Aberto","Fechado"))</f>
        <v/>
      </c>
    </row>
    <row r="564">
      <c r="C564" s="6" t="n"/>
      <c r="E564" s="10" t="n"/>
      <c r="F564" s="11" t="n"/>
      <c r="G564" s="11" t="n"/>
      <c r="H564" s="11" t="n"/>
      <c r="J564" s="10" t="n"/>
      <c r="K564" s="11" t="n"/>
      <c r="L564" s="10" t="n"/>
      <c r="M564" s="11" t="n"/>
      <c r="N564" s="10" t="n"/>
      <c r="O564" s="11" t="n"/>
      <c r="P564" s="6" t="n"/>
      <c r="Q564" s="11" t="n"/>
      <c r="S564" s="8">
        <f>IF(B564="","",E564*F564)</f>
        <v/>
      </c>
      <c r="T564" s="8">
        <f>IF(OR(B564="",N(G564)=0),"",ABS(F564-G564)*E564)</f>
        <v/>
      </c>
      <c r="U564" s="8">
        <f>IF(OR(B564="",P564=""),"",IF(D564="Venda",-1,1)*((N(J564)*N(K564)+N(L564)*N(M564)+N(N564)*N(O564))-(N(J564)+N(L564)+N(N564))*F564)-N(Q564))</f>
        <v/>
      </c>
      <c r="V564" s="9">
        <f>IF(OR(B564="",P564=""),"",U564/S564)</f>
        <v/>
      </c>
      <c r="W564">
        <f>IF(OR(B564="",P564=""),"",P564-C564)</f>
        <v/>
      </c>
      <c r="X564">
        <f>IF(B564="","",IF(P564="","Aberto","Fechado"))</f>
        <v/>
      </c>
    </row>
    <row r="565">
      <c r="C565" s="6" t="n"/>
      <c r="E565" s="10" t="n"/>
      <c r="F565" s="11" t="n"/>
      <c r="G565" s="11" t="n"/>
      <c r="H565" s="11" t="n"/>
      <c r="J565" s="10" t="n"/>
      <c r="K565" s="11" t="n"/>
      <c r="L565" s="10" t="n"/>
      <c r="M565" s="11" t="n"/>
      <c r="N565" s="10" t="n"/>
      <c r="O565" s="11" t="n"/>
      <c r="P565" s="6" t="n"/>
      <c r="Q565" s="11" t="n"/>
      <c r="S565" s="8">
        <f>IF(B565="","",E565*F565)</f>
        <v/>
      </c>
      <c r="T565" s="8">
        <f>IF(OR(B565="",N(G565)=0),"",ABS(F565-G565)*E565)</f>
        <v/>
      </c>
      <c r="U565" s="8">
        <f>IF(OR(B565="",P565=""),"",IF(D565="Venda",-1,1)*((N(J565)*N(K565)+N(L565)*N(M565)+N(N565)*N(O565))-(N(J565)+N(L565)+N(N565))*F565)-N(Q565))</f>
        <v/>
      </c>
      <c r="V565" s="9">
        <f>IF(OR(B565="",P565=""),"",U565/S565)</f>
        <v/>
      </c>
      <c r="W565">
        <f>IF(OR(B565="",P565=""),"",P565-C565)</f>
        <v/>
      </c>
      <c r="X565">
        <f>IF(B565="","",IF(P565="","Aberto","Fechado"))</f>
        <v/>
      </c>
    </row>
    <row r="566">
      <c r="C566" s="6" t="n"/>
      <c r="E566" s="10" t="n"/>
      <c r="F566" s="11" t="n"/>
      <c r="G566" s="11" t="n"/>
      <c r="H566" s="11" t="n"/>
      <c r="J566" s="10" t="n"/>
      <c r="K566" s="11" t="n"/>
      <c r="L566" s="10" t="n"/>
      <c r="M566" s="11" t="n"/>
      <c r="N566" s="10" t="n"/>
      <c r="O566" s="11" t="n"/>
      <c r="P566" s="6" t="n"/>
      <c r="Q566" s="11" t="n"/>
      <c r="S566" s="8">
        <f>IF(B566="","",E566*F566)</f>
        <v/>
      </c>
      <c r="T566" s="8">
        <f>IF(OR(B566="",N(G566)=0),"",ABS(F566-G566)*E566)</f>
        <v/>
      </c>
      <c r="U566" s="8">
        <f>IF(OR(B566="",P566=""),"",IF(D566="Venda",-1,1)*((N(J566)*N(K566)+N(L566)*N(M566)+N(N566)*N(O566))-(N(J566)+N(L566)+N(N566))*F566)-N(Q566))</f>
        <v/>
      </c>
      <c r="V566" s="9">
        <f>IF(OR(B566="",P566=""),"",U566/S566)</f>
        <v/>
      </c>
      <c r="W566">
        <f>IF(OR(B566="",P566=""),"",P566-C566)</f>
        <v/>
      </c>
      <c r="X566">
        <f>IF(B566="","",IF(P566="","Aberto","Fechado"))</f>
        <v/>
      </c>
    </row>
    <row r="567">
      <c r="C567" s="6" t="n"/>
      <c r="E567" s="10" t="n"/>
      <c r="F567" s="11" t="n"/>
      <c r="G567" s="11" t="n"/>
      <c r="H567" s="11" t="n"/>
      <c r="J567" s="10" t="n"/>
      <c r="K567" s="11" t="n"/>
      <c r="L567" s="10" t="n"/>
      <c r="M567" s="11" t="n"/>
      <c r="N567" s="10" t="n"/>
      <c r="O567" s="11" t="n"/>
      <c r="P567" s="6" t="n"/>
      <c r="Q567" s="11" t="n"/>
      <c r="S567" s="8">
        <f>IF(B567="","",E567*F567)</f>
        <v/>
      </c>
      <c r="T567" s="8">
        <f>IF(OR(B567="",N(G567)=0),"",ABS(F567-G567)*E567)</f>
        <v/>
      </c>
      <c r="U567" s="8">
        <f>IF(OR(B567="",P567=""),"",IF(D567="Venda",-1,1)*((N(J567)*N(K567)+N(L567)*N(M567)+N(N567)*N(O567))-(N(J567)+N(L567)+N(N567))*F567)-N(Q567))</f>
        <v/>
      </c>
      <c r="V567" s="9">
        <f>IF(OR(B567="",P567=""),"",U567/S567)</f>
        <v/>
      </c>
      <c r="W567">
        <f>IF(OR(B567="",P567=""),"",P567-C567)</f>
        <v/>
      </c>
      <c r="X567">
        <f>IF(B567="","",IF(P567="","Aberto","Fechado"))</f>
        <v/>
      </c>
    </row>
    <row r="568">
      <c r="C568" s="6" t="n"/>
      <c r="E568" s="10" t="n"/>
      <c r="F568" s="11" t="n"/>
      <c r="G568" s="11" t="n"/>
      <c r="H568" s="11" t="n"/>
      <c r="J568" s="10" t="n"/>
      <c r="K568" s="11" t="n"/>
      <c r="L568" s="10" t="n"/>
      <c r="M568" s="11" t="n"/>
      <c r="N568" s="10" t="n"/>
      <c r="O568" s="11" t="n"/>
      <c r="P568" s="6" t="n"/>
      <c r="Q568" s="11" t="n"/>
      <c r="S568" s="8">
        <f>IF(B568="","",E568*F568)</f>
        <v/>
      </c>
      <c r="T568" s="8">
        <f>IF(OR(B568="",N(G568)=0),"",ABS(F568-G568)*E568)</f>
        <v/>
      </c>
      <c r="U568" s="8">
        <f>IF(OR(B568="",P568=""),"",IF(D568="Venda",-1,1)*((N(J568)*N(K568)+N(L568)*N(M568)+N(N568)*N(O568))-(N(J568)+N(L568)+N(N568))*F568)-N(Q568))</f>
        <v/>
      </c>
      <c r="V568" s="9">
        <f>IF(OR(B568="",P568=""),"",U568/S568)</f>
        <v/>
      </c>
      <c r="W568">
        <f>IF(OR(B568="",P568=""),"",P568-C568)</f>
        <v/>
      </c>
      <c r="X568">
        <f>IF(B568="","",IF(P568="","Aberto","Fechado"))</f>
        <v/>
      </c>
    </row>
    <row r="569">
      <c r="C569" s="6" t="n"/>
      <c r="E569" s="10" t="n"/>
      <c r="F569" s="11" t="n"/>
      <c r="G569" s="11" t="n"/>
      <c r="H569" s="11" t="n"/>
      <c r="J569" s="10" t="n"/>
      <c r="K569" s="11" t="n"/>
      <c r="L569" s="10" t="n"/>
      <c r="M569" s="11" t="n"/>
      <c r="N569" s="10" t="n"/>
      <c r="O569" s="11" t="n"/>
      <c r="P569" s="6" t="n"/>
      <c r="Q569" s="11" t="n"/>
      <c r="S569" s="8">
        <f>IF(B569="","",E569*F569)</f>
        <v/>
      </c>
      <c r="T569" s="8">
        <f>IF(OR(B569="",N(G569)=0),"",ABS(F569-G569)*E569)</f>
        <v/>
      </c>
      <c r="U569" s="8">
        <f>IF(OR(B569="",P569=""),"",IF(D569="Venda",-1,1)*((N(J569)*N(K569)+N(L569)*N(M569)+N(N569)*N(O569))-(N(J569)+N(L569)+N(N569))*F569)-N(Q569))</f>
        <v/>
      </c>
      <c r="V569" s="9">
        <f>IF(OR(B569="",P569=""),"",U569/S569)</f>
        <v/>
      </c>
      <c r="W569">
        <f>IF(OR(B569="",P569=""),"",P569-C569)</f>
        <v/>
      </c>
      <c r="X569">
        <f>IF(B569="","",IF(P569="","Aberto","Fechado"))</f>
        <v/>
      </c>
    </row>
    <row r="570">
      <c r="C570" s="6" t="n"/>
      <c r="E570" s="10" t="n"/>
      <c r="F570" s="11" t="n"/>
      <c r="G570" s="11" t="n"/>
      <c r="H570" s="11" t="n"/>
      <c r="J570" s="10" t="n"/>
      <c r="K570" s="11" t="n"/>
      <c r="L570" s="10" t="n"/>
      <c r="M570" s="11" t="n"/>
      <c r="N570" s="10" t="n"/>
      <c r="O570" s="11" t="n"/>
      <c r="P570" s="6" t="n"/>
      <c r="Q570" s="11" t="n"/>
      <c r="S570" s="8">
        <f>IF(B570="","",E570*F570)</f>
        <v/>
      </c>
      <c r="T570" s="8">
        <f>IF(OR(B570="",N(G570)=0),"",ABS(F570-G570)*E570)</f>
        <v/>
      </c>
      <c r="U570" s="8">
        <f>IF(OR(B570="",P570=""),"",IF(D570="Venda",-1,1)*((N(J570)*N(K570)+N(L570)*N(M570)+N(N570)*N(O570))-(N(J570)+N(L570)+N(N570))*F570)-N(Q570))</f>
        <v/>
      </c>
      <c r="V570" s="9">
        <f>IF(OR(B570="",P570=""),"",U570/S570)</f>
        <v/>
      </c>
      <c r="W570">
        <f>IF(OR(B570="",P570=""),"",P570-C570)</f>
        <v/>
      </c>
      <c r="X570">
        <f>IF(B570="","",IF(P570="","Aberto","Fechado"))</f>
        <v/>
      </c>
    </row>
    <row r="571">
      <c r="C571" s="6" t="n"/>
      <c r="E571" s="10" t="n"/>
      <c r="F571" s="11" t="n"/>
      <c r="G571" s="11" t="n"/>
      <c r="H571" s="11" t="n"/>
      <c r="J571" s="10" t="n"/>
      <c r="K571" s="11" t="n"/>
      <c r="L571" s="10" t="n"/>
      <c r="M571" s="11" t="n"/>
      <c r="N571" s="10" t="n"/>
      <c r="O571" s="11" t="n"/>
      <c r="P571" s="6" t="n"/>
      <c r="Q571" s="11" t="n"/>
      <c r="S571" s="8">
        <f>IF(B571="","",E571*F571)</f>
        <v/>
      </c>
      <c r="T571" s="8">
        <f>IF(OR(B571="",N(G571)=0),"",ABS(F571-G571)*E571)</f>
        <v/>
      </c>
      <c r="U571" s="8">
        <f>IF(OR(B571="",P571=""),"",IF(D571="Venda",-1,1)*((N(J571)*N(K571)+N(L571)*N(M571)+N(N571)*N(O571))-(N(J571)+N(L571)+N(N571))*F571)-N(Q571))</f>
        <v/>
      </c>
      <c r="V571" s="9">
        <f>IF(OR(B571="",P571=""),"",U571/S571)</f>
        <v/>
      </c>
      <c r="W571">
        <f>IF(OR(B571="",P571=""),"",P571-C571)</f>
        <v/>
      </c>
      <c r="X571">
        <f>IF(B571="","",IF(P571="","Aberto","Fechado"))</f>
        <v/>
      </c>
    </row>
    <row r="572">
      <c r="C572" s="6" t="n"/>
      <c r="E572" s="10" t="n"/>
      <c r="F572" s="11" t="n"/>
      <c r="G572" s="11" t="n"/>
      <c r="H572" s="11" t="n"/>
      <c r="J572" s="10" t="n"/>
      <c r="K572" s="11" t="n"/>
      <c r="L572" s="10" t="n"/>
      <c r="M572" s="11" t="n"/>
      <c r="N572" s="10" t="n"/>
      <c r="O572" s="11" t="n"/>
      <c r="P572" s="6" t="n"/>
      <c r="Q572" s="11" t="n"/>
      <c r="S572" s="8">
        <f>IF(B572="","",E572*F572)</f>
        <v/>
      </c>
      <c r="T572" s="8">
        <f>IF(OR(B572="",N(G572)=0),"",ABS(F572-G572)*E572)</f>
        <v/>
      </c>
      <c r="U572" s="8">
        <f>IF(OR(B572="",P572=""),"",IF(D572="Venda",-1,1)*((N(J572)*N(K572)+N(L572)*N(M572)+N(N572)*N(O572))-(N(J572)+N(L572)+N(N572))*F572)-N(Q572))</f>
        <v/>
      </c>
      <c r="V572" s="9">
        <f>IF(OR(B572="",P572=""),"",U572/S572)</f>
        <v/>
      </c>
      <c r="W572">
        <f>IF(OR(B572="",P572=""),"",P572-C572)</f>
        <v/>
      </c>
      <c r="X572">
        <f>IF(B572="","",IF(P572="","Aberto","Fechado"))</f>
        <v/>
      </c>
    </row>
    <row r="573">
      <c r="C573" s="6" t="n"/>
      <c r="E573" s="10" t="n"/>
      <c r="F573" s="11" t="n"/>
      <c r="G573" s="11" t="n"/>
      <c r="H573" s="11" t="n"/>
      <c r="J573" s="10" t="n"/>
      <c r="K573" s="11" t="n"/>
      <c r="L573" s="10" t="n"/>
      <c r="M573" s="11" t="n"/>
      <c r="N573" s="10" t="n"/>
      <c r="O573" s="11" t="n"/>
      <c r="P573" s="6" t="n"/>
      <c r="Q573" s="11" t="n"/>
      <c r="S573" s="8">
        <f>IF(B573="","",E573*F573)</f>
        <v/>
      </c>
      <c r="T573" s="8">
        <f>IF(OR(B573="",N(G573)=0),"",ABS(F573-G573)*E573)</f>
        <v/>
      </c>
      <c r="U573" s="8">
        <f>IF(OR(B573="",P573=""),"",IF(D573="Venda",-1,1)*((N(J573)*N(K573)+N(L573)*N(M573)+N(N573)*N(O573))-(N(J573)+N(L573)+N(N573))*F573)-N(Q573))</f>
        <v/>
      </c>
      <c r="V573" s="9">
        <f>IF(OR(B573="",P573=""),"",U573/S573)</f>
        <v/>
      </c>
      <c r="W573">
        <f>IF(OR(B573="",P573=""),"",P573-C573)</f>
        <v/>
      </c>
      <c r="X573">
        <f>IF(B573="","",IF(P573="","Aberto","Fechado"))</f>
        <v/>
      </c>
    </row>
    <row r="574">
      <c r="C574" s="6" t="n"/>
      <c r="E574" s="10" t="n"/>
      <c r="F574" s="11" t="n"/>
      <c r="G574" s="11" t="n"/>
      <c r="H574" s="11" t="n"/>
      <c r="J574" s="10" t="n"/>
      <c r="K574" s="11" t="n"/>
      <c r="L574" s="10" t="n"/>
      <c r="M574" s="11" t="n"/>
      <c r="N574" s="10" t="n"/>
      <c r="O574" s="11" t="n"/>
      <c r="P574" s="6" t="n"/>
      <c r="Q574" s="11" t="n"/>
      <c r="S574" s="8">
        <f>IF(B574="","",E574*F574)</f>
        <v/>
      </c>
      <c r="T574" s="8">
        <f>IF(OR(B574="",N(G574)=0),"",ABS(F574-G574)*E574)</f>
        <v/>
      </c>
      <c r="U574" s="8">
        <f>IF(OR(B574="",P574=""),"",IF(D574="Venda",-1,1)*((N(J574)*N(K574)+N(L574)*N(M574)+N(N574)*N(O574))-(N(J574)+N(L574)+N(N574))*F574)-N(Q574))</f>
        <v/>
      </c>
      <c r="V574" s="9">
        <f>IF(OR(B574="",P574=""),"",U574/S574)</f>
        <v/>
      </c>
      <c r="W574">
        <f>IF(OR(B574="",P574=""),"",P574-C574)</f>
        <v/>
      </c>
      <c r="X574">
        <f>IF(B574="","",IF(P574="","Aberto","Fechado"))</f>
        <v/>
      </c>
    </row>
    <row r="575">
      <c r="C575" s="6" t="n"/>
      <c r="E575" s="10" t="n"/>
      <c r="F575" s="11" t="n"/>
      <c r="G575" s="11" t="n"/>
      <c r="H575" s="11" t="n"/>
      <c r="J575" s="10" t="n"/>
      <c r="K575" s="11" t="n"/>
      <c r="L575" s="10" t="n"/>
      <c r="M575" s="11" t="n"/>
      <c r="N575" s="10" t="n"/>
      <c r="O575" s="11" t="n"/>
      <c r="P575" s="6" t="n"/>
      <c r="Q575" s="11" t="n"/>
      <c r="S575" s="8">
        <f>IF(B575="","",E575*F575)</f>
        <v/>
      </c>
      <c r="T575" s="8">
        <f>IF(OR(B575="",N(G575)=0),"",ABS(F575-G575)*E575)</f>
        <v/>
      </c>
      <c r="U575" s="8">
        <f>IF(OR(B575="",P575=""),"",IF(D575="Venda",-1,1)*((N(J575)*N(K575)+N(L575)*N(M575)+N(N575)*N(O575))-(N(J575)+N(L575)+N(N575))*F575)-N(Q575))</f>
        <v/>
      </c>
      <c r="V575" s="9">
        <f>IF(OR(B575="",P575=""),"",U575/S575)</f>
        <v/>
      </c>
      <c r="W575">
        <f>IF(OR(B575="",P575=""),"",P575-C575)</f>
        <v/>
      </c>
      <c r="X575">
        <f>IF(B575="","",IF(P575="","Aberto","Fechado"))</f>
        <v/>
      </c>
    </row>
    <row r="576">
      <c r="C576" s="6" t="n"/>
      <c r="E576" s="10" t="n"/>
      <c r="F576" s="11" t="n"/>
      <c r="G576" s="11" t="n"/>
      <c r="H576" s="11" t="n"/>
      <c r="J576" s="10" t="n"/>
      <c r="K576" s="11" t="n"/>
      <c r="L576" s="10" t="n"/>
      <c r="M576" s="11" t="n"/>
      <c r="N576" s="10" t="n"/>
      <c r="O576" s="11" t="n"/>
      <c r="P576" s="6" t="n"/>
      <c r="Q576" s="11" t="n"/>
      <c r="S576" s="8">
        <f>IF(B576="","",E576*F576)</f>
        <v/>
      </c>
      <c r="T576" s="8">
        <f>IF(OR(B576="",N(G576)=0),"",ABS(F576-G576)*E576)</f>
        <v/>
      </c>
      <c r="U576" s="8">
        <f>IF(OR(B576="",P576=""),"",IF(D576="Venda",-1,1)*((N(J576)*N(K576)+N(L576)*N(M576)+N(N576)*N(O576))-(N(J576)+N(L576)+N(N576))*F576)-N(Q576))</f>
        <v/>
      </c>
      <c r="V576" s="9">
        <f>IF(OR(B576="",P576=""),"",U576/S576)</f>
        <v/>
      </c>
      <c r="W576">
        <f>IF(OR(B576="",P576=""),"",P576-C576)</f>
        <v/>
      </c>
      <c r="X576">
        <f>IF(B576="","",IF(P576="","Aberto","Fechado"))</f>
        <v/>
      </c>
    </row>
    <row r="577">
      <c r="C577" s="6" t="n"/>
      <c r="E577" s="10" t="n"/>
      <c r="F577" s="11" t="n"/>
      <c r="G577" s="11" t="n"/>
      <c r="H577" s="11" t="n"/>
      <c r="J577" s="10" t="n"/>
      <c r="K577" s="11" t="n"/>
      <c r="L577" s="10" t="n"/>
      <c r="M577" s="11" t="n"/>
      <c r="N577" s="10" t="n"/>
      <c r="O577" s="11" t="n"/>
      <c r="P577" s="6" t="n"/>
      <c r="Q577" s="11" t="n"/>
      <c r="S577" s="8">
        <f>IF(B577="","",E577*F577)</f>
        <v/>
      </c>
      <c r="T577" s="8">
        <f>IF(OR(B577="",N(G577)=0),"",ABS(F577-G577)*E577)</f>
        <v/>
      </c>
      <c r="U577" s="8">
        <f>IF(OR(B577="",P577=""),"",IF(D577="Venda",-1,1)*((N(J577)*N(K577)+N(L577)*N(M577)+N(N577)*N(O577))-(N(J577)+N(L577)+N(N577))*F577)-N(Q577))</f>
        <v/>
      </c>
      <c r="V577" s="9">
        <f>IF(OR(B577="",P577=""),"",U577/S577)</f>
        <v/>
      </c>
      <c r="W577">
        <f>IF(OR(B577="",P577=""),"",P577-C577)</f>
        <v/>
      </c>
      <c r="X577">
        <f>IF(B577="","",IF(P577="","Aberto","Fechado"))</f>
        <v/>
      </c>
    </row>
    <row r="578">
      <c r="C578" s="6" t="n"/>
      <c r="E578" s="10" t="n"/>
      <c r="F578" s="11" t="n"/>
      <c r="G578" s="11" t="n"/>
      <c r="H578" s="11" t="n"/>
      <c r="J578" s="10" t="n"/>
      <c r="K578" s="11" t="n"/>
      <c r="L578" s="10" t="n"/>
      <c r="M578" s="11" t="n"/>
      <c r="N578" s="10" t="n"/>
      <c r="O578" s="11" t="n"/>
      <c r="P578" s="6" t="n"/>
      <c r="Q578" s="11" t="n"/>
      <c r="S578" s="8">
        <f>IF(B578="","",E578*F578)</f>
        <v/>
      </c>
      <c r="T578" s="8">
        <f>IF(OR(B578="",N(G578)=0),"",ABS(F578-G578)*E578)</f>
        <v/>
      </c>
      <c r="U578" s="8">
        <f>IF(OR(B578="",P578=""),"",IF(D578="Venda",-1,1)*((N(J578)*N(K578)+N(L578)*N(M578)+N(N578)*N(O578))-(N(J578)+N(L578)+N(N578))*F578)-N(Q578))</f>
        <v/>
      </c>
      <c r="V578" s="9">
        <f>IF(OR(B578="",P578=""),"",U578/S578)</f>
        <v/>
      </c>
      <c r="W578">
        <f>IF(OR(B578="",P578=""),"",P578-C578)</f>
        <v/>
      </c>
      <c r="X578">
        <f>IF(B578="","",IF(P578="","Aberto","Fechado"))</f>
        <v/>
      </c>
    </row>
    <row r="579">
      <c r="C579" s="6" t="n"/>
      <c r="E579" s="10" t="n"/>
      <c r="F579" s="11" t="n"/>
      <c r="G579" s="11" t="n"/>
      <c r="H579" s="11" t="n"/>
      <c r="J579" s="10" t="n"/>
      <c r="K579" s="11" t="n"/>
      <c r="L579" s="10" t="n"/>
      <c r="M579" s="11" t="n"/>
      <c r="N579" s="10" t="n"/>
      <c r="O579" s="11" t="n"/>
      <c r="P579" s="6" t="n"/>
      <c r="Q579" s="11" t="n"/>
      <c r="S579" s="8">
        <f>IF(B579="","",E579*F579)</f>
        <v/>
      </c>
      <c r="T579" s="8">
        <f>IF(OR(B579="",N(G579)=0),"",ABS(F579-G579)*E579)</f>
        <v/>
      </c>
      <c r="U579" s="8">
        <f>IF(OR(B579="",P579=""),"",IF(D579="Venda",-1,1)*((N(J579)*N(K579)+N(L579)*N(M579)+N(N579)*N(O579))-(N(J579)+N(L579)+N(N579))*F579)-N(Q579))</f>
        <v/>
      </c>
      <c r="V579" s="9">
        <f>IF(OR(B579="",P579=""),"",U579/S579)</f>
        <v/>
      </c>
      <c r="W579">
        <f>IF(OR(B579="",P579=""),"",P579-C579)</f>
        <v/>
      </c>
      <c r="X579">
        <f>IF(B579="","",IF(P579="","Aberto","Fechado"))</f>
        <v/>
      </c>
    </row>
    <row r="580">
      <c r="C580" s="6" t="n"/>
      <c r="E580" s="10" t="n"/>
      <c r="F580" s="11" t="n"/>
      <c r="G580" s="11" t="n"/>
      <c r="H580" s="11" t="n"/>
      <c r="J580" s="10" t="n"/>
      <c r="K580" s="11" t="n"/>
      <c r="L580" s="10" t="n"/>
      <c r="M580" s="11" t="n"/>
      <c r="N580" s="10" t="n"/>
      <c r="O580" s="11" t="n"/>
      <c r="P580" s="6" t="n"/>
      <c r="Q580" s="11" t="n"/>
      <c r="S580" s="8">
        <f>IF(B580="","",E580*F580)</f>
        <v/>
      </c>
      <c r="T580" s="8">
        <f>IF(OR(B580="",N(G580)=0),"",ABS(F580-G580)*E580)</f>
        <v/>
      </c>
      <c r="U580" s="8">
        <f>IF(OR(B580="",P580=""),"",IF(D580="Venda",-1,1)*((N(J580)*N(K580)+N(L580)*N(M580)+N(N580)*N(O580))-(N(J580)+N(L580)+N(N580))*F580)-N(Q580))</f>
        <v/>
      </c>
      <c r="V580" s="9">
        <f>IF(OR(B580="",P580=""),"",U580/S580)</f>
        <v/>
      </c>
      <c r="W580">
        <f>IF(OR(B580="",P580=""),"",P580-C580)</f>
        <v/>
      </c>
      <c r="X580">
        <f>IF(B580="","",IF(P580="","Aberto","Fechado"))</f>
        <v/>
      </c>
    </row>
    <row r="581">
      <c r="C581" s="6" t="n"/>
      <c r="E581" s="10" t="n"/>
      <c r="F581" s="11" t="n"/>
      <c r="G581" s="11" t="n"/>
      <c r="H581" s="11" t="n"/>
      <c r="J581" s="10" t="n"/>
      <c r="K581" s="11" t="n"/>
      <c r="L581" s="10" t="n"/>
      <c r="M581" s="11" t="n"/>
      <c r="N581" s="10" t="n"/>
      <c r="O581" s="11" t="n"/>
      <c r="P581" s="6" t="n"/>
      <c r="Q581" s="11" t="n"/>
      <c r="S581" s="8">
        <f>IF(B581="","",E581*F581)</f>
        <v/>
      </c>
      <c r="T581" s="8">
        <f>IF(OR(B581="",N(G581)=0),"",ABS(F581-G581)*E581)</f>
        <v/>
      </c>
      <c r="U581" s="8">
        <f>IF(OR(B581="",P581=""),"",IF(D581="Venda",-1,1)*((N(J581)*N(K581)+N(L581)*N(M581)+N(N581)*N(O581))-(N(J581)+N(L581)+N(N581))*F581)-N(Q581))</f>
        <v/>
      </c>
      <c r="V581" s="9">
        <f>IF(OR(B581="",P581=""),"",U581/S581)</f>
        <v/>
      </c>
      <c r="W581">
        <f>IF(OR(B581="",P581=""),"",P581-C581)</f>
        <v/>
      </c>
      <c r="X581">
        <f>IF(B581="","",IF(P581="","Aberto","Fechado"))</f>
        <v/>
      </c>
    </row>
    <row r="582">
      <c r="C582" s="6" t="n"/>
      <c r="E582" s="10" t="n"/>
      <c r="F582" s="11" t="n"/>
      <c r="G582" s="11" t="n"/>
      <c r="H582" s="11" t="n"/>
      <c r="J582" s="10" t="n"/>
      <c r="K582" s="11" t="n"/>
      <c r="L582" s="10" t="n"/>
      <c r="M582" s="11" t="n"/>
      <c r="N582" s="10" t="n"/>
      <c r="O582" s="11" t="n"/>
      <c r="P582" s="6" t="n"/>
      <c r="Q582" s="11" t="n"/>
      <c r="S582" s="8">
        <f>IF(B582="","",E582*F582)</f>
        <v/>
      </c>
      <c r="T582" s="8">
        <f>IF(OR(B582="",N(G582)=0),"",ABS(F582-G582)*E582)</f>
        <v/>
      </c>
      <c r="U582" s="8">
        <f>IF(OR(B582="",P582=""),"",IF(D582="Venda",-1,1)*((N(J582)*N(K582)+N(L582)*N(M582)+N(N582)*N(O582))-(N(J582)+N(L582)+N(N582))*F582)-N(Q582))</f>
        <v/>
      </c>
      <c r="V582" s="9">
        <f>IF(OR(B582="",P582=""),"",U582/S582)</f>
        <v/>
      </c>
      <c r="W582">
        <f>IF(OR(B582="",P582=""),"",P582-C582)</f>
        <v/>
      </c>
      <c r="X582">
        <f>IF(B582="","",IF(P582="","Aberto","Fechado"))</f>
        <v/>
      </c>
    </row>
    <row r="583">
      <c r="C583" s="6" t="n"/>
      <c r="E583" s="10" t="n"/>
      <c r="F583" s="11" t="n"/>
      <c r="G583" s="11" t="n"/>
      <c r="H583" s="11" t="n"/>
      <c r="J583" s="10" t="n"/>
      <c r="K583" s="11" t="n"/>
      <c r="L583" s="10" t="n"/>
      <c r="M583" s="11" t="n"/>
      <c r="N583" s="10" t="n"/>
      <c r="O583" s="11" t="n"/>
      <c r="P583" s="6" t="n"/>
      <c r="Q583" s="11" t="n"/>
      <c r="S583" s="8">
        <f>IF(B583="","",E583*F583)</f>
        <v/>
      </c>
      <c r="T583" s="8">
        <f>IF(OR(B583="",N(G583)=0),"",ABS(F583-G583)*E583)</f>
        <v/>
      </c>
      <c r="U583" s="8">
        <f>IF(OR(B583="",P583=""),"",IF(D583="Venda",-1,1)*((N(J583)*N(K583)+N(L583)*N(M583)+N(N583)*N(O583))-(N(J583)+N(L583)+N(N583))*F583)-N(Q583))</f>
        <v/>
      </c>
      <c r="V583" s="9">
        <f>IF(OR(B583="",P583=""),"",U583/S583)</f>
        <v/>
      </c>
      <c r="W583">
        <f>IF(OR(B583="",P583=""),"",P583-C583)</f>
        <v/>
      </c>
      <c r="X583">
        <f>IF(B583="","",IF(P583="","Aberto","Fechado"))</f>
        <v/>
      </c>
    </row>
    <row r="584">
      <c r="C584" s="6" t="n"/>
      <c r="E584" s="10" t="n"/>
      <c r="F584" s="11" t="n"/>
      <c r="G584" s="11" t="n"/>
      <c r="H584" s="11" t="n"/>
      <c r="J584" s="10" t="n"/>
      <c r="K584" s="11" t="n"/>
      <c r="L584" s="10" t="n"/>
      <c r="M584" s="11" t="n"/>
      <c r="N584" s="10" t="n"/>
      <c r="O584" s="11" t="n"/>
      <c r="P584" s="6" t="n"/>
      <c r="Q584" s="11" t="n"/>
      <c r="S584" s="8">
        <f>IF(B584="","",E584*F584)</f>
        <v/>
      </c>
      <c r="T584" s="8">
        <f>IF(OR(B584="",N(G584)=0),"",ABS(F584-G584)*E584)</f>
        <v/>
      </c>
      <c r="U584" s="8">
        <f>IF(OR(B584="",P584=""),"",IF(D584="Venda",-1,1)*((N(J584)*N(K584)+N(L584)*N(M584)+N(N584)*N(O584))-(N(J584)+N(L584)+N(N584))*F584)-N(Q584))</f>
        <v/>
      </c>
      <c r="V584" s="9">
        <f>IF(OR(B584="",P584=""),"",U584/S584)</f>
        <v/>
      </c>
      <c r="W584">
        <f>IF(OR(B584="",P584=""),"",P584-C584)</f>
        <v/>
      </c>
      <c r="X584">
        <f>IF(B584="","",IF(P584="","Aberto","Fechado"))</f>
        <v/>
      </c>
    </row>
    <row r="585">
      <c r="C585" s="6" t="n"/>
      <c r="E585" s="10" t="n"/>
      <c r="F585" s="11" t="n"/>
      <c r="G585" s="11" t="n"/>
      <c r="H585" s="11" t="n"/>
      <c r="J585" s="10" t="n"/>
      <c r="K585" s="11" t="n"/>
      <c r="L585" s="10" t="n"/>
      <c r="M585" s="11" t="n"/>
      <c r="N585" s="10" t="n"/>
      <c r="O585" s="11" t="n"/>
      <c r="P585" s="6" t="n"/>
      <c r="Q585" s="11" t="n"/>
      <c r="S585" s="8">
        <f>IF(B585="","",E585*F585)</f>
        <v/>
      </c>
      <c r="T585" s="8">
        <f>IF(OR(B585="",N(G585)=0),"",ABS(F585-G585)*E585)</f>
        <v/>
      </c>
      <c r="U585" s="8">
        <f>IF(OR(B585="",P585=""),"",IF(D585="Venda",-1,1)*((N(J585)*N(K585)+N(L585)*N(M585)+N(N585)*N(O585))-(N(J585)+N(L585)+N(N585))*F585)-N(Q585))</f>
        <v/>
      </c>
      <c r="V585" s="9">
        <f>IF(OR(B585="",P585=""),"",U585/S585)</f>
        <v/>
      </c>
      <c r="W585">
        <f>IF(OR(B585="",P585=""),"",P585-C585)</f>
        <v/>
      </c>
      <c r="X585">
        <f>IF(B585="","",IF(P585="","Aberto","Fechado"))</f>
        <v/>
      </c>
    </row>
    <row r="586">
      <c r="C586" s="6" t="n"/>
      <c r="E586" s="10" t="n"/>
      <c r="F586" s="11" t="n"/>
      <c r="G586" s="11" t="n"/>
      <c r="H586" s="11" t="n"/>
      <c r="J586" s="10" t="n"/>
      <c r="K586" s="11" t="n"/>
      <c r="L586" s="10" t="n"/>
      <c r="M586" s="11" t="n"/>
      <c r="N586" s="10" t="n"/>
      <c r="O586" s="11" t="n"/>
      <c r="P586" s="6" t="n"/>
      <c r="Q586" s="11" t="n"/>
      <c r="S586" s="8">
        <f>IF(B586="","",E586*F586)</f>
        <v/>
      </c>
      <c r="T586" s="8">
        <f>IF(OR(B586="",N(G586)=0),"",ABS(F586-G586)*E586)</f>
        <v/>
      </c>
      <c r="U586" s="8">
        <f>IF(OR(B586="",P586=""),"",IF(D586="Venda",-1,1)*((N(J586)*N(K586)+N(L586)*N(M586)+N(N586)*N(O586))-(N(J586)+N(L586)+N(N586))*F586)-N(Q586))</f>
        <v/>
      </c>
      <c r="V586" s="9">
        <f>IF(OR(B586="",P586=""),"",U586/S586)</f>
        <v/>
      </c>
      <c r="W586">
        <f>IF(OR(B586="",P586=""),"",P586-C586)</f>
        <v/>
      </c>
      <c r="X586">
        <f>IF(B586="","",IF(P586="","Aberto","Fechado"))</f>
        <v/>
      </c>
    </row>
    <row r="587">
      <c r="C587" s="6" t="n"/>
      <c r="E587" s="10" t="n"/>
      <c r="F587" s="11" t="n"/>
      <c r="G587" s="11" t="n"/>
      <c r="H587" s="11" t="n"/>
      <c r="J587" s="10" t="n"/>
      <c r="K587" s="11" t="n"/>
      <c r="L587" s="10" t="n"/>
      <c r="M587" s="11" t="n"/>
      <c r="N587" s="10" t="n"/>
      <c r="O587" s="11" t="n"/>
      <c r="P587" s="6" t="n"/>
      <c r="Q587" s="11" t="n"/>
      <c r="S587" s="8">
        <f>IF(B587="","",E587*F587)</f>
        <v/>
      </c>
      <c r="T587" s="8">
        <f>IF(OR(B587="",N(G587)=0),"",ABS(F587-G587)*E587)</f>
        <v/>
      </c>
      <c r="U587" s="8">
        <f>IF(OR(B587="",P587=""),"",IF(D587="Venda",-1,1)*((N(J587)*N(K587)+N(L587)*N(M587)+N(N587)*N(O587))-(N(J587)+N(L587)+N(N587))*F587)-N(Q587))</f>
        <v/>
      </c>
      <c r="V587" s="9">
        <f>IF(OR(B587="",P587=""),"",U587/S587)</f>
        <v/>
      </c>
      <c r="W587">
        <f>IF(OR(B587="",P587=""),"",P587-C587)</f>
        <v/>
      </c>
      <c r="X587">
        <f>IF(B587="","",IF(P587="","Aberto","Fechado"))</f>
        <v/>
      </c>
    </row>
    <row r="588">
      <c r="C588" s="6" t="n"/>
      <c r="E588" s="10" t="n"/>
      <c r="F588" s="11" t="n"/>
      <c r="G588" s="11" t="n"/>
      <c r="H588" s="11" t="n"/>
      <c r="J588" s="10" t="n"/>
      <c r="K588" s="11" t="n"/>
      <c r="L588" s="10" t="n"/>
      <c r="M588" s="11" t="n"/>
      <c r="N588" s="10" t="n"/>
      <c r="O588" s="11" t="n"/>
      <c r="P588" s="6" t="n"/>
      <c r="Q588" s="11" t="n"/>
      <c r="S588" s="8">
        <f>IF(B588="","",E588*F588)</f>
        <v/>
      </c>
      <c r="T588" s="8">
        <f>IF(OR(B588="",N(G588)=0),"",ABS(F588-G588)*E588)</f>
        <v/>
      </c>
      <c r="U588" s="8">
        <f>IF(OR(B588="",P588=""),"",IF(D588="Venda",-1,1)*((N(J588)*N(K588)+N(L588)*N(M588)+N(N588)*N(O588))-(N(J588)+N(L588)+N(N588))*F588)-N(Q588))</f>
        <v/>
      </c>
      <c r="V588" s="9">
        <f>IF(OR(B588="",P588=""),"",U588/S588)</f>
        <v/>
      </c>
      <c r="W588">
        <f>IF(OR(B588="",P588=""),"",P588-C588)</f>
        <v/>
      </c>
      <c r="X588">
        <f>IF(B588="","",IF(P588="","Aberto","Fechado"))</f>
        <v/>
      </c>
    </row>
    <row r="589">
      <c r="C589" s="6" t="n"/>
      <c r="E589" s="10" t="n"/>
      <c r="F589" s="11" t="n"/>
      <c r="G589" s="11" t="n"/>
      <c r="H589" s="11" t="n"/>
      <c r="J589" s="10" t="n"/>
      <c r="K589" s="11" t="n"/>
      <c r="L589" s="10" t="n"/>
      <c r="M589" s="11" t="n"/>
      <c r="N589" s="10" t="n"/>
      <c r="O589" s="11" t="n"/>
      <c r="P589" s="6" t="n"/>
      <c r="Q589" s="11" t="n"/>
      <c r="S589" s="8">
        <f>IF(B589="","",E589*F589)</f>
        <v/>
      </c>
      <c r="T589" s="8">
        <f>IF(OR(B589="",N(G589)=0),"",ABS(F589-G589)*E589)</f>
        <v/>
      </c>
      <c r="U589" s="8">
        <f>IF(OR(B589="",P589=""),"",IF(D589="Venda",-1,1)*((N(J589)*N(K589)+N(L589)*N(M589)+N(N589)*N(O589))-(N(J589)+N(L589)+N(N589))*F589)-N(Q589))</f>
        <v/>
      </c>
      <c r="V589" s="9">
        <f>IF(OR(B589="",P589=""),"",U589/S589)</f>
        <v/>
      </c>
      <c r="W589">
        <f>IF(OR(B589="",P589=""),"",P589-C589)</f>
        <v/>
      </c>
      <c r="X589">
        <f>IF(B589="","",IF(P589="","Aberto","Fechado"))</f>
        <v/>
      </c>
    </row>
    <row r="590">
      <c r="C590" s="6" t="n"/>
      <c r="E590" s="10" t="n"/>
      <c r="F590" s="11" t="n"/>
      <c r="G590" s="11" t="n"/>
      <c r="H590" s="11" t="n"/>
      <c r="J590" s="10" t="n"/>
      <c r="K590" s="11" t="n"/>
      <c r="L590" s="10" t="n"/>
      <c r="M590" s="11" t="n"/>
      <c r="N590" s="10" t="n"/>
      <c r="O590" s="11" t="n"/>
      <c r="P590" s="6" t="n"/>
      <c r="Q590" s="11" t="n"/>
      <c r="S590" s="8">
        <f>IF(B590="","",E590*F590)</f>
        <v/>
      </c>
      <c r="T590" s="8">
        <f>IF(OR(B590="",N(G590)=0),"",ABS(F590-G590)*E590)</f>
        <v/>
      </c>
      <c r="U590" s="8">
        <f>IF(OR(B590="",P590=""),"",IF(D590="Venda",-1,1)*((N(J590)*N(K590)+N(L590)*N(M590)+N(N590)*N(O590))-(N(J590)+N(L590)+N(N590))*F590)-N(Q590))</f>
        <v/>
      </c>
      <c r="V590" s="9">
        <f>IF(OR(B590="",P590=""),"",U590/S590)</f>
        <v/>
      </c>
      <c r="W590">
        <f>IF(OR(B590="",P590=""),"",P590-C590)</f>
        <v/>
      </c>
      <c r="X590">
        <f>IF(B590="","",IF(P590="","Aberto","Fechado"))</f>
        <v/>
      </c>
    </row>
    <row r="591">
      <c r="C591" s="6" t="n"/>
      <c r="E591" s="10" t="n"/>
      <c r="F591" s="11" t="n"/>
      <c r="G591" s="11" t="n"/>
      <c r="H591" s="11" t="n"/>
      <c r="J591" s="10" t="n"/>
      <c r="K591" s="11" t="n"/>
      <c r="L591" s="10" t="n"/>
      <c r="M591" s="11" t="n"/>
      <c r="N591" s="10" t="n"/>
      <c r="O591" s="11" t="n"/>
      <c r="P591" s="6" t="n"/>
      <c r="Q591" s="11" t="n"/>
      <c r="S591" s="8">
        <f>IF(B591="","",E591*F591)</f>
        <v/>
      </c>
      <c r="T591" s="8">
        <f>IF(OR(B591="",N(G591)=0),"",ABS(F591-G591)*E591)</f>
        <v/>
      </c>
      <c r="U591" s="8">
        <f>IF(OR(B591="",P591=""),"",IF(D591="Venda",-1,1)*((N(J591)*N(K591)+N(L591)*N(M591)+N(N591)*N(O591))-(N(J591)+N(L591)+N(N591))*F591)-N(Q591))</f>
        <v/>
      </c>
      <c r="V591" s="9">
        <f>IF(OR(B591="",P591=""),"",U591/S591)</f>
        <v/>
      </c>
      <c r="W591">
        <f>IF(OR(B591="",P591=""),"",P591-C591)</f>
        <v/>
      </c>
      <c r="X591">
        <f>IF(B591="","",IF(P591="","Aberto","Fechado"))</f>
        <v/>
      </c>
    </row>
    <row r="592">
      <c r="C592" s="6" t="n"/>
      <c r="E592" s="10" t="n"/>
      <c r="F592" s="11" t="n"/>
      <c r="G592" s="11" t="n"/>
      <c r="H592" s="11" t="n"/>
      <c r="J592" s="10" t="n"/>
      <c r="K592" s="11" t="n"/>
      <c r="L592" s="10" t="n"/>
      <c r="M592" s="11" t="n"/>
      <c r="N592" s="10" t="n"/>
      <c r="O592" s="11" t="n"/>
      <c r="P592" s="6" t="n"/>
      <c r="Q592" s="11" t="n"/>
      <c r="S592" s="8">
        <f>IF(B592="","",E592*F592)</f>
        <v/>
      </c>
      <c r="T592" s="8">
        <f>IF(OR(B592="",N(G592)=0),"",ABS(F592-G592)*E592)</f>
        <v/>
      </c>
      <c r="U592" s="8">
        <f>IF(OR(B592="",P592=""),"",IF(D592="Venda",-1,1)*((N(J592)*N(K592)+N(L592)*N(M592)+N(N592)*N(O592))-(N(J592)+N(L592)+N(N592))*F592)-N(Q592))</f>
        <v/>
      </c>
      <c r="V592" s="9">
        <f>IF(OR(B592="",P592=""),"",U592/S592)</f>
        <v/>
      </c>
      <c r="W592">
        <f>IF(OR(B592="",P592=""),"",P592-C592)</f>
        <v/>
      </c>
      <c r="X592">
        <f>IF(B592="","",IF(P592="","Aberto","Fechado"))</f>
        <v/>
      </c>
    </row>
    <row r="593">
      <c r="C593" s="6" t="n"/>
      <c r="E593" s="10" t="n"/>
      <c r="F593" s="11" t="n"/>
      <c r="G593" s="11" t="n"/>
      <c r="H593" s="11" t="n"/>
      <c r="J593" s="10" t="n"/>
      <c r="K593" s="11" t="n"/>
      <c r="L593" s="10" t="n"/>
      <c r="M593" s="11" t="n"/>
      <c r="N593" s="10" t="n"/>
      <c r="O593" s="11" t="n"/>
      <c r="P593" s="6" t="n"/>
      <c r="Q593" s="11" t="n"/>
      <c r="S593" s="8">
        <f>IF(B593="","",E593*F593)</f>
        <v/>
      </c>
      <c r="T593" s="8">
        <f>IF(OR(B593="",N(G593)=0),"",ABS(F593-G593)*E593)</f>
        <v/>
      </c>
      <c r="U593" s="8">
        <f>IF(OR(B593="",P593=""),"",IF(D593="Venda",-1,1)*((N(J593)*N(K593)+N(L593)*N(M593)+N(N593)*N(O593))-(N(J593)+N(L593)+N(N593))*F593)-N(Q593))</f>
        <v/>
      </c>
      <c r="V593" s="9">
        <f>IF(OR(B593="",P593=""),"",U593/S593)</f>
        <v/>
      </c>
      <c r="W593">
        <f>IF(OR(B593="",P593=""),"",P593-C593)</f>
        <v/>
      </c>
      <c r="X593">
        <f>IF(B593="","",IF(P593="","Aberto","Fechado"))</f>
        <v/>
      </c>
    </row>
    <row r="594">
      <c r="C594" s="6" t="n"/>
      <c r="E594" s="10" t="n"/>
      <c r="F594" s="11" t="n"/>
      <c r="G594" s="11" t="n"/>
      <c r="H594" s="11" t="n"/>
      <c r="J594" s="10" t="n"/>
      <c r="K594" s="11" t="n"/>
      <c r="L594" s="10" t="n"/>
      <c r="M594" s="11" t="n"/>
      <c r="N594" s="10" t="n"/>
      <c r="O594" s="11" t="n"/>
      <c r="P594" s="6" t="n"/>
      <c r="Q594" s="11" t="n"/>
      <c r="S594" s="8">
        <f>IF(B594="","",E594*F594)</f>
        <v/>
      </c>
      <c r="T594" s="8">
        <f>IF(OR(B594="",N(G594)=0),"",ABS(F594-G594)*E594)</f>
        <v/>
      </c>
      <c r="U594" s="8">
        <f>IF(OR(B594="",P594=""),"",IF(D594="Venda",-1,1)*((N(J594)*N(K594)+N(L594)*N(M594)+N(N594)*N(O594))-(N(J594)+N(L594)+N(N594))*F594)-N(Q594))</f>
        <v/>
      </c>
      <c r="V594" s="9">
        <f>IF(OR(B594="",P594=""),"",U594/S594)</f>
        <v/>
      </c>
      <c r="W594">
        <f>IF(OR(B594="",P594=""),"",P594-C594)</f>
        <v/>
      </c>
      <c r="X594">
        <f>IF(B594="","",IF(P594="","Aberto","Fechado"))</f>
        <v/>
      </c>
    </row>
    <row r="595">
      <c r="C595" s="6" t="n"/>
      <c r="E595" s="10" t="n"/>
      <c r="F595" s="11" t="n"/>
      <c r="G595" s="11" t="n"/>
      <c r="H595" s="11" t="n"/>
      <c r="J595" s="10" t="n"/>
      <c r="K595" s="11" t="n"/>
      <c r="L595" s="10" t="n"/>
      <c r="M595" s="11" t="n"/>
      <c r="N595" s="10" t="n"/>
      <c r="O595" s="11" t="n"/>
      <c r="P595" s="6" t="n"/>
      <c r="Q595" s="11" t="n"/>
      <c r="S595" s="8">
        <f>IF(B595="","",E595*F595)</f>
        <v/>
      </c>
      <c r="T595" s="8">
        <f>IF(OR(B595="",N(G595)=0),"",ABS(F595-G595)*E595)</f>
        <v/>
      </c>
      <c r="U595" s="8">
        <f>IF(OR(B595="",P595=""),"",IF(D595="Venda",-1,1)*((N(J595)*N(K595)+N(L595)*N(M595)+N(N595)*N(O595))-(N(J595)+N(L595)+N(N595))*F595)-N(Q595))</f>
        <v/>
      </c>
      <c r="V595" s="9">
        <f>IF(OR(B595="",P595=""),"",U595/S595)</f>
        <v/>
      </c>
      <c r="W595">
        <f>IF(OR(B595="",P595=""),"",P595-C595)</f>
        <v/>
      </c>
      <c r="X595">
        <f>IF(B595="","",IF(P595="","Aberto","Fechado"))</f>
        <v/>
      </c>
    </row>
    <row r="596">
      <c r="C596" s="6" t="n"/>
      <c r="E596" s="10" t="n"/>
      <c r="F596" s="11" t="n"/>
      <c r="G596" s="11" t="n"/>
      <c r="H596" s="11" t="n"/>
      <c r="J596" s="10" t="n"/>
      <c r="K596" s="11" t="n"/>
      <c r="L596" s="10" t="n"/>
      <c r="M596" s="11" t="n"/>
      <c r="N596" s="10" t="n"/>
      <c r="O596" s="11" t="n"/>
      <c r="P596" s="6" t="n"/>
      <c r="Q596" s="11" t="n"/>
      <c r="S596" s="8">
        <f>IF(B596="","",E596*F596)</f>
        <v/>
      </c>
      <c r="T596" s="8">
        <f>IF(OR(B596="",N(G596)=0),"",ABS(F596-G596)*E596)</f>
        <v/>
      </c>
      <c r="U596" s="8">
        <f>IF(OR(B596="",P596=""),"",IF(D596="Venda",-1,1)*((N(J596)*N(K596)+N(L596)*N(M596)+N(N596)*N(O596))-(N(J596)+N(L596)+N(N596))*F596)-N(Q596))</f>
        <v/>
      </c>
      <c r="V596" s="9">
        <f>IF(OR(B596="",P596=""),"",U596/S596)</f>
        <v/>
      </c>
      <c r="W596">
        <f>IF(OR(B596="",P596=""),"",P596-C596)</f>
        <v/>
      </c>
      <c r="X596">
        <f>IF(B596="","",IF(P596="","Aberto","Fechado"))</f>
        <v/>
      </c>
    </row>
    <row r="597">
      <c r="C597" s="6" t="n"/>
      <c r="E597" s="10" t="n"/>
      <c r="F597" s="11" t="n"/>
      <c r="G597" s="11" t="n"/>
      <c r="H597" s="11" t="n"/>
      <c r="J597" s="10" t="n"/>
      <c r="K597" s="11" t="n"/>
      <c r="L597" s="10" t="n"/>
      <c r="M597" s="11" t="n"/>
      <c r="N597" s="10" t="n"/>
      <c r="O597" s="11" t="n"/>
      <c r="P597" s="6" t="n"/>
      <c r="Q597" s="11" t="n"/>
      <c r="S597" s="8">
        <f>IF(B597="","",E597*F597)</f>
        <v/>
      </c>
      <c r="T597" s="8">
        <f>IF(OR(B597="",N(G597)=0),"",ABS(F597-G597)*E597)</f>
        <v/>
      </c>
      <c r="U597" s="8">
        <f>IF(OR(B597="",P597=""),"",IF(D597="Venda",-1,1)*((N(J597)*N(K597)+N(L597)*N(M597)+N(N597)*N(O597))-(N(J597)+N(L597)+N(N597))*F597)-N(Q597))</f>
        <v/>
      </c>
      <c r="V597" s="9">
        <f>IF(OR(B597="",P597=""),"",U597/S597)</f>
        <v/>
      </c>
      <c r="W597">
        <f>IF(OR(B597="",P597=""),"",P597-C597)</f>
        <v/>
      </c>
      <c r="X597">
        <f>IF(B597="","",IF(P597="","Aberto","Fechado"))</f>
        <v/>
      </c>
    </row>
    <row r="598">
      <c r="C598" s="6" t="n"/>
      <c r="E598" s="10" t="n"/>
      <c r="F598" s="11" t="n"/>
      <c r="G598" s="11" t="n"/>
      <c r="H598" s="11" t="n"/>
      <c r="J598" s="10" t="n"/>
      <c r="K598" s="11" t="n"/>
      <c r="L598" s="10" t="n"/>
      <c r="M598" s="11" t="n"/>
      <c r="N598" s="10" t="n"/>
      <c r="O598" s="11" t="n"/>
      <c r="P598" s="6" t="n"/>
      <c r="Q598" s="11" t="n"/>
      <c r="S598" s="8">
        <f>IF(B598="","",E598*F598)</f>
        <v/>
      </c>
      <c r="T598" s="8">
        <f>IF(OR(B598="",N(G598)=0),"",ABS(F598-G598)*E598)</f>
        <v/>
      </c>
      <c r="U598" s="8">
        <f>IF(OR(B598="",P598=""),"",IF(D598="Venda",-1,1)*((N(J598)*N(K598)+N(L598)*N(M598)+N(N598)*N(O598))-(N(J598)+N(L598)+N(N598))*F598)-N(Q598))</f>
        <v/>
      </c>
      <c r="V598" s="9">
        <f>IF(OR(B598="",P598=""),"",U598/S598)</f>
        <v/>
      </c>
      <c r="W598">
        <f>IF(OR(B598="",P598=""),"",P598-C598)</f>
        <v/>
      </c>
      <c r="X598">
        <f>IF(B598="","",IF(P598="","Aberto","Fechado"))</f>
        <v/>
      </c>
    </row>
    <row r="599">
      <c r="C599" s="6" t="n"/>
      <c r="E599" s="10" t="n"/>
      <c r="F599" s="11" t="n"/>
      <c r="G599" s="11" t="n"/>
      <c r="H599" s="11" t="n"/>
      <c r="J599" s="10" t="n"/>
      <c r="K599" s="11" t="n"/>
      <c r="L599" s="10" t="n"/>
      <c r="M599" s="11" t="n"/>
      <c r="N599" s="10" t="n"/>
      <c r="O599" s="11" t="n"/>
      <c r="P599" s="6" t="n"/>
      <c r="Q599" s="11" t="n"/>
      <c r="S599" s="8">
        <f>IF(B599="","",E599*F599)</f>
        <v/>
      </c>
      <c r="T599" s="8">
        <f>IF(OR(B599="",N(G599)=0),"",ABS(F599-G599)*E599)</f>
        <v/>
      </c>
      <c r="U599" s="8">
        <f>IF(OR(B599="",P599=""),"",IF(D599="Venda",-1,1)*((N(J599)*N(K599)+N(L599)*N(M599)+N(N599)*N(O599))-(N(J599)+N(L599)+N(N599))*F599)-N(Q599))</f>
        <v/>
      </c>
      <c r="V599" s="9">
        <f>IF(OR(B599="",P599=""),"",U599/S599)</f>
        <v/>
      </c>
      <c r="W599">
        <f>IF(OR(B599="",P599=""),"",P599-C599)</f>
        <v/>
      </c>
      <c r="X599">
        <f>IF(B599="","",IF(P599="","Aberto","Fechado"))</f>
        <v/>
      </c>
    </row>
    <row r="600">
      <c r="C600" s="6" t="n"/>
      <c r="E600" s="10" t="n"/>
      <c r="F600" s="11" t="n"/>
      <c r="G600" s="11" t="n"/>
      <c r="H600" s="11" t="n"/>
      <c r="J600" s="10" t="n"/>
      <c r="K600" s="11" t="n"/>
      <c r="L600" s="10" t="n"/>
      <c r="M600" s="11" t="n"/>
      <c r="N600" s="10" t="n"/>
      <c r="O600" s="11" t="n"/>
      <c r="P600" s="6" t="n"/>
      <c r="Q600" s="11" t="n"/>
      <c r="S600" s="8">
        <f>IF(B600="","",E600*F600)</f>
        <v/>
      </c>
      <c r="T600" s="8">
        <f>IF(OR(B600="",N(G600)=0),"",ABS(F600-G600)*E600)</f>
        <v/>
      </c>
      <c r="U600" s="8">
        <f>IF(OR(B600="",P600=""),"",IF(D600="Venda",-1,1)*((N(J600)*N(K600)+N(L600)*N(M600)+N(N600)*N(O600))-(N(J600)+N(L600)+N(N600))*F600)-N(Q600))</f>
        <v/>
      </c>
      <c r="V600" s="9">
        <f>IF(OR(B600="",P600=""),"",U600/S600)</f>
        <v/>
      </c>
      <c r="W600">
        <f>IF(OR(B600="",P600=""),"",P600-C600)</f>
        <v/>
      </c>
      <c r="X600">
        <f>IF(B600="","",IF(P600="","Aberto","Fechado"))</f>
        <v/>
      </c>
    </row>
    <row r="601">
      <c r="C601" s="6" t="n"/>
      <c r="E601" s="10" t="n"/>
      <c r="F601" s="11" t="n"/>
      <c r="G601" s="11" t="n"/>
      <c r="H601" s="11" t="n"/>
      <c r="J601" s="10" t="n"/>
      <c r="K601" s="11" t="n"/>
      <c r="L601" s="10" t="n"/>
      <c r="M601" s="11" t="n"/>
      <c r="N601" s="10" t="n"/>
      <c r="O601" s="11" t="n"/>
      <c r="P601" s="6" t="n"/>
      <c r="Q601" s="11" t="n"/>
      <c r="S601" s="8">
        <f>IF(B601="","",E601*F601)</f>
        <v/>
      </c>
      <c r="T601" s="8">
        <f>IF(OR(B601="",N(G601)=0),"",ABS(F601-G601)*E601)</f>
        <v/>
      </c>
      <c r="U601" s="8">
        <f>IF(OR(B601="",P601=""),"",IF(D601="Venda",-1,1)*((N(J601)*N(K601)+N(L601)*N(M601)+N(N601)*N(O601))-(N(J601)+N(L601)+N(N601))*F601)-N(Q601))</f>
        <v/>
      </c>
      <c r="V601" s="9">
        <f>IF(OR(B601="",P601=""),"",U601/S601)</f>
        <v/>
      </c>
      <c r="W601">
        <f>IF(OR(B601="",P601=""),"",P601-C601)</f>
        <v/>
      </c>
      <c r="X601">
        <f>IF(B601="","",IF(P601="","Aberto","Fechado"))</f>
        <v/>
      </c>
    </row>
    <row r="602">
      <c r="C602" s="6" t="n"/>
      <c r="E602" s="10" t="n"/>
      <c r="F602" s="11" t="n"/>
      <c r="G602" s="11" t="n"/>
      <c r="H602" s="11" t="n"/>
      <c r="J602" s="10" t="n"/>
      <c r="K602" s="11" t="n"/>
      <c r="L602" s="10" t="n"/>
      <c r="M602" s="11" t="n"/>
      <c r="N602" s="10" t="n"/>
      <c r="O602" s="11" t="n"/>
      <c r="P602" s="6" t="n"/>
      <c r="Q602" s="11" t="n"/>
      <c r="S602" s="8">
        <f>IF(B602="","",E602*F602)</f>
        <v/>
      </c>
      <c r="T602" s="8">
        <f>IF(OR(B602="",N(G602)=0),"",ABS(F602-G602)*E602)</f>
        <v/>
      </c>
      <c r="U602" s="8">
        <f>IF(OR(B602="",P602=""),"",IF(D602="Venda",-1,1)*((N(J602)*N(K602)+N(L602)*N(M602)+N(N602)*N(O602))-(N(J602)+N(L602)+N(N602))*F602)-N(Q602))</f>
        <v/>
      </c>
      <c r="V602" s="9">
        <f>IF(OR(B602="",P602=""),"",U602/S602)</f>
        <v/>
      </c>
      <c r="W602">
        <f>IF(OR(B602="",P602=""),"",P602-C602)</f>
        <v/>
      </c>
      <c r="X602">
        <f>IF(B602="","",IF(P602="","Aberto","Fechado"))</f>
        <v/>
      </c>
    </row>
    <row r="603">
      <c r="C603" s="6" t="n"/>
      <c r="E603" s="10" t="n"/>
      <c r="F603" s="11" t="n"/>
      <c r="G603" s="11" t="n"/>
      <c r="H603" s="11" t="n"/>
      <c r="J603" s="10" t="n"/>
      <c r="K603" s="11" t="n"/>
      <c r="L603" s="10" t="n"/>
      <c r="M603" s="11" t="n"/>
      <c r="N603" s="10" t="n"/>
      <c r="O603" s="11" t="n"/>
      <c r="P603" s="6" t="n"/>
      <c r="Q603" s="11" t="n"/>
      <c r="S603" s="8">
        <f>IF(B603="","",E603*F603)</f>
        <v/>
      </c>
      <c r="T603" s="8">
        <f>IF(OR(B603="",N(G603)=0),"",ABS(F603-G603)*E603)</f>
        <v/>
      </c>
      <c r="U603" s="8">
        <f>IF(OR(B603="",P603=""),"",IF(D603="Venda",-1,1)*((N(J603)*N(K603)+N(L603)*N(M603)+N(N603)*N(O603))-(N(J603)+N(L603)+N(N603))*F603)-N(Q603))</f>
        <v/>
      </c>
      <c r="V603" s="9">
        <f>IF(OR(B603="",P603=""),"",U603/S603)</f>
        <v/>
      </c>
      <c r="W603">
        <f>IF(OR(B603="",P603=""),"",P603-C603)</f>
        <v/>
      </c>
      <c r="X603">
        <f>IF(B603="","",IF(P603="","Aberto","Fechado"))</f>
        <v/>
      </c>
    </row>
    <row r="604">
      <c r="C604" s="6" t="n"/>
      <c r="E604" s="10" t="n"/>
      <c r="F604" s="11" t="n"/>
      <c r="G604" s="11" t="n"/>
      <c r="H604" s="11" t="n"/>
      <c r="J604" s="10" t="n"/>
      <c r="K604" s="11" t="n"/>
      <c r="L604" s="10" t="n"/>
      <c r="M604" s="11" t="n"/>
      <c r="N604" s="10" t="n"/>
      <c r="O604" s="11" t="n"/>
      <c r="P604" s="6" t="n"/>
      <c r="Q604" s="11" t="n"/>
      <c r="S604" s="8">
        <f>IF(B604="","",E604*F604)</f>
        <v/>
      </c>
      <c r="T604" s="8">
        <f>IF(OR(B604="",N(G604)=0),"",ABS(F604-G604)*E604)</f>
        <v/>
      </c>
      <c r="U604" s="8">
        <f>IF(OR(B604="",P604=""),"",IF(D604="Venda",-1,1)*((N(J604)*N(K604)+N(L604)*N(M604)+N(N604)*N(O604))-(N(J604)+N(L604)+N(N604))*F604)-N(Q604))</f>
        <v/>
      </c>
      <c r="V604" s="9">
        <f>IF(OR(B604="",P604=""),"",U604/S604)</f>
        <v/>
      </c>
      <c r="W604">
        <f>IF(OR(B604="",P604=""),"",P604-C604)</f>
        <v/>
      </c>
      <c r="X604">
        <f>IF(B604="","",IF(P604="","Aberto","Fechado"))</f>
        <v/>
      </c>
    </row>
    <row r="605">
      <c r="C605" s="6" t="n"/>
      <c r="E605" s="10" t="n"/>
      <c r="F605" s="11" t="n"/>
      <c r="G605" s="11" t="n"/>
      <c r="H605" s="11" t="n"/>
      <c r="J605" s="10" t="n"/>
      <c r="K605" s="11" t="n"/>
      <c r="L605" s="10" t="n"/>
      <c r="M605" s="11" t="n"/>
      <c r="N605" s="10" t="n"/>
      <c r="O605" s="11" t="n"/>
      <c r="P605" s="6" t="n"/>
      <c r="Q605" s="11" t="n"/>
      <c r="S605" s="8">
        <f>IF(B605="","",E605*F605)</f>
        <v/>
      </c>
      <c r="T605" s="8">
        <f>IF(OR(B605="",N(G605)=0),"",ABS(F605-G605)*E605)</f>
        <v/>
      </c>
      <c r="U605" s="8">
        <f>IF(OR(B605="",P605=""),"",IF(D605="Venda",-1,1)*((N(J605)*N(K605)+N(L605)*N(M605)+N(N605)*N(O605))-(N(J605)+N(L605)+N(N605))*F605)-N(Q605))</f>
        <v/>
      </c>
      <c r="V605" s="9">
        <f>IF(OR(B605="",P605=""),"",U605/S605)</f>
        <v/>
      </c>
      <c r="W605">
        <f>IF(OR(B605="",P605=""),"",P605-C605)</f>
        <v/>
      </c>
      <c r="X605">
        <f>IF(B605="","",IF(P605="","Aberto","Fechado"))</f>
        <v/>
      </c>
    </row>
    <row r="606">
      <c r="C606" s="6" t="n"/>
      <c r="E606" s="10" t="n"/>
      <c r="F606" s="11" t="n"/>
      <c r="G606" s="11" t="n"/>
      <c r="H606" s="11" t="n"/>
      <c r="J606" s="10" t="n"/>
      <c r="K606" s="11" t="n"/>
      <c r="L606" s="10" t="n"/>
      <c r="M606" s="11" t="n"/>
      <c r="N606" s="10" t="n"/>
      <c r="O606" s="11" t="n"/>
      <c r="P606" s="6" t="n"/>
      <c r="Q606" s="11" t="n"/>
      <c r="S606" s="8">
        <f>IF(B606="","",E606*F606)</f>
        <v/>
      </c>
      <c r="T606" s="8">
        <f>IF(OR(B606="",N(G606)=0),"",ABS(F606-G606)*E606)</f>
        <v/>
      </c>
      <c r="U606" s="8">
        <f>IF(OR(B606="",P606=""),"",IF(D606="Venda",-1,1)*((N(J606)*N(K606)+N(L606)*N(M606)+N(N606)*N(O606))-(N(J606)+N(L606)+N(N606))*F606)-N(Q606))</f>
        <v/>
      </c>
      <c r="V606" s="9">
        <f>IF(OR(B606="",P606=""),"",U606/S606)</f>
        <v/>
      </c>
      <c r="W606">
        <f>IF(OR(B606="",P606=""),"",P606-C606)</f>
        <v/>
      </c>
      <c r="X606">
        <f>IF(B606="","",IF(P606="","Aberto","Fechado"))</f>
        <v/>
      </c>
    </row>
    <row r="607">
      <c r="C607" s="6" t="n"/>
      <c r="E607" s="10" t="n"/>
      <c r="F607" s="11" t="n"/>
      <c r="G607" s="11" t="n"/>
      <c r="H607" s="11" t="n"/>
      <c r="J607" s="10" t="n"/>
      <c r="K607" s="11" t="n"/>
      <c r="L607" s="10" t="n"/>
      <c r="M607" s="11" t="n"/>
      <c r="N607" s="10" t="n"/>
      <c r="O607" s="11" t="n"/>
      <c r="P607" s="6" t="n"/>
      <c r="Q607" s="11" t="n"/>
      <c r="S607" s="8">
        <f>IF(B607="","",E607*F607)</f>
        <v/>
      </c>
      <c r="T607" s="8">
        <f>IF(OR(B607="",N(G607)=0),"",ABS(F607-G607)*E607)</f>
        <v/>
      </c>
      <c r="U607" s="8">
        <f>IF(OR(B607="",P607=""),"",IF(D607="Venda",-1,1)*((N(J607)*N(K607)+N(L607)*N(M607)+N(N607)*N(O607))-(N(J607)+N(L607)+N(N607))*F607)-N(Q607))</f>
        <v/>
      </c>
      <c r="V607" s="9">
        <f>IF(OR(B607="",P607=""),"",U607/S607)</f>
        <v/>
      </c>
      <c r="W607">
        <f>IF(OR(B607="",P607=""),"",P607-C607)</f>
        <v/>
      </c>
      <c r="X607">
        <f>IF(B607="","",IF(P607="","Aberto","Fechado"))</f>
        <v/>
      </c>
    </row>
    <row r="608">
      <c r="C608" s="6" t="n"/>
      <c r="E608" s="10" t="n"/>
      <c r="F608" s="11" t="n"/>
      <c r="G608" s="11" t="n"/>
      <c r="H608" s="11" t="n"/>
      <c r="J608" s="10" t="n"/>
      <c r="K608" s="11" t="n"/>
      <c r="L608" s="10" t="n"/>
      <c r="M608" s="11" t="n"/>
      <c r="N608" s="10" t="n"/>
      <c r="O608" s="11" t="n"/>
      <c r="P608" s="6" t="n"/>
      <c r="Q608" s="11" t="n"/>
      <c r="S608" s="8">
        <f>IF(B608="","",E608*F608)</f>
        <v/>
      </c>
      <c r="T608" s="8">
        <f>IF(OR(B608="",N(G608)=0),"",ABS(F608-G608)*E608)</f>
        <v/>
      </c>
      <c r="U608" s="8">
        <f>IF(OR(B608="",P608=""),"",IF(D608="Venda",-1,1)*((N(J608)*N(K608)+N(L608)*N(M608)+N(N608)*N(O608))-(N(J608)+N(L608)+N(N608))*F608)-N(Q608))</f>
        <v/>
      </c>
      <c r="V608" s="9">
        <f>IF(OR(B608="",P608=""),"",U608/S608)</f>
        <v/>
      </c>
      <c r="W608">
        <f>IF(OR(B608="",P608=""),"",P608-C608)</f>
        <v/>
      </c>
      <c r="X608">
        <f>IF(B608="","",IF(P608="","Aberto","Fechado"))</f>
        <v/>
      </c>
    </row>
    <row r="609">
      <c r="C609" s="6" t="n"/>
      <c r="E609" s="10" t="n"/>
      <c r="F609" s="11" t="n"/>
      <c r="G609" s="11" t="n"/>
      <c r="H609" s="11" t="n"/>
      <c r="J609" s="10" t="n"/>
      <c r="K609" s="11" t="n"/>
      <c r="L609" s="10" t="n"/>
      <c r="M609" s="11" t="n"/>
      <c r="N609" s="10" t="n"/>
      <c r="O609" s="11" t="n"/>
      <c r="P609" s="6" t="n"/>
      <c r="Q609" s="11" t="n"/>
      <c r="S609" s="8">
        <f>IF(B609="","",E609*F609)</f>
        <v/>
      </c>
      <c r="T609" s="8">
        <f>IF(OR(B609="",N(G609)=0),"",ABS(F609-G609)*E609)</f>
        <v/>
      </c>
      <c r="U609" s="8">
        <f>IF(OR(B609="",P609=""),"",IF(D609="Venda",-1,1)*((N(J609)*N(K609)+N(L609)*N(M609)+N(N609)*N(O609))-(N(J609)+N(L609)+N(N609))*F609)-N(Q609))</f>
        <v/>
      </c>
      <c r="V609" s="9">
        <f>IF(OR(B609="",P609=""),"",U609/S609)</f>
        <v/>
      </c>
      <c r="W609">
        <f>IF(OR(B609="",P609=""),"",P609-C609)</f>
        <v/>
      </c>
      <c r="X609">
        <f>IF(B609="","",IF(P609="","Aberto","Fechado"))</f>
        <v/>
      </c>
    </row>
    <row r="610">
      <c r="C610" s="6" t="n"/>
      <c r="E610" s="10" t="n"/>
      <c r="F610" s="11" t="n"/>
      <c r="G610" s="11" t="n"/>
      <c r="H610" s="11" t="n"/>
      <c r="J610" s="10" t="n"/>
      <c r="K610" s="11" t="n"/>
      <c r="L610" s="10" t="n"/>
      <c r="M610" s="11" t="n"/>
      <c r="N610" s="10" t="n"/>
      <c r="O610" s="11" t="n"/>
      <c r="P610" s="6" t="n"/>
      <c r="Q610" s="11" t="n"/>
      <c r="S610" s="8">
        <f>IF(B610="","",E610*F610)</f>
        <v/>
      </c>
      <c r="T610" s="8">
        <f>IF(OR(B610="",N(G610)=0),"",ABS(F610-G610)*E610)</f>
        <v/>
      </c>
      <c r="U610" s="8">
        <f>IF(OR(B610="",P610=""),"",IF(D610="Venda",-1,1)*((N(J610)*N(K610)+N(L610)*N(M610)+N(N610)*N(O610))-(N(J610)+N(L610)+N(N610))*F610)-N(Q610))</f>
        <v/>
      </c>
      <c r="V610" s="9">
        <f>IF(OR(B610="",P610=""),"",U610/S610)</f>
        <v/>
      </c>
      <c r="W610">
        <f>IF(OR(B610="",P610=""),"",P610-C610)</f>
        <v/>
      </c>
      <c r="X610">
        <f>IF(B610="","",IF(P610="","Aberto","Fechado"))</f>
        <v/>
      </c>
    </row>
    <row r="611">
      <c r="C611" s="6" t="n"/>
      <c r="E611" s="10" t="n"/>
      <c r="F611" s="11" t="n"/>
      <c r="G611" s="11" t="n"/>
      <c r="H611" s="11" t="n"/>
      <c r="J611" s="10" t="n"/>
      <c r="K611" s="11" t="n"/>
      <c r="L611" s="10" t="n"/>
      <c r="M611" s="11" t="n"/>
      <c r="N611" s="10" t="n"/>
      <c r="O611" s="11" t="n"/>
      <c r="P611" s="6" t="n"/>
      <c r="Q611" s="11" t="n"/>
      <c r="S611" s="8">
        <f>IF(B611="","",E611*F611)</f>
        <v/>
      </c>
      <c r="T611" s="8">
        <f>IF(OR(B611="",N(G611)=0),"",ABS(F611-G611)*E611)</f>
        <v/>
      </c>
      <c r="U611" s="8">
        <f>IF(OR(B611="",P611=""),"",IF(D611="Venda",-1,1)*((N(J611)*N(K611)+N(L611)*N(M611)+N(N611)*N(O611))-(N(J611)+N(L611)+N(N611))*F611)-N(Q611))</f>
        <v/>
      </c>
      <c r="V611" s="9">
        <f>IF(OR(B611="",P611=""),"",U611/S611)</f>
        <v/>
      </c>
      <c r="W611">
        <f>IF(OR(B611="",P611=""),"",P611-C611)</f>
        <v/>
      </c>
      <c r="X611">
        <f>IF(B611="","",IF(P611="","Aberto","Fechado"))</f>
        <v/>
      </c>
    </row>
    <row r="612">
      <c r="C612" s="6" t="n"/>
      <c r="E612" s="10" t="n"/>
      <c r="F612" s="11" t="n"/>
      <c r="G612" s="11" t="n"/>
      <c r="H612" s="11" t="n"/>
      <c r="J612" s="10" t="n"/>
      <c r="K612" s="11" t="n"/>
      <c r="L612" s="10" t="n"/>
      <c r="M612" s="11" t="n"/>
      <c r="N612" s="10" t="n"/>
      <c r="O612" s="11" t="n"/>
      <c r="P612" s="6" t="n"/>
      <c r="Q612" s="11" t="n"/>
      <c r="S612" s="8">
        <f>IF(B612="","",E612*F612)</f>
        <v/>
      </c>
      <c r="T612" s="8">
        <f>IF(OR(B612="",N(G612)=0),"",ABS(F612-G612)*E612)</f>
        <v/>
      </c>
      <c r="U612" s="8">
        <f>IF(OR(B612="",P612=""),"",IF(D612="Venda",-1,1)*((N(J612)*N(K612)+N(L612)*N(M612)+N(N612)*N(O612))-(N(J612)+N(L612)+N(N612))*F612)-N(Q612))</f>
        <v/>
      </c>
      <c r="V612" s="9">
        <f>IF(OR(B612="",P612=""),"",U612/S612)</f>
        <v/>
      </c>
      <c r="W612">
        <f>IF(OR(B612="",P612=""),"",P612-C612)</f>
        <v/>
      </c>
      <c r="X612">
        <f>IF(B612="","",IF(P612="","Aberto","Fechado"))</f>
        <v/>
      </c>
    </row>
    <row r="613">
      <c r="C613" s="6" t="n"/>
      <c r="E613" s="10" t="n"/>
      <c r="F613" s="11" t="n"/>
      <c r="G613" s="11" t="n"/>
      <c r="H613" s="11" t="n"/>
      <c r="J613" s="10" t="n"/>
      <c r="K613" s="11" t="n"/>
      <c r="L613" s="10" t="n"/>
      <c r="M613" s="11" t="n"/>
      <c r="N613" s="10" t="n"/>
      <c r="O613" s="11" t="n"/>
      <c r="P613" s="6" t="n"/>
      <c r="Q613" s="11" t="n"/>
      <c r="S613" s="8">
        <f>IF(B613="","",E613*F613)</f>
        <v/>
      </c>
      <c r="T613" s="8">
        <f>IF(OR(B613="",N(G613)=0),"",ABS(F613-G613)*E613)</f>
        <v/>
      </c>
      <c r="U613" s="8">
        <f>IF(OR(B613="",P613=""),"",IF(D613="Venda",-1,1)*((N(J613)*N(K613)+N(L613)*N(M613)+N(N613)*N(O613))-(N(J613)+N(L613)+N(N613))*F613)-N(Q613))</f>
        <v/>
      </c>
      <c r="V613" s="9">
        <f>IF(OR(B613="",P613=""),"",U613/S613)</f>
        <v/>
      </c>
      <c r="W613">
        <f>IF(OR(B613="",P613=""),"",P613-C613)</f>
        <v/>
      </c>
      <c r="X613">
        <f>IF(B613="","",IF(P613="","Aberto","Fechado"))</f>
        <v/>
      </c>
    </row>
    <row r="614">
      <c r="C614" s="6" t="n"/>
      <c r="E614" s="10" t="n"/>
      <c r="F614" s="11" t="n"/>
      <c r="G614" s="11" t="n"/>
      <c r="H614" s="11" t="n"/>
      <c r="J614" s="10" t="n"/>
      <c r="K614" s="11" t="n"/>
      <c r="L614" s="10" t="n"/>
      <c r="M614" s="11" t="n"/>
      <c r="N614" s="10" t="n"/>
      <c r="O614" s="11" t="n"/>
      <c r="P614" s="6" t="n"/>
      <c r="Q614" s="11" t="n"/>
      <c r="S614" s="8">
        <f>IF(B614="","",E614*F614)</f>
        <v/>
      </c>
      <c r="T614" s="8">
        <f>IF(OR(B614="",N(G614)=0),"",ABS(F614-G614)*E614)</f>
        <v/>
      </c>
      <c r="U614" s="8">
        <f>IF(OR(B614="",P614=""),"",IF(D614="Venda",-1,1)*((N(J614)*N(K614)+N(L614)*N(M614)+N(N614)*N(O614))-(N(J614)+N(L614)+N(N614))*F614)-N(Q614))</f>
        <v/>
      </c>
      <c r="V614" s="9">
        <f>IF(OR(B614="",P614=""),"",U614/S614)</f>
        <v/>
      </c>
      <c r="W614">
        <f>IF(OR(B614="",P614=""),"",P614-C614)</f>
        <v/>
      </c>
      <c r="X614">
        <f>IF(B614="","",IF(P614="","Aberto","Fechado"))</f>
        <v/>
      </c>
    </row>
    <row r="615">
      <c r="C615" s="6" t="n"/>
      <c r="E615" s="10" t="n"/>
      <c r="F615" s="11" t="n"/>
      <c r="G615" s="11" t="n"/>
      <c r="H615" s="11" t="n"/>
      <c r="J615" s="10" t="n"/>
      <c r="K615" s="11" t="n"/>
      <c r="L615" s="10" t="n"/>
      <c r="M615" s="11" t="n"/>
      <c r="N615" s="10" t="n"/>
      <c r="O615" s="11" t="n"/>
      <c r="P615" s="6" t="n"/>
      <c r="Q615" s="11" t="n"/>
      <c r="S615" s="8">
        <f>IF(B615="","",E615*F615)</f>
        <v/>
      </c>
      <c r="T615" s="8">
        <f>IF(OR(B615="",N(G615)=0),"",ABS(F615-G615)*E615)</f>
        <v/>
      </c>
      <c r="U615" s="8">
        <f>IF(OR(B615="",P615=""),"",IF(D615="Venda",-1,1)*((N(J615)*N(K615)+N(L615)*N(M615)+N(N615)*N(O615))-(N(J615)+N(L615)+N(N615))*F615)-N(Q615))</f>
        <v/>
      </c>
      <c r="V615" s="9">
        <f>IF(OR(B615="",P615=""),"",U615/S615)</f>
        <v/>
      </c>
      <c r="W615">
        <f>IF(OR(B615="",P615=""),"",P615-C615)</f>
        <v/>
      </c>
      <c r="X615">
        <f>IF(B615="","",IF(P615="","Aberto","Fechado"))</f>
        <v/>
      </c>
    </row>
    <row r="616">
      <c r="C616" s="6" t="n"/>
      <c r="E616" s="10" t="n"/>
      <c r="F616" s="11" t="n"/>
      <c r="G616" s="11" t="n"/>
      <c r="H616" s="11" t="n"/>
      <c r="J616" s="10" t="n"/>
      <c r="K616" s="11" t="n"/>
      <c r="L616" s="10" t="n"/>
      <c r="M616" s="11" t="n"/>
      <c r="N616" s="10" t="n"/>
      <c r="O616" s="11" t="n"/>
      <c r="P616" s="6" t="n"/>
      <c r="Q616" s="11" t="n"/>
      <c r="S616" s="8">
        <f>IF(B616="","",E616*F616)</f>
        <v/>
      </c>
      <c r="T616" s="8">
        <f>IF(OR(B616="",N(G616)=0),"",ABS(F616-G616)*E616)</f>
        <v/>
      </c>
      <c r="U616" s="8">
        <f>IF(OR(B616="",P616=""),"",IF(D616="Venda",-1,1)*((N(J616)*N(K616)+N(L616)*N(M616)+N(N616)*N(O616))-(N(J616)+N(L616)+N(N616))*F616)-N(Q616))</f>
        <v/>
      </c>
      <c r="V616" s="9">
        <f>IF(OR(B616="",P616=""),"",U616/S616)</f>
        <v/>
      </c>
      <c r="W616">
        <f>IF(OR(B616="",P616=""),"",P616-C616)</f>
        <v/>
      </c>
      <c r="X616">
        <f>IF(B616="","",IF(P616="","Aberto","Fechado"))</f>
        <v/>
      </c>
    </row>
    <row r="617">
      <c r="C617" s="6" t="n"/>
      <c r="E617" s="10" t="n"/>
      <c r="F617" s="11" t="n"/>
      <c r="G617" s="11" t="n"/>
      <c r="H617" s="11" t="n"/>
      <c r="J617" s="10" t="n"/>
      <c r="K617" s="11" t="n"/>
      <c r="L617" s="10" t="n"/>
      <c r="M617" s="11" t="n"/>
      <c r="N617" s="10" t="n"/>
      <c r="O617" s="11" t="n"/>
      <c r="P617" s="6" t="n"/>
      <c r="Q617" s="11" t="n"/>
      <c r="S617" s="8">
        <f>IF(B617="","",E617*F617)</f>
        <v/>
      </c>
      <c r="T617" s="8">
        <f>IF(OR(B617="",N(G617)=0),"",ABS(F617-G617)*E617)</f>
        <v/>
      </c>
      <c r="U617" s="8">
        <f>IF(OR(B617="",P617=""),"",IF(D617="Venda",-1,1)*((N(J617)*N(K617)+N(L617)*N(M617)+N(N617)*N(O617))-(N(J617)+N(L617)+N(N617))*F617)-N(Q617))</f>
        <v/>
      </c>
      <c r="V617" s="9">
        <f>IF(OR(B617="",P617=""),"",U617/S617)</f>
        <v/>
      </c>
      <c r="W617">
        <f>IF(OR(B617="",P617=""),"",P617-C617)</f>
        <v/>
      </c>
      <c r="X617">
        <f>IF(B617="","",IF(P617="","Aberto","Fechado"))</f>
        <v/>
      </c>
    </row>
    <row r="618">
      <c r="C618" s="6" t="n"/>
      <c r="E618" s="10" t="n"/>
      <c r="F618" s="11" t="n"/>
      <c r="G618" s="11" t="n"/>
      <c r="H618" s="11" t="n"/>
      <c r="J618" s="10" t="n"/>
      <c r="K618" s="11" t="n"/>
      <c r="L618" s="10" t="n"/>
      <c r="M618" s="11" t="n"/>
      <c r="N618" s="10" t="n"/>
      <c r="O618" s="11" t="n"/>
      <c r="P618" s="6" t="n"/>
      <c r="Q618" s="11" t="n"/>
      <c r="S618" s="8">
        <f>IF(B618="","",E618*F618)</f>
        <v/>
      </c>
      <c r="T618" s="8">
        <f>IF(OR(B618="",N(G618)=0),"",ABS(F618-G618)*E618)</f>
        <v/>
      </c>
      <c r="U618" s="8">
        <f>IF(OR(B618="",P618=""),"",IF(D618="Venda",-1,1)*((N(J618)*N(K618)+N(L618)*N(M618)+N(N618)*N(O618))-(N(J618)+N(L618)+N(N618))*F618)-N(Q618))</f>
        <v/>
      </c>
      <c r="V618" s="9">
        <f>IF(OR(B618="",P618=""),"",U618/S618)</f>
        <v/>
      </c>
      <c r="W618">
        <f>IF(OR(B618="",P618=""),"",P618-C618)</f>
        <v/>
      </c>
      <c r="X618">
        <f>IF(B618="","",IF(P618="","Aberto","Fechado"))</f>
        <v/>
      </c>
    </row>
    <row r="619">
      <c r="C619" s="6" t="n"/>
      <c r="E619" s="10" t="n"/>
      <c r="F619" s="11" t="n"/>
      <c r="G619" s="11" t="n"/>
      <c r="H619" s="11" t="n"/>
      <c r="J619" s="10" t="n"/>
      <c r="K619" s="11" t="n"/>
      <c r="L619" s="10" t="n"/>
      <c r="M619" s="11" t="n"/>
      <c r="N619" s="10" t="n"/>
      <c r="O619" s="11" t="n"/>
      <c r="P619" s="6" t="n"/>
      <c r="Q619" s="11" t="n"/>
      <c r="S619" s="8">
        <f>IF(B619="","",E619*F619)</f>
        <v/>
      </c>
      <c r="T619" s="8">
        <f>IF(OR(B619="",N(G619)=0),"",ABS(F619-G619)*E619)</f>
        <v/>
      </c>
      <c r="U619" s="8">
        <f>IF(OR(B619="",P619=""),"",IF(D619="Venda",-1,1)*((N(J619)*N(K619)+N(L619)*N(M619)+N(N619)*N(O619))-(N(J619)+N(L619)+N(N619))*F619)-N(Q619))</f>
        <v/>
      </c>
      <c r="V619" s="9">
        <f>IF(OR(B619="",P619=""),"",U619/S619)</f>
        <v/>
      </c>
      <c r="W619">
        <f>IF(OR(B619="",P619=""),"",P619-C619)</f>
        <v/>
      </c>
      <c r="X619">
        <f>IF(B619="","",IF(P619="","Aberto","Fechado"))</f>
        <v/>
      </c>
    </row>
    <row r="620">
      <c r="C620" s="6" t="n"/>
      <c r="E620" s="10" t="n"/>
      <c r="F620" s="11" t="n"/>
      <c r="G620" s="11" t="n"/>
      <c r="H620" s="11" t="n"/>
      <c r="J620" s="10" t="n"/>
      <c r="K620" s="11" t="n"/>
      <c r="L620" s="10" t="n"/>
      <c r="M620" s="11" t="n"/>
      <c r="N620" s="10" t="n"/>
      <c r="O620" s="11" t="n"/>
      <c r="P620" s="6" t="n"/>
      <c r="Q620" s="11" t="n"/>
      <c r="S620" s="8">
        <f>IF(B620="","",E620*F620)</f>
        <v/>
      </c>
      <c r="T620" s="8">
        <f>IF(OR(B620="",N(G620)=0),"",ABS(F620-G620)*E620)</f>
        <v/>
      </c>
      <c r="U620" s="8">
        <f>IF(OR(B620="",P620=""),"",IF(D620="Venda",-1,1)*((N(J620)*N(K620)+N(L620)*N(M620)+N(N620)*N(O620))-(N(J620)+N(L620)+N(N620))*F620)-N(Q620))</f>
        <v/>
      </c>
      <c r="V620" s="9">
        <f>IF(OR(B620="",P620=""),"",U620/S620)</f>
        <v/>
      </c>
      <c r="W620">
        <f>IF(OR(B620="",P620=""),"",P620-C620)</f>
        <v/>
      </c>
      <c r="X620">
        <f>IF(B620="","",IF(P620="","Aberto","Fechado"))</f>
        <v/>
      </c>
    </row>
    <row r="621">
      <c r="C621" s="6" t="n"/>
      <c r="E621" s="10" t="n"/>
      <c r="F621" s="11" t="n"/>
      <c r="G621" s="11" t="n"/>
      <c r="H621" s="11" t="n"/>
      <c r="J621" s="10" t="n"/>
      <c r="K621" s="11" t="n"/>
      <c r="L621" s="10" t="n"/>
      <c r="M621" s="11" t="n"/>
      <c r="N621" s="10" t="n"/>
      <c r="O621" s="11" t="n"/>
      <c r="P621" s="6" t="n"/>
      <c r="Q621" s="11" t="n"/>
      <c r="S621" s="8">
        <f>IF(B621="","",E621*F621)</f>
        <v/>
      </c>
      <c r="T621" s="8">
        <f>IF(OR(B621="",N(G621)=0),"",ABS(F621-G621)*E621)</f>
        <v/>
      </c>
      <c r="U621" s="8">
        <f>IF(OR(B621="",P621=""),"",IF(D621="Venda",-1,1)*((N(J621)*N(K621)+N(L621)*N(M621)+N(N621)*N(O621))-(N(J621)+N(L621)+N(N621))*F621)-N(Q621))</f>
        <v/>
      </c>
      <c r="V621" s="9">
        <f>IF(OR(B621="",P621=""),"",U621/S621)</f>
        <v/>
      </c>
      <c r="W621">
        <f>IF(OR(B621="",P621=""),"",P621-C621)</f>
        <v/>
      </c>
      <c r="X621">
        <f>IF(B621="","",IF(P621="","Aberto","Fechado"))</f>
        <v/>
      </c>
    </row>
    <row r="622">
      <c r="C622" s="6" t="n"/>
      <c r="E622" s="10" t="n"/>
      <c r="F622" s="11" t="n"/>
      <c r="G622" s="11" t="n"/>
      <c r="H622" s="11" t="n"/>
      <c r="J622" s="10" t="n"/>
      <c r="K622" s="11" t="n"/>
      <c r="L622" s="10" t="n"/>
      <c r="M622" s="11" t="n"/>
      <c r="N622" s="10" t="n"/>
      <c r="O622" s="11" t="n"/>
      <c r="P622" s="6" t="n"/>
      <c r="Q622" s="11" t="n"/>
      <c r="S622" s="8">
        <f>IF(B622="","",E622*F622)</f>
        <v/>
      </c>
      <c r="T622" s="8">
        <f>IF(OR(B622="",N(G622)=0),"",ABS(F622-G622)*E622)</f>
        <v/>
      </c>
      <c r="U622" s="8">
        <f>IF(OR(B622="",P622=""),"",IF(D622="Venda",-1,1)*((N(J622)*N(K622)+N(L622)*N(M622)+N(N622)*N(O622))-(N(J622)+N(L622)+N(N622))*F622)-N(Q622))</f>
        <v/>
      </c>
      <c r="V622" s="9">
        <f>IF(OR(B622="",P622=""),"",U622/S622)</f>
        <v/>
      </c>
      <c r="W622">
        <f>IF(OR(B622="",P622=""),"",P622-C622)</f>
        <v/>
      </c>
      <c r="X622">
        <f>IF(B622="","",IF(P622="","Aberto","Fechado"))</f>
        <v/>
      </c>
    </row>
    <row r="623">
      <c r="C623" s="6" t="n"/>
      <c r="E623" s="10" t="n"/>
      <c r="F623" s="11" t="n"/>
      <c r="G623" s="11" t="n"/>
      <c r="H623" s="11" t="n"/>
      <c r="J623" s="10" t="n"/>
      <c r="K623" s="11" t="n"/>
      <c r="L623" s="10" t="n"/>
      <c r="M623" s="11" t="n"/>
      <c r="N623" s="10" t="n"/>
      <c r="O623" s="11" t="n"/>
      <c r="P623" s="6" t="n"/>
      <c r="Q623" s="11" t="n"/>
      <c r="S623" s="8">
        <f>IF(B623="","",E623*F623)</f>
        <v/>
      </c>
      <c r="T623" s="8">
        <f>IF(OR(B623="",N(G623)=0),"",ABS(F623-G623)*E623)</f>
        <v/>
      </c>
      <c r="U623" s="8">
        <f>IF(OR(B623="",P623=""),"",IF(D623="Venda",-1,1)*((N(J623)*N(K623)+N(L623)*N(M623)+N(N623)*N(O623))-(N(J623)+N(L623)+N(N623))*F623)-N(Q623))</f>
        <v/>
      </c>
      <c r="V623" s="9">
        <f>IF(OR(B623="",P623=""),"",U623/S623)</f>
        <v/>
      </c>
      <c r="W623">
        <f>IF(OR(B623="",P623=""),"",P623-C623)</f>
        <v/>
      </c>
      <c r="X623">
        <f>IF(B623="","",IF(P623="","Aberto","Fechado"))</f>
        <v/>
      </c>
    </row>
    <row r="624">
      <c r="C624" s="6" t="n"/>
      <c r="E624" s="10" t="n"/>
      <c r="F624" s="11" t="n"/>
      <c r="G624" s="11" t="n"/>
      <c r="H624" s="11" t="n"/>
      <c r="J624" s="10" t="n"/>
      <c r="K624" s="11" t="n"/>
      <c r="L624" s="10" t="n"/>
      <c r="M624" s="11" t="n"/>
      <c r="N624" s="10" t="n"/>
      <c r="O624" s="11" t="n"/>
      <c r="P624" s="6" t="n"/>
      <c r="Q624" s="11" t="n"/>
      <c r="S624" s="8">
        <f>IF(B624="","",E624*F624)</f>
        <v/>
      </c>
      <c r="T624" s="8">
        <f>IF(OR(B624="",N(G624)=0),"",ABS(F624-G624)*E624)</f>
        <v/>
      </c>
      <c r="U624" s="8">
        <f>IF(OR(B624="",P624=""),"",IF(D624="Venda",-1,1)*((N(J624)*N(K624)+N(L624)*N(M624)+N(N624)*N(O624))-(N(J624)+N(L624)+N(N624))*F624)-N(Q624))</f>
        <v/>
      </c>
      <c r="V624" s="9">
        <f>IF(OR(B624="",P624=""),"",U624/S624)</f>
        <v/>
      </c>
      <c r="W624">
        <f>IF(OR(B624="",P624=""),"",P624-C624)</f>
        <v/>
      </c>
      <c r="X624">
        <f>IF(B624="","",IF(P624="","Aberto","Fechado"))</f>
        <v/>
      </c>
    </row>
    <row r="625">
      <c r="C625" s="6" t="n"/>
      <c r="E625" s="10" t="n"/>
      <c r="F625" s="11" t="n"/>
      <c r="G625" s="11" t="n"/>
      <c r="H625" s="11" t="n"/>
      <c r="J625" s="10" t="n"/>
      <c r="K625" s="11" t="n"/>
      <c r="L625" s="10" t="n"/>
      <c r="M625" s="11" t="n"/>
      <c r="N625" s="10" t="n"/>
      <c r="O625" s="11" t="n"/>
      <c r="P625" s="6" t="n"/>
      <c r="Q625" s="11" t="n"/>
      <c r="S625" s="8">
        <f>IF(B625="","",E625*F625)</f>
        <v/>
      </c>
      <c r="T625" s="8">
        <f>IF(OR(B625="",N(G625)=0),"",ABS(F625-G625)*E625)</f>
        <v/>
      </c>
      <c r="U625" s="8">
        <f>IF(OR(B625="",P625=""),"",IF(D625="Venda",-1,1)*((N(J625)*N(K625)+N(L625)*N(M625)+N(N625)*N(O625))-(N(J625)+N(L625)+N(N625))*F625)-N(Q625))</f>
        <v/>
      </c>
      <c r="V625" s="9">
        <f>IF(OR(B625="",P625=""),"",U625/S625)</f>
        <v/>
      </c>
      <c r="W625">
        <f>IF(OR(B625="",P625=""),"",P625-C625)</f>
        <v/>
      </c>
      <c r="X625">
        <f>IF(B625="","",IF(P625="","Aberto","Fechado"))</f>
        <v/>
      </c>
    </row>
    <row r="626">
      <c r="C626" s="6" t="n"/>
      <c r="E626" s="10" t="n"/>
      <c r="F626" s="11" t="n"/>
      <c r="G626" s="11" t="n"/>
      <c r="H626" s="11" t="n"/>
      <c r="J626" s="10" t="n"/>
      <c r="K626" s="11" t="n"/>
      <c r="L626" s="10" t="n"/>
      <c r="M626" s="11" t="n"/>
      <c r="N626" s="10" t="n"/>
      <c r="O626" s="11" t="n"/>
      <c r="P626" s="6" t="n"/>
      <c r="Q626" s="11" t="n"/>
      <c r="S626" s="8">
        <f>IF(B626="","",E626*F626)</f>
        <v/>
      </c>
      <c r="T626" s="8">
        <f>IF(OR(B626="",N(G626)=0),"",ABS(F626-G626)*E626)</f>
        <v/>
      </c>
      <c r="U626" s="8">
        <f>IF(OR(B626="",P626=""),"",IF(D626="Venda",-1,1)*((N(J626)*N(K626)+N(L626)*N(M626)+N(N626)*N(O626))-(N(J626)+N(L626)+N(N626))*F626)-N(Q626))</f>
        <v/>
      </c>
      <c r="V626" s="9">
        <f>IF(OR(B626="",P626=""),"",U626/S626)</f>
        <v/>
      </c>
      <c r="W626">
        <f>IF(OR(B626="",P626=""),"",P626-C626)</f>
        <v/>
      </c>
      <c r="X626">
        <f>IF(B626="","",IF(P626="","Aberto","Fechado"))</f>
        <v/>
      </c>
    </row>
    <row r="627">
      <c r="C627" s="6" t="n"/>
      <c r="E627" s="10" t="n"/>
      <c r="F627" s="11" t="n"/>
      <c r="G627" s="11" t="n"/>
      <c r="H627" s="11" t="n"/>
      <c r="J627" s="10" t="n"/>
      <c r="K627" s="11" t="n"/>
      <c r="L627" s="10" t="n"/>
      <c r="M627" s="11" t="n"/>
      <c r="N627" s="10" t="n"/>
      <c r="O627" s="11" t="n"/>
      <c r="P627" s="6" t="n"/>
      <c r="Q627" s="11" t="n"/>
      <c r="S627" s="8">
        <f>IF(B627="","",E627*F627)</f>
        <v/>
      </c>
      <c r="T627" s="8">
        <f>IF(OR(B627="",N(G627)=0),"",ABS(F627-G627)*E627)</f>
        <v/>
      </c>
      <c r="U627" s="8">
        <f>IF(OR(B627="",P627=""),"",IF(D627="Venda",-1,1)*((N(J627)*N(K627)+N(L627)*N(M627)+N(N627)*N(O627))-(N(J627)+N(L627)+N(N627))*F627)-N(Q627))</f>
        <v/>
      </c>
      <c r="V627" s="9">
        <f>IF(OR(B627="",P627=""),"",U627/S627)</f>
        <v/>
      </c>
      <c r="W627">
        <f>IF(OR(B627="",P627=""),"",P627-C627)</f>
        <v/>
      </c>
      <c r="X627">
        <f>IF(B627="","",IF(P627="","Aberto","Fechado"))</f>
        <v/>
      </c>
    </row>
    <row r="628">
      <c r="C628" s="6" t="n"/>
      <c r="E628" s="10" t="n"/>
      <c r="F628" s="11" t="n"/>
      <c r="G628" s="11" t="n"/>
      <c r="H628" s="11" t="n"/>
      <c r="J628" s="10" t="n"/>
      <c r="K628" s="11" t="n"/>
      <c r="L628" s="10" t="n"/>
      <c r="M628" s="11" t="n"/>
      <c r="N628" s="10" t="n"/>
      <c r="O628" s="11" t="n"/>
      <c r="P628" s="6" t="n"/>
      <c r="Q628" s="11" t="n"/>
      <c r="S628" s="8">
        <f>IF(B628="","",E628*F628)</f>
        <v/>
      </c>
      <c r="T628" s="8">
        <f>IF(OR(B628="",N(G628)=0),"",ABS(F628-G628)*E628)</f>
        <v/>
      </c>
      <c r="U628" s="8">
        <f>IF(OR(B628="",P628=""),"",IF(D628="Venda",-1,1)*((N(J628)*N(K628)+N(L628)*N(M628)+N(N628)*N(O628))-(N(J628)+N(L628)+N(N628))*F628)-N(Q628))</f>
        <v/>
      </c>
      <c r="V628" s="9">
        <f>IF(OR(B628="",P628=""),"",U628/S628)</f>
        <v/>
      </c>
      <c r="W628">
        <f>IF(OR(B628="",P628=""),"",P628-C628)</f>
        <v/>
      </c>
      <c r="X628">
        <f>IF(B628="","",IF(P628="","Aberto","Fechado"))</f>
        <v/>
      </c>
    </row>
    <row r="629">
      <c r="C629" s="6" t="n"/>
      <c r="E629" s="10" t="n"/>
      <c r="F629" s="11" t="n"/>
      <c r="G629" s="11" t="n"/>
      <c r="H629" s="11" t="n"/>
      <c r="J629" s="10" t="n"/>
      <c r="K629" s="11" t="n"/>
      <c r="L629" s="10" t="n"/>
      <c r="M629" s="11" t="n"/>
      <c r="N629" s="10" t="n"/>
      <c r="O629" s="11" t="n"/>
      <c r="P629" s="6" t="n"/>
      <c r="Q629" s="11" t="n"/>
      <c r="S629" s="8">
        <f>IF(B629="","",E629*F629)</f>
        <v/>
      </c>
      <c r="T629" s="8">
        <f>IF(OR(B629="",N(G629)=0),"",ABS(F629-G629)*E629)</f>
        <v/>
      </c>
      <c r="U629" s="8">
        <f>IF(OR(B629="",P629=""),"",IF(D629="Venda",-1,1)*((N(J629)*N(K629)+N(L629)*N(M629)+N(N629)*N(O629))-(N(J629)+N(L629)+N(N629))*F629)-N(Q629))</f>
        <v/>
      </c>
      <c r="V629" s="9">
        <f>IF(OR(B629="",P629=""),"",U629/S629)</f>
        <v/>
      </c>
      <c r="W629">
        <f>IF(OR(B629="",P629=""),"",P629-C629)</f>
        <v/>
      </c>
      <c r="X629">
        <f>IF(B629="","",IF(P629="","Aberto","Fechado"))</f>
        <v/>
      </c>
    </row>
    <row r="630">
      <c r="C630" s="6" t="n"/>
      <c r="E630" s="10" t="n"/>
      <c r="F630" s="11" t="n"/>
      <c r="G630" s="11" t="n"/>
      <c r="H630" s="11" t="n"/>
      <c r="J630" s="10" t="n"/>
      <c r="K630" s="11" t="n"/>
      <c r="L630" s="10" t="n"/>
      <c r="M630" s="11" t="n"/>
      <c r="N630" s="10" t="n"/>
      <c r="O630" s="11" t="n"/>
      <c r="P630" s="6" t="n"/>
      <c r="Q630" s="11" t="n"/>
      <c r="S630" s="8">
        <f>IF(B630="","",E630*F630)</f>
        <v/>
      </c>
      <c r="T630" s="8">
        <f>IF(OR(B630="",N(G630)=0),"",ABS(F630-G630)*E630)</f>
        <v/>
      </c>
      <c r="U630" s="8">
        <f>IF(OR(B630="",P630=""),"",IF(D630="Venda",-1,1)*((N(J630)*N(K630)+N(L630)*N(M630)+N(N630)*N(O630))-(N(J630)+N(L630)+N(N630))*F630)-N(Q630))</f>
        <v/>
      </c>
      <c r="V630" s="9">
        <f>IF(OR(B630="",P630=""),"",U630/S630)</f>
        <v/>
      </c>
      <c r="W630">
        <f>IF(OR(B630="",P630=""),"",P630-C630)</f>
        <v/>
      </c>
      <c r="X630">
        <f>IF(B630="","",IF(P630="","Aberto","Fechado"))</f>
        <v/>
      </c>
    </row>
    <row r="631">
      <c r="C631" s="6" t="n"/>
      <c r="E631" s="10" t="n"/>
      <c r="F631" s="11" t="n"/>
      <c r="G631" s="11" t="n"/>
      <c r="H631" s="11" t="n"/>
      <c r="J631" s="10" t="n"/>
      <c r="K631" s="11" t="n"/>
      <c r="L631" s="10" t="n"/>
      <c r="M631" s="11" t="n"/>
      <c r="N631" s="10" t="n"/>
      <c r="O631" s="11" t="n"/>
      <c r="P631" s="6" t="n"/>
      <c r="Q631" s="11" t="n"/>
      <c r="S631" s="8">
        <f>IF(B631="","",E631*F631)</f>
        <v/>
      </c>
      <c r="T631" s="8">
        <f>IF(OR(B631="",N(G631)=0),"",ABS(F631-G631)*E631)</f>
        <v/>
      </c>
      <c r="U631" s="8">
        <f>IF(OR(B631="",P631=""),"",IF(D631="Venda",-1,1)*((N(J631)*N(K631)+N(L631)*N(M631)+N(N631)*N(O631))-(N(J631)+N(L631)+N(N631))*F631)-N(Q631))</f>
        <v/>
      </c>
      <c r="V631" s="9">
        <f>IF(OR(B631="",P631=""),"",U631/S631)</f>
        <v/>
      </c>
      <c r="W631">
        <f>IF(OR(B631="",P631=""),"",P631-C631)</f>
        <v/>
      </c>
      <c r="X631">
        <f>IF(B631="","",IF(P631="","Aberto","Fechado"))</f>
        <v/>
      </c>
    </row>
    <row r="632">
      <c r="C632" s="6" t="n"/>
      <c r="E632" s="10" t="n"/>
      <c r="F632" s="11" t="n"/>
      <c r="G632" s="11" t="n"/>
      <c r="H632" s="11" t="n"/>
      <c r="J632" s="10" t="n"/>
      <c r="K632" s="11" t="n"/>
      <c r="L632" s="10" t="n"/>
      <c r="M632" s="11" t="n"/>
      <c r="N632" s="10" t="n"/>
      <c r="O632" s="11" t="n"/>
      <c r="P632" s="6" t="n"/>
      <c r="Q632" s="11" t="n"/>
      <c r="S632" s="8">
        <f>IF(B632="","",E632*F632)</f>
        <v/>
      </c>
      <c r="T632" s="8">
        <f>IF(OR(B632="",N(G632)=0),"",ABS(F632-G632)*E632)</f>
        <v/>
      </c>
      <c r="U632" s="8">
        <f>IF(OR(B632="",P632=""),"",IF(D632="Venda",-1,1)*((N(J632)*N(K632)+N(L632)*N(M632)+N(N632)*N(O632))-(N(J632)+N(L632)+N(N632))*F632)-N(Q632))</f>
        <v/>
      </c>
      <c r="V632" s="9">
        <f>IF(OR(B632="",P632=""),"",U632/S632)</f>
        <v/>
      </c>
      <c r="W632">
        <f>IF(OR(B632="",P632=""),"",P632-C632)</f>
        <v/>
      </c>
      <c r="X632">
        <f>IF(B632="","",IF(P632="","Aberto","Fechado"))</f>
        <v/>
      </c>
    </row>
    <row r="633">
      <c r="C633" s="6" t="n"/>
      <c r="E633" s="10" t="n"/>
      <c r="F633" s="11" t="n"/>
      <c r="G633" s="11" t="n"/>
      <c r="H633" s="11" t="n"/>
      <c r="J633" s="10" t="n"/>
      <c r="K633" s="11" t="n"/>
      <c r="L633" s="10" t="n"/>
      <c r="M633" s="11" t="n"/>
      <c r="N633" s="10" t="n"/>
      <c r="O633" s="11" t="n"/>
      <c r="P633" s="6" t="n"/>
      <c r="Q633" s="11" t="n"/>
      <c r="S633" s="8">
        <f>IF(B633="","",E633*F633)</f>
        <v/>
      </c>
      <c r="T633" s="8">
        <f>IF(OR(B633="",N(G633)=0),"",ABS(F633-G633)*E633)</f>
        <v/>
      </c>
      <c r="U633" s="8">
        <f>IF(OR(B633="",P633=""),"",IF(D633="Venda",-1,1)*((N(J633)*N(K633)+N(L633)*N(M633)+N(N633)*N(O633))-(N(J633)+N(L633)+N(N633))*F633)-N(Q633))</f>
        <v/>
      </c>
      <c r="V633" s="9">
        <f>IF(OR(B633="",P633=""),"",U633/S633)</f>
        <v/>
      </c>
      <c r="W633">
        <f>IF(OR(B633="",P633=""),"",P633-C633)</f>
        <v/>
      </c>
      <c r="X633">
        <f>IF(B633="","",IF(P633="","Aberto","Fechado"))</f>
        <v/>
      </c>
    </row>
    <row r="634">
      <c r="C634" s="6" t="n"/>
      <c r="E634" s="10" t="n"/>
      <c r="F634" s="11" t="n"/>
      <c r="G634" s="11" t="n"/>
      <c r="H634" s="11" t="n"/>
      <c r="J634" s="10" t="n"/>
      <c r="K634" s="11" t="n"/>
      <c r="L634" s="10" t="n"/>
      <c r="M634" s="11" t="n"/>
      <c r="N634" s="10" t="n"/>
      <c r="O634" s="11" t="n"/>
      <c r="P634" s="6" t="n"/>
      <c r="Q634" s="11" t="n"/>
      <c r="S634" s="8">
        <f>IF(B634="","",E634*F634)</f>
        <v/>
      </c>
      <c r="T634" s="8">
        <f>IF(OR(B634="",N(G634)=0),"",ABS(F634-G634)*E634)</f>
        <v/>
      </c>
      <c r="U634" s="8">
        <f>IF(OR(B634="",P634=""),"",IF(D634="Venda",-1,1)*((N(J634)*N(K634)+N(L634)*N(M634)+N(N634)*N(O634))-(N(J634)+N(L634)+N(N634))*F634)-N(Q634))</f>
        <v/>
      </c>
      <c r="V634" s="9">
        <f>IF(OR(B634="",P634=""),"",U634/S634)</f>
        <v/>
      </c>
      <c r="W634">
        <f>IF(OR(B634="",P634=""),"",P634-C634)</f>
        <v/>
      </c>
      <c r="X634">
        <f>IF(B634="","",IF(P634="","Aberto","Fechado"))</f>
        <v/>
      </c>
    </row>
    <row r="635">
      <c r="C635" s="6" t="n"/>
      <c r="E635" s="10" t="n"/>
      <c r="F635" s="11" t="n"/>
      <c r="G635" s="11" t="n"/>
      <c r="H635" s="11" t="n"/>
      <c r="J635" s="10" t="n"/>
      <c r="K635" s="11" t="n"/>
      <c r="L635" s="10" t="n"/>
      <c r="M635" s="11" t="n"/>
      <c r="N635" s="10" t="n"/>
      <c r="O635" s="11" t="n"/>
      <c r="P635" s="6" t="n"/>
      <c r="Q635" s="11" t="n"/>
      <c r="S635" s="8">
        <f>IF(B635="","",E635*F635)</f>
        <v/>
      </c>
      <c r="T635" s="8">
        <f>IF(OR(B635="",N(G635)=0),"",ABS(F635-G635)*E635)</f>
        <v/>
      </c>
      <c r="U635" s="8">
        <f>IF(OR(B635="",P635=""),"",IF(D635="Venda",-1,1)*((N(J635)*N(K635)+N(L635)*N(M635)+N(N635)*N(O635))-(N(J635)+N(L635)+N(N635))*F635)-N(Q635))</f>
        <v/>
      </c>
      <c r="V635" s="9">
        <f>IF(OR(B635="",P635=""),"",U635/S635)</f>
        <v/>
      </c>
      <c r="W635">
        <f>IF(OR(B635="",P635=""),"",P635-C635)</f>
        <v/>
      </c>
      <c r="X635">
        <f>IF(B635="","",IF(P635="","Aberto","Fechado"))</f>
        <v/>
      </c>
    </row>
    <row r="636">
      <c r="C636" s="6" t="n"/>
      <c r="E636" s="10" t="n"/>
      <c r="F636" s="11" t="n"/>
      <c r="G636" s="11" t="n"/>
      <c r="H636" s="11" t="n"/>
      <c r="J636" s="10" t="n"/>
      <c r="K636" s="11" t="n"/>
      <c r="L636" s="10" t="n"/>
      <c r="M636" s="11" t="n"/>
      <c r="N636" s="10" t="n"/>
      <c r="O636" s="11" t="n"/>
      <c r="P636" s="6" t="n"/>
      <c r="Q636" s="11" t="n"/>
      <c r="S636" s="8">
        <f>IF(B636="","",E636*F636)</f>
        <v/>
      </c>
      <c r="T636" s="8">
        <f>IF(OR(B636="",N(G636)=0),"",ABS(F636-G636)*E636)</f>
        <v/>
      </c>
      <c r="U636" s="8">
        <f>IF(OR(B636="",P636=""),"",IF(D636="Venda",-1,1)*((N(J636)*N(K636)+N(L636)*N(M636)+N(N636)*N(O636))-(N(J636)+N(L636)+N(N636))*F636)-N(Q636))</f>
        <v/>
      </c>
      <c r="V636" s="9">
        <f>IF(OR(B636="",P636=""),"",U636/S636)</f>
        <v/>
      </c>
      <c r="W636">
        <f>IF(OR(B636="",P636=""),"",P636-C636)</f>
        <v/>
      </c>
      <c r="X636">
        <f>IF(B636="","",IF(P636="","Aberto","Fechado"))</f>
        <v/>
      </c>
    </row>
    <row r="637">
      <c r="C637" s="6" t="n"/>
      <c r="E637" s="10" t="n"/>
      <c r="F637" s="11" t="n"/>
      <c r="G637" s="11" t="n"/>
      <c r="H637" s="11" t="n"/>
      <c r="J637" s="10" t="n"/>
      <c r="K637" s="11" t="n"/>
      <c r="L637" s="10" t="n"/>
      <c r="M637" s="11" t="n"/>
      <c r="N637" s="10" t="n"/>
      <c r="O637" s="11" t="n"/>
      <c r="P637" s="6" t="n"/>
      <c r="Q637" s="11" t="n"/>
      <c r="S637" s="8">
        <f>IF(B637="","",E637*F637)</f>
        <v/>
      </c>
      <c r="T637" s="8">
        <f>IF(OR(B637="",N(G637)=0),"",ABS(F637-G637)*E637)</f>
        <v/>
      </c>
      <c r="U637" s="8">
        <f>IF(OR(B637="",P637=""),"",IF(D637="Venda",-1,1)*((N(J637)*N(K637)+N(L637)*N(M637)+N(N637)*N(O637))-(N(J637)+N(L637)+N(N637))*F637)-N(Q637))</f>
        <v/>
      </c>
      <c r="V637" s="9">
        <f>IF(OR(B637="",P637=""),"",U637/S637)</f>
        <v/>
      </c>
      <c r="W637">
        <f>IF(OR(B637="",P637=""),"",P637-C637)</f>
        <v/>
      </c>
      <c r="X637">
        <f>IF(B637="","",IF(P637="","Aberto","Fechado"))</f>
        <v/>
      </c>
    </row>
    <row r="638">
      <c r="C638" s="6" t="n"/>
      <c r="E638" s="10" t="n"/>
      <c r="F638" s="11" t="n"/>
      <c r="G638" s="11" t="n"/>
      <c r="H638" s="11" t="n"/>
      <c r="J638" s="10" t="n"/>
      <c r="K638" s="11" t="n"/>
      <c r="L638" s="10" t="n"/>
      <c r="M638" s="11" t="n"/>
      <c r="N638" s="10" t="n"/>
      <c r="O638" s="11" t="n"/>
      <c r="P638" s="6" t="n"/>
      <c r="Q638" s="11" t="n"/>
      <c r="S638" s="8">
        <f>IF(B638="","",E638*F638)</f>
        <v/>
      </c>
      <c r="T638" s="8">
        <f>IF(OR(B638="",N(G638)=0),"",ABS(F638-G638)*E638)</f>
        <v/>
      </c>
      <c r="U638" s="8">
        <f>IF(OR(B638="",P638=""),"",IF(D638="Venda",-1,1)*((N(J638)*N(K638)+N(L638)*N(M638)+N(N638)*N(O638))-(N(J638)+N(L638)+N(N638))*F638)-N(Q638))</f>
        <v/>
      </c>
      <c r="V638" s="9">
        <f>IF(OR(B638="",P638=""),"",U638/S638)</f>
        <v/>
      </c>
      <c r="W638">
        <f>IF(OR(B638="",P638=""),"",P638-C638)</f>
        <v/>
      </c>
      <c r="X638">
        <f>IF(B638="","",IF(P638="","Aberto","Fechado"))</f>
        <v/>
      </c>
    </row>
    <row r="639">
      <c r="C639" s="6" t="n"/>
      <c r="E639" s="10" t="n"/>
      <c r="F639" s="11" t="n"/>
      <c r="G639" s="11" t="n"/>
      <c r="H639" s="11" t="n"/>
      <c r="J639" s="10" t="n"/>
      <c r="K639" s="11" t="n"/>
      <c r="L639" s="10" t="n"/>
      <c r="M639" s="11" t="n"/>
      <c r="N639" s="10" t="n"/>
      <c r="O639" s="11" t="n"/>
      <c r="P639" s="6" t="n"/>
      <c r="Q639" s="11" t="n"/>
      <c r="S639" s="8">
        <f>IF(B639="","",E639*F639)</f>
        <v/>
      </c>
      <c r="T639" s="8">
        <f>IF(OR(B639="",N(G639)=0),"",ABS(F639-G639)*E639)</f>
        <v/>
      </c>
      <c r="U639" s="8">
        <f>IF(OR(B639="",P639=""),"",IF(D639="Venda",-1,1)*((N(J639)*N(K639)+N(L639)*N(M639)+N(N639)*N(O639))-(N(J639)+N(L639)+N(N639))*F639)-N(Q639))</f>
        <v/>
      </c>
      <c r="V639" s="9">
        <f>IF(OR(B639="",P639=""),"",U639/S639)</f>
        <v/>
      </c>
      <c r="W639">
        <f>IF(OR(B639="",P639=""),"",P639-C639)</f>
        <v/>
      </c>
      <c r="X639">
        <f>IF(B639="","",IF(P639="","Aberto","Fechado"))</f>
        <v/>
      </c>
    </row>
    <row r="640">
      <c r="C640" s="6" t="n"/>
      <c r="E640" s="10" t="n"/>
      <c r="F640" s="11" t="n"/>
      <c r="G640" s="11" t="n"/>
      <c r="H640" s="11" t="n"/>
      <c r="J640" s="10" t="n"/>
      <c r="K640" s="11" t="n"/>
      <c r="L640" s="10" t="n"/>
      <c r="M640" s="11" t="n"/>
      <c r="N640" s="10" t="n"/>
      <c r="O640" s="11" t="n"/>
      <c r="P640" s="6" t="n"/>
      <c r="Q640" s="11" t="n"/>
      <c r="S640" s="8">
        <f>IF(B640="","",E640*F640)</f>
        <v/>
      </c>
      <c r="T640" s="8">
        <f>IF(OR(B640="",N(G640)=0),"",ABS(F640-G640)*E640)</f>
        <v/>
      </c>
      <c r="U640" s="8">
        <f>IF(OR(B640="",P640=""),"",IF(D640="Venda",-1,1)*((N(J640)*N(K640)+N(L640)*N(M640)+N(N640)*N(O640))-(N(J640)+N(L640)+N(N640))*F640)-N(Q640))</f>
        <v/>
      </c>
      <c r="V640" s="9">
        <f>IF(OR(B640="",P640=""),"",U640/S640)</f>
        <v/>
      </c>
      <c r="W640">
        <f>IF(OR(B640="",P640=""),"",P640-C640)</f>
        <v/>
      </c>
      <c r="X640">
        <f>IF(B640="","",IF(P640="","Aberto","Fechado"))</f>
        <v/>
      </c>
    </row>
    <row r="641">
      <c r="C641" s="6" t="n"/>
      <c r="E641" s="10" t="n"/>
      <c r="F641" s="11" t="n"/>
      <c r="G641" s="11" t="n"/>
      <c r="H641" s="11" t="n"/>
      <c r="J641" s="10" t="n"/>
      <c r="K641" s="11" t="n"/>
      <c r="L641" s="10" t="n"/>
      <c r="M641" s="11" t="n"/>
      <c r="N641" s="10" t="n"/>
      <c r="O641" s="11" t="n"/>
      <c r="P641" s="6" t="n"/>
      <c r="Q641" s="11" t="n"/>
      <c r="S641" s="8">
        <f>IF(B641="","",E641*F641)</f>
        <v/>
      </c>
      <c r="T641" s="8">
        <f>IF(OR(B641="",N(G641)=0),"",ABS(F641-G641)*E641)</f>
        <v/>
      </c>
      <c r="U641" s="8">
        <f>IF(OR(B641="",P641=""),"",IF(D641="Venda",-1,1)*((N(J641)*N(K641)+N(L641)*N(M641)+N(N641)*N(O641))-(N(J641)+N(L641)+N(N641))*F641)-N(Q641))</f>
        <v/>
      </c>
      <c r="V641" s="9">
        <f>IF(OR(B641="",P641=""),"",U641/S641)</f>
        <v/>
      </c>
      <c r="W641">
        <f>IF(OR(B641="",P641=""),"",P641-C641)</f>
        <v/>
      </c>
      <c r="X641">
        <f>IF(B641="","",IF(P641="","Aberto","Fechado"))</f>
        <v/>
      </c>
    </row>
    <row r="642">
      <c r="C642" s="6" t="n"/>
      <c r="E642" s="10" t="n"/>
      <c r="F642" s="11" t="n"/>
      <c r="G642" s="11" t="n"/>
      <c r="H642" s="11" t="n"/>
      <c r="J642" s="10" t="n"/>
      <c r="K642" s="11" t="n"/>
      <c r="L642" s="10" t="n"/>
      <c r="M642" s="11" t="n"/>
      <c r="N642" s="10" t="n"/>
      <c r="O642" s="11" t="n"/>
      <c r="P642" s="6" t="n"/>
      <c r="Q642" s="11" t="n"/>
      <c r="S642" s="8">
        <f>IF(B642="","",E642*F642)</f>
        <v/>
      </c>
      <c r="T642" s="8">
        <f>IF(OR(B642="",N(G642)=0),"",ABS(F642-G642)*E642)</f>
        <v/>
      </c>
      <c r="U642" s="8">
        <f>IF(OR(B642="",P642=""),"",IF(D642="Venda",-1,1)*((N(J642)*N(K642)+N(L642)*N(M642)+N(N642)*N(O642))-(N(J642)+N(L642)+N(N642))*F642)-N(Q642))</f>
        <v/>
      </c>
      <c r="V642" s="9">
        <f>IF(OR(B642="",P642=""),"",U642/S642)</f>
        <v/>
      </c>
      <c r="W642">
        <f>IF(OR(B642="",P642=""),"",P642-C642)</f>
        <v/>
      </c>
      <c r="X642">
        <f>IF(B642="","",IF(P642="","Aberto","Fechado"))</f>
        <v/>
      </c>
    </row>
    <row r="643">
      <c r="C643" s="6" t="n"/>
      <c r="E643" s="10" t="n"/>
      <c r="F643" s="11" t="n"/>
      <c r="G643" s="11" t="n"/>
      <c r="H643" s="11" t="n"/>
      <c r="J643" s="10" t="n"/>
      <c r="K643" s="11" t="n"/>
      <c r="L643" s="10" t="n"/>
      <c r="M643" s="11" t="n"/>
      <c r="N643" s="10" t="n"/>
      <c r="O643" s="11" t="n"/>
      <c r="P643" s="6" t="n"/>
      <c r="Q643" s="11" t="n"/>
      <c r="S643" s="8">
        <f>IF(B643="","",E643*F643)</f>
        <v/>
      </c>
      <c r="T643" s="8">
        <f>IF(OR(B643="",N(G643)=0),"",ABS(F643-G643)*E643)</f>
        <v/>
      </c>
      <c r="U643" s="8">
        <f>IF(OR(B643="",P643=""),"",IF(D643="Venda",-1,1)*((N(J643)*N(K643)+N(L643)*N(M643)+N(N643)*N(O643))-(N(J643)+N(L643)+N(N643))*F643)-N(Q643))</f>
        <v/>
      </c>
      <c r="V643" s="9">
        <f>IF(OR(B643="",P643=""),"",U643/S643)</f>
        <v/>
      </c>
      <c r="W643">
        <f>IF(OR(B643="",P643=""),"",P643-C643)</f>
        <v/>
      </c>
      <c r="X643">
        <f>IF(B643="","",IF(P643="","Aberto","Fechado"))</f>
        <v/>
      </c>
    </row>
    <row r="644">
      <c r="C644" s="6" t="n"/>
      <c r="E644" s="10" t="n"/>
      <c r="F644" s="11" t="n"/>
      <c r="G644" s="11" t="n"/>
      <c r="H644" s="11" t="n"/>
      <c r="J644" s="10" t="n"/>
      <c r="K644" s="11" t="n"/>
      <c r="L644" s="10" t="n"/>
      <c r="M644" s="11" t="n"/>
      <c r="N644" s="10" t="n"/>
      <c r="O644" s="11" t="n"/>
      <c r="P644" s="6" t="n"/>
      <c r="Q644" s="11" t="n"/>
      <c r="S644" s="8">
        <f>IF(B644="","",E644*F644)</f>
        <v/>
      </c>
      <c r="T644" s="8">
        <f>IF(OR(B644="",N(G644)=0),"",ABS(F644-G644)*E644)</f>
        <v/>
      </c>
      <c r="U644" s="8">
        <f>IF(OR(B644="",P644=""),"",IF(D644="Venda",-1,1)*((N(J644)*N(K644)+N(L644)*N(M644)+N(N644)*N(O644))-(N(J644)+N(L644)+N(N644))*F644)-N(Q644))</f>
        <v/>
      </c>
      <c r="V644" s="9">
        <f>IF(OR(B644="",P644=""),"",U644/S644)</f>
        <v/>
      </c>
      <c r="W644">
        <f>IF(OR(B644="",P644=""),"",P644-C644)</f>
        <v/>
      </c>
      <c r="X644">
        <f>IF(B644="","",IF(P644="","Aberto","Fechado"))</f>
        <v/>
      </c>
    </row>
    <row r="645">
      <c r="C645" s="6" t="n"/>
      <c r="E645" s="10" t="n"/>
      <c r="F645" s="11" t="n"/>
      <c r="G645" s="11" t="n"/>
      <c r="H645" s="11" t="n"/>
      <c r="J645" s="10" t="n"/>
      <c r="K645" s="11" t="n"/>
      <c r="L645" s="10" t="n"/>
      <c r="M645" s="11" t="n"/>
      <c r="N645" s="10" t="n"/>
      <c r="O645" s="11" t="n"/>
      <c r="P645" s="6" t="n"/>
      <c r="Q645" s="11" t="n"/>
      <c r="S645" s="8">
        <f>IF(B645="","",E645*F645)</f>
        <v/>
      </c>
      <c r="T645" s="8">
        <f>IF(OR(B645="",N(G645)=0),"",ABS(F645-G645)*E645)</f>
        <v/>
      </c>
      <c r="U645" s="8">
        <f>IF(OR(B645="",P645=""),"",IF(D645="Venda",-1,1)*((N(J645)*N(K645)+N(L645)*N(M645)+N(N645)*N(O645))-(N(J645)+N(L645)+N(N645))*F645)-N(Q645))</f>
        <v/>
      </c>
      <c r="V645" s="9">
        <f>IF(OR(B645="",P645=""),"",U645/S645)</f>
        <v/>
      </c>
      <c r="W645">
        <f>IF(OR(B645="",P645=""),"",P645-C645)</f>
        <v/>
      </c>
      <c r="X645">
        <f>IF(B645="","",IF(P645="","Aberto","Fechado"))</f>
        <v/>
      </c>
    </row>
    <row r="646">
      <c r="C646" s="6" t="n"/>
      <c r="E646" s="10" t="n"/>
      <c r="F646" s="11" t="n"/>
      <c r="G646" s="11" t="n"/>
      <c r="H646" s="11" t="n"/>
      <c r="J646" s="10" t="n"/>
      <c r="K646" s="11" t="n"/>
      <c r="L646" s="10" t="n"/>
      <c r="M646" s="11" t="n"/>
      <c r="N646" s="10" t="n"/>
      <c r="O646" s="11" t="n"/>
      <c r="P646" s="6" t="n"/>
      <c r="Q646" s="11" t="n"/>
      <c r="S646" s="8">
        <f>IF(B646="","",E646*F646)</f>
        <v/>
      </c>
      <c r="T646" s="8">
        <f>IF(OR(B646="",N(G646)=0),"",ABS(F646-G646)*E646)</f>
        <v/>
      </c>
      <c r="U646" s="8">
        <f>IF(OR(B646="",P646=""),"",IF(D646="Venda",-1,1)*((N(J646)*N(K646)+N(L646)*N(M646)+N(N646)*N(O646))-(N(J646)+N(L646)+N(N646))*F646)-N(Q646))</f>
        <v/>
      </c>
      <c r="V646" s="9">
        <f>IF(OR(B646="",P646=""),"",U646/S646)</f>
        <v/>
      </c>
      <c r="W646">
        <f>IF(OR(B646="",P646=""),"",P646-C646)</f>
        <v/>
      </c>
      <c r="X646">
        <f>IF(B646="","",IF(P646="","Aberto","Fechado"))</f>
        <v/>
      </c>
    </row>
    <row r="647">
      <c r="C647" s="6" t="n"/>
      <c r="E647" s="10" t="n"/>
      <c r="F647" s="11" t="n"/>
      <c r="G647" s="11" t="n"/>
      <c r="H647" s="11" t="n"/>
      <c r="J647" s="10" t="n"/>
      <c r="K647" s="11" t="n"/>
      <c r="L647" s="10" t="n"/>
      <c r="M647" s="11" t="n"/>
      <c r="N647" s="10" t="n"/>
      <c r="O647" s="11" t="n"/>
      <c r="P647" s="6" t="n"/>
      <c r="Q647" s="11" t="n"/>
      <c r="S647" s="8">
        <f>IF(B647="","",E647*F647)</f>
        <v/>
      </c>
      <c r="T647" s="8">
        <f>IF(OR(B647="",N(G647)=0),"",ABS(F647-G647)*E647)</f>
        <v/>
      </c>
      <c r="U647" s="8">
        <f>IF(OR(B647="",P647=""),"",IF(D647="Venda",-1,1)*((N(J647)*N(K647)+N(L647)*N(M647)+N(N647)*N(O647))-(N(J647)+N(L647)+N(N647))*F647)-N(Q647))</f>
        <v/>
      </c>
      <c r="V647" s="9">
        <f>IF(OR(B647="",P647=""),"",U647/S647)</f>
        <v/>
      </c>
      <c r="W647">
        <f>IF(OR(B647="",P647=""),"",P647-C647)</f>
        <v/>
      </c>
      <c r="X647">
        <f>IF(B647="","",IF(P647="","Aberto","Fechado"))</f>
        <v/>
      </c>
    </row>
    <row r="648">
      <c r="C648" s="6" t="n"/>
      <c r="E648" s="10" t="n"/>
      <c r="F648" s="11" t="n"/>
      <c r="G648" s="11" t="n"/>
      <c r="H648" s="11" t="n"/>
      <c r="J648" s="10" t="n"/>
      <c r="K648" s="11" t="n"/>
      <c r="L648" s="10" t="n"/>
      <c r="M648" s="11" t="n"/>
      <c r="N648" s="10" t="n"/>
      <c r="O648" s="11" t="n"/>
      <c r="P648" s="6" t="n"/>
      <c r="Q648" s="11" t="n"/>
      <c r="S648" s="8">
        <f>IF(B648="","",E648*F648)</f>
        <v/>
      </c>
      <c r="T648" s="8">
        <f>IF(OR(B648="",N(G648)=0),"",ABS(F648-G648)*E648)</f>
        <v/>
      </c>
      <c r="U648" s="8">
        <f>IF(OR(B648="",P648=""),"",IF(D648="Venda",-1,1)*((N(J648)*N(K648)+N(L648)*N(M648)+N(N648)*N(O648))-(N(J648)+N(L648)+N(N648))*F648)-N(Q648))</f>
        <v/>
      </c>
      <c r="V648" s="9">
        <f>IF(OR(B648="",P648=""),"",U648/S648)</f>
        <v/>
      </c>
      <c r="W648">
        <f>IF(OR(B648="",P648=""),"",P648-C648)</f>
        <v/>
      </c>
      <c r="X648">
        <f>IF(B648="","",IF(P648="","Aberto","Fechado"))</f>
        <v/>
      </c>
    </row>
    <row r="649">
      <c r="C649" s="6" t="n"/>
      <c r="E649" s="10" t="n"/>
      <c r="F649" s="11" t="n"/>
      <c r="G649" s="11" t="n"/>
      <c r="H649" s="11" t="n"/>
      <c r="J649" s="10" t="n"/>
      <c r="K649" s="11" t="n"/>
      <c r="L649" s="10" t="n"/>
      <c r="M649" s="11" t="n"/>
      <c r="N649" s="10" t="n"/>
      <c r="O649" s="11" t="n"/>
      <c r="P649" s="6" t="n"/>
      <c r="Q649" s="11" t="n"/>
      <c r="S649" s="8">
        <f>IF(B649="","",E649*F649)</f>
        <v/>
      </c>
      <c r="T649" s="8">
        <f>IF(OR(B649="",N(G649)=0),"",ABS(F649-G649)*E649)</f>
        <v/>
      </c>
      <c r="U649" s="8">
        <f>IF(OR(B649="",P649=""),"",IF(D649="Venda",-1,1)*((N(J649)*N(K649)+N(L649)*N(M649)+N(N649)*N(O649))-(N(J649)+N(L649)+N(N649))*F649)-N(Q649))</f>
        <v/>
      </c>
      <c r="V649" s="9">
        <f>IF(OR(B649="",P649=""),"",U649/S649)</f>
        <v/>
      </c>
      <c r="W649">
        <f>IF(OR(B649="",P649=""),"",P649-C649)</f>
        <v/>
      </c>
      <c r="X649">
        <f>IF(B649="","",IF(P649="","Aberto","Fechado"))</f>
        <v/>
      </c>
    </row>
    <row r="650">
      <c r="C650" s="6" t="n"/>
      <c r="E650" s="10" t="n"/>
      <c r="F650" s="11" t="n"/>
      <c r="G650" s="11" t="n"/>
      <c r="H650" s="11" t="n"/>
      <c r="J650" s="10" t="n"/>
      <c r="K650" s="11" t="n"/>
      <c r="L650" s="10" t="n"/>
      <c r="M650" s="11" t="n"/>
      <c r="N650" s="10" t="n"/>
      <c r="O650" s="11" t="n"/>
      <c r="P650" s="6" t="n"/>
      <c r="Q650" s="11" t="n"/>
      <c r="S650" s="8">
        <f>IF(B650="","",E650*F650)</f>
        <v/>
      </c>
      <c r="T650" s="8">
        <f>IF(OR(B650="",N(G650)=0),"",ABS(F650-G650)*E650)</f>
        <v/>
      </c>
      <c r="U650" s="8">
        <f>IF(OR(B650="",P650=""),"",IF(D650="Venda",-1,1)*((N(J650)*N(K650)+N(L650)*N(M650)+N(N650)*N(O650))-(N(J650)+N(L650)+N(N650))*F650)-N(Q650))</f>
        <v/>
      </c>
      <c r="V650" s="9">
        <f>IF(OR(B650="",P650=""),"",U650/S650)</f>
        <v/>
      </c>
      <c r="W650">
        <f>IF(OR(B650="",P650=""),"",P650-C650)</f>
        <v/>
      </c>
      <c r="X650">
        <f>IF(B650="","",IF(P650="","Aberto","Fechado"))</f>
        <v/>
      </c>
    </row>
    <row r="651">
      <c r="C651" s="6" t="n"/>
      <c r="E651" s="10" t="n"/>
      <c r="F651" s="11" t="n"/>
      <c r="G651" s="11" t="n"/>
      <c r="H651" s="11" t="n"/>
      <c r="J651" s="10" t="n"/>
      <c r="K651" s="11" t="n"/>
      <c r="L651" s="10" t="n"/>
      <c r="M651" s="11" t="n"/>
      <c r="N651" s="10" t="n"/>
      <c r="O651" s="11" t="n"/>
      <c r="P651" s="6" t="n"/>
      <c r="Q651" s="11" t="n"/>
      <c r="S651" s="8">
        <f>IF(B651="","",E651*F651)</f>
        <v/>
      </c>
      <c r="T651" s="8">
        <f>IF(OR(B651="",N(G651)=0),"",ABS(F651-G651)*E651)</f>
        <v/>
      </c>
      <c r="U651" s="8">
        <f>IF(OR(B651="",P651=""),"",IF(D651="Venda",-1,1)*((N(J651)*N(K651)+N(L651)*N(M651)+N(N651)*N(O651))-(N(J651)+N(L651)+N(N651))*F651)-N(Q651))</f>
        <v/>
      </c>
      <c r="V651" s="9">
        <f>IF(OR(B651="",P651=""),"",U651/S651)</f>
        <v/>
      </c>
      <c r="W651">
        <f>IF(OR(B651="",P651=""),"",P651-C651)</f>
        <v/>
      </c>
      <c r="X651">
        <f>IF(B651="","",IF(P651="","Aberto","Fechado"))</f>
        <v/>
      </c>
    </row>
    <row r="652">
      <c r="C652" s="6" t="n"/>
      <c r="E652" s="10" t="n"/>
      <c r="F652" s="11" t="n"/>
      <c r="G652" s="11" t="n"/>
      <c r="H652" s="11" t="n"/>
      <c r="J652" s="10" t="n"/>
      <c r="K652" s="11" t="n"/>
      <c r="L652" s="10" t="n"/>
      <c r="M652" s="11" t="n"/>
      <c r="N652" s="10" t="n"/>
      <c r="O652" s="11" t="n"/>
      <c r="P652" s="6" t="n"/>
      <c r="Q652" s="11" t="n"/>
      <c r="S652" s="8">
        <f>IF(B652="","",E652*F652)</f>
        <v/>
      </c>
      <c r="T652" s="8">
        <f>IF(OR(B652="",N(G652)=0),"",ABS(F652-G652)*E652)</f>
        <v/>
      </c>
      <c r="U652" s="8">
        <f>IF(OR(B652="",P652=""),"",IF(D652="Venda",-1,1)*((N(J652)*N(K652)+N(L652)*N(M652)+N(N652)*N(O652))-(N(J652)+N(L652)+N(N652))*F652)-N(Q652))</f>
        <v/>
      </c>
      <c r="V652" s="9">
        <f>IF(OR(B652="",P652=""),"",U652/S652)</f>
        <v/>
      </c>
      <c r="W652">
        <f>IF(OR(B652="",P652=""),"",P652-C652)</f>
        <v/>
      </c>
      <c r="X652">
        <f>IF(B652="","",IF(P652="","Aberto","Fechado"))</f>
        <v/>
      </c>
    </row>
    <row r="653">
      <c r="C653" s="6" t="n"/>
      <c r="E653" s="10" t="n"/>
      <c r="F653" s="11" t="n"/>
      <c r="G653" s="11" t="n"/>
      <c r="H653" s="11" t="n"/>
      <c r="J653" s="10" t="n"/>
      <c r="K653" s="11" t="n"/>
      <c r="L653" s="10" t="n"/>
      <c r="M653" s="11" t="n"/>
      <c r="N653" s="10" t="n"/>
      <c r="O653" s="11" t="n"/>
      <c r="P653" s="6" t="n"/>
      <c r="Q653" s="11" t="n"/>
      <c r="S653" s="8">
        <f>IF(B653="","",E653*F653)</f>
        <v/>
      </c>
      <c r="T653" s="8">
        <f>IF(OR(B653="",N(G653)=0),"",ABS(F653-G653)*E653)</f>
        <v/>
      </c>
      <c r="U653" s="8">
        <f>IF(OR(B653="",P653=""),"",IF(D653="Venda",-1,1)*((N(J653)*N(K653)+N(L653)*N(M653)+N(N653)*N(O653))-(N(J653)+N(L653)+N(N653))*F653)-N(Q653))</f>
        <v/>
      </c>
      <c r="V653" s="9">
        <f>IF(OR(B653="",P653=""),"",U653/S653)</f>
        <v/>
      </c>
      <c r="W653">
        <f>IF(OR(B653="",P653=""),"",P653-C653)</f>
        <v/>
      </c>
      <c r="X653">
        <f>IF(B653="","",IF(P653="","Aberto","Fechado"))</f>
        <v/>
      </c>
    </row>
    <row r="654">
      <c r="C654" s="6" t="n"/>
      <c r="E654" s="10" t="n"/>
      <c r="F654" s="11" t="n"/>
      <c r="G654" s="11" t="n"/>
      <c r="H654" s="11" t="n"/>
      <c r="J654" s="10" t="n"/>
      <c r="K654" s="11" t="n"/>
      <c r="L654" s="10" t="n"/>
      <c r="M654" s="11" t="n"/>
      <c r="N654" s="10" t="n"/>
      <c r="O654" s="11" t="n"/>
      <c r="P654" s="6" t="n"/>
      <c r="Q654" s="11" t="n"/>
      <c r="S654" s="8">
        <f>IF(B654="","",E654*F654)</f>
        <v/>
      </c>
      <c r="T654" s="8">
        <f>IF(OR(B654="",N(G654)=0),"",ABS(F654-G654)*E654)</f>
        <v/>
      </c>
      <c r="U654" s="8">
        <f>IF(OR(B654="",P654=""),"",IF(D654="Venda",-1,1)*((N(J654)*N(K654)+N(L654)*N(M654)+N(N654)*N(O654))-(N(J654)+N(L654)+N(N654))*F654)-N(Q654))</f>
        <v/>
      </c>
      <c r="V654" s="9">
        <f>IF(OR(B654="",P654=""),"",U654/S654)</f>
        <v/>
      </c>
      <c r="W654">
        <f>IF(OR(B654="",P654=""),"",P654-C654)</f>
        <v/>
      </c>
      <c r="X654">
        <f>IF(B654="","",IF(P654="","Aberto","Fechado"))</f>
        <v/>
      </c>
    </row>
    <row r="655">
      <c r="C655" s="6" t="n"/>
      <c r="E655" s="10" t="n"/>
      <c r="F655" s="11" t="n"/>
      <c r="G655" s="11" t="n"/>
      <c r="H655" s="11" t="n"/>
      <c r="J655" s="10" t="n"/>
      <c r="K655" s="11" t="n"/>
      <c r="L655" s="10" t="n"/>
      <c r="M655" s="11" t="n"/>
      <c r="N655" s="10" t="n"/>
      <c r="O655" s="11" t="n"/>
      <c r="P655" s="6" t="n"/>
      <c r="Q655" s="11" t="n"/>
      <c r="S655" s="8">
        <f>IF(B655="","",E655*F655)</f>
        <v/>
      </c>
      <c r="T655" s="8">
        <f>IF(OR(B655="",N(G655)=0),"",ABS(F655-G655)*E655)</f>
        <v/>
      </c>
      <c r="U655" s="8">
        <f>IF(OR(B655="",P655=""),"",IF(D655="Venda",-1,1)*((N(J655)*N(K655)+N(L655)*N(M655)+N(N655)*N(O655))-(N(J655)+N(L655)+N(N655))*F655)-N(Q655))</f>
        <v/>
      </c>
      <c r="V655" s="9">
        <f>IF(OR(B655="",P655=""),"",U655/S655)</f>
        <v/>
      </c>
      <c r="W655">
        <f>IF(OR(B655="",P655=""),"",P655-C655)</f>
        <v/>
      </c>
      <c r="X655">
        <f>IF(B655="","",IF(P655="","Aberto","Fechado"))</f>
        <v/>
      </c>
    </row>
    <row r="656">
      <c r="C656" s="6" t="n"/>
      <c r="E656" s="10" t="n"/>
      <c r="F656" s="11" t="n"/>
      <c r="G656" s="11" t="n"/>
      <c r="H656" s="11" t="n"/>
      <c r="J656" s="10" t="n"/>
      <c r="K656" s="11" t="n"/>
      <c r="L656" s="10" t="n"/>
      <c r="M656" s="11" t="n"/>
      <c r="N656" s="10" t="n"/>
      <c r="O656" s="11" t="n"/>
      <c r="P656" s="6" t="n"/>
      <c r="Q656" s="11" t="n"/>
      <c r="S656" s="8">
        <f>IF(B656="","",E656*F656)</f>
        <v/>
      </c>
      <c r="T656" s="8">
        <f>IF(OR(B656="",N(G656)=0),"",ABS(F656-G656)*E656)</f>
        <v/>
      </c>
      <c r="U656" s="8">
        <f>IF(OR(B656="",P656=""),"",IF(D656="Venda",-1,1)*((N(J656)*N(K656)+N(L656)*N(M656)+N(N656)*N(O656))-(N(J656)+N(L656)+N(N656))*F656)-N(Q656))</f>
        <v/>
      </c>
      <c r="V656" s="9">
        <f>IF(OR(B656="",P656=""),"",U656/S656)</f>
        <v/>
      </c>
      <c r="W656">
        <f>IF(OR(B656="",P656=""),"",P656-C656)</f>
        <v/>
      </c>
      <c r="X656">
        <f>IF(B656="","",IF(P656="","Aberto","Fechado"))</f>
        <v/>
      </c>
    </row>
    <row r="657">
      <c r="C657" s="6" t="n"/>
      <c r="E657" s="10" t="n"/>
      <c r="F657" s="11" t="n"/>
      <c r="G657" s="11" t="n"/>
      <c r="H657" s="11" t="n"/>
      <c r="J657" s="10" t="n"/>
      <c r="K657" s="11" t="n"/>
      <c r="L657" s="10" t="n"/>
      <c r="M657" s="11" t="n"/>
      <c r="N657" s="10" t="n"/>
      <c r="O657" s="11" t="n"/>
      <c r="P657" s="6" t="n"/>
      <c r="Q657" s="11" t="n"/>
      <c r="S657" s="8">
        <f>IF(B657="","",E657*F657)</f>
        <v/>
      </c>
      <c r="T657" s="8">
        <f>IF(OR(B657="",N(G657)=0),"",ABS(F657-G657)*E657)</f>
        <v/>
      </c>
      <c r="U657" s="8">
        <f>IF(OR(B657="",P657=""),"",IF(D657="Venda",-1,1)*((N(J657)*N(K657)+N(L657)*N(M657)+N(N657)*N(O657))-(N(J657)+N(L657)+N(N657))*F657)-N(Q657))</f>
        <v/>
      </c>
      <c r="V657" s="9">
        <f>IF(OR(B657="",P657=""),"",U657/S657)</f>
        <v/>
      </c>
      <c r="W657">
        <f>IF(OR(B657="",P657=""),"",P657-C657)</f>
        <v/>
      </c>
      <c r="X657">
        <f>IF(B657="","",IF(P657="","Aberto","Fechado"))</f>
        <v/>
      </c>
    </row>
    <row r="658">
      <c r="C658" s="6" t="n"/>
      <c r="E658" s="10" t="n"/>
      <c r="F658" s="11" t="n"/>
      <c r="G658" s="11" t="n"/>
      <c r="H658" s="11" t="n"/>
      <c r="J658" s="10" t="n"/>
      <c r="K658" s="11" t="n"/>
      <c r="L658" s="10" t="n"/>
      <c r="M658" s="11" t="n"/>
      <c r="N658" s="10" t="n"/>
      <c r="O658" s="11" t="n"/>
      <c r="P658" s="6" t="n"/>
      <c r="Q658" s="11" t="n"/>
      <c r="S658" s="8">
        <f>IF(B658="","",E658*F658)</f>
        <v/>
      </c>
      <c r="T658" s="8">
        <f>IF(OR(B658="",N(G658)=0),"",ABS(F658-G658)*E658)</f>
        <v/>
      </c>
      <c r="U658" s="8">
        <f>IF(OR(B658="",P658=""),"",IF(D658="Venda",-1,1)*((N(J658)*N(K658)+N(L658)*N(M658)+N(N658)*N(O658))-(N(J658)+N(L658)+N(N658))*F658)-N(Q658))</f>
        <v/>
      </c>
      <c r="V658" s="9">
        <f>IF(OR(B658="",P658=""),"",U658/S658)</f>
        <v/>
      </c>
      <c r="W658">
        <f>IF(OR(B658="",P658=""),"",P658-C658)</f>
        <v/>
      </c>
      <c r="X658">
        <f>IF(B658="","",IF(P658="","Aberto","Fechado"))</f>
        <v/>
      </c>
    </row>
    <row r="659">
      <c r="C659" s="6" t="n"/>
      <c r="E659" s="10" t="n"/>
      <c r="F659" s="11" t="n"/>
      <c r="G659" s="11" t="n"/>
      <c r="H659" s="11" t="n"/>
      <c r="J659" s="10" t="n"/>
      <c r="K659" s="11" t="n"/>
      <c r="L659" s="10" t="n"/>
      <c r="M659" s="11" t="n"/>
      <c r="N659" s="10" t="n"/>
      <c r="O659" s="11" t="n"/>
      <c r="P659" s="6" t="n"/>
      <c r="Q659" s="11" t="n"/>
      <c r="S659" s="8">
        <f>IF(B659="","",E659*F659)</f>
        <v/>
      </c>
      <c r="T659" s="8">
        <f>IF(OR(B659="",N(G659)=0),"",ABS(F659-G659)*E659)</f>
        <v/>
      </c>
      <c r="U659" s="8">
        <f>IF(OR(B659="",P659=""),"",IF(D659="Venda",-1,1)*((N(J659)*N(K659)+N(L659)*N(M659)+N(N659)*N(O659))-(N(J659)+N(L659)+N(N659))*F659)-N(Q659))</f>
        <v/>
      </c>
      <c r="V659" s="9">
        <f>IF(OR(B659="",P659=""),"",U659/S659)</f>
        <v/>
      </c>
      <c r="W659">
        <f>IF(OR(B659="",P659=""),"",P659-C659)</f>
        <v/>
      </c>
      <c r="X659">
        <f>IF(B659="","",IF(P659="","Aberto","Fechado"))</f>
        <v/>
      </c>
    </row>
    <row r="660">
      <c r="C660" s="6" t="n"/>
      <c r="E660" s="10" t="n"/>
      <c r="F660" s="11" t="n"/>
      <c r="G660" s="11" t="n"/>
      <c r="H660" s="11" t="n"/>
      <c r="J660" s="10" t="n"/>
      <c r="K660" s="11" t="n"/>
      <c r="L660" s="10" t="n"/>
      <c r="M660" s="11" t="n"/>
      <c r="N660" s="10" t="n"/>
      <c r="O660" s="11" t="n"/>
      <c r="P660" s="6" t="n"/>
      <c r="Q660" s="11" t="n"/>
      <c r="S660" s="8">
        <f>IF(B660="","",E660*F660)</f>
        <v/>
      </c>
      <c r="T660" s="8">
        <f>IF(OR(B660="",N(G660)=0),"",ABS(F660-G660)*E660)</f>
        <v/>
      </c>
      <c r="U660" s="8">
        <f>IF(OR(B660="",P660=""),"",IF(D660="Venda",-1,1)*((N(J660)*N(K660)+N(L660)*N(M660)+N(N660)*N(O660))-(N(J660)+N(L660)+N(N660))*F660)-N(Q660))</f>
        <v/>
      </c>
      <c r="V660" s="9">
        <f>IF(OR(B660="",P660=""),"",U660/S660)</f>
        <v/>
      </c>
      <c r="W660">
        <f>IF(OR(B660="",P660=""),"",P660-C660)</f>
        <v/>
      </c>
      <c r="X660">
        <f>IF(B660="","",IF(P660="","Aberto","Fechado"))</f>
        <v/>
      </c>
    </row>
    <row r="661">
      <c r="C661" s="6" t="n"/>
      <c r="E661" s="10" t="n"/>
      <c r="F661" s="11" t="n"/>
      <c r="G661" s="11" t="n"/>
      <c r="H661" s="11" t="n"/>
      <c r="J661" s="10" t="n"/>
      <c r="K661" s="11" t="n"/>
      <c r="L661" s="10" t="n"/>
      <c r="M661" s="11" t="n"/>
      <c r="N661" s="10" t="n"/>
      <c r="O661" s="11" t="n"/>
      <c r="P661" s="6" t="n"/>
      <c r="Q661" s="11" t="n"/>
      <c r="S661" s="8">
        <f>IF(B661="","",E661*F661)</f>
        <v/>
      </c>
      <c r="T661" s="8">
        <f>IF(OR(B661="",N(G661)=0),"",ABS(F661-G661)*E661)</f>
        <v/>
      </c>
      <c r="U661" s="8">
        <f>IF(OR(B661="",P661=""),"",IF(D661="Venda",-1,1)*((N(J661)*N(K661)+N(L661)*N(M661)+N(N661)*N(O661))-(N(J661)+N(L661)+N(N661))*F661)-N(Q661))</f>
        <v/>
      </c>
      <c r="V661" s="9">
        <f>IF(OR(B661="",P661=""),"",U661/S661)</f>
        <v/>
      </c>
      <c r="W661">
        <f>IF(OR(B661="",P661=""),"",P661-C661)</f>
        <v/>
      </c>
      <c r="X661">
        <f>IF(B661="","",IF(P661="","Aberto","Fechado"))</f>
        <v/>
      </c>
    </row>
    <row r="662">
      <c r="C662" s="6" t="n"/>
      <c r="E662" s="10" t="n"/>
      <c r="F662" s="11" t="n"/>
      <c r="G662" s="11" t="n"/>
      <c r="H662" s="11" t="n"/>
      <c r="J662" s="10" t="n"/>
      <c r="K662" s="11" t="n"/>
      <c r="L662" s="10" t="n"/>
      <c r="M662" s="11" t="n"/>
      <c r="N662" s="10" t="n"/>
      <c r="O662" s="11" t="n"/>
      <c r="P662" s="6" t="n"/>
      <c r="Q662" s="11" t="n"/>
      <c r="S662" s="8">
        <f>IF(B662="","",E662*F662)</f>
        <v/>
      </c>
      <c r="T662" s="8">
        <f>IF(OR(B662="",N(G662)=0),"",ABS(F662-G662)*E662)</f>
        <v/>
      </c>
      <c r="U662" s="8">
        <f>IF(OR(B662="",P662=""),"",IF(D662="Venda",-1,1)*((N(J662)*N(K662)+N(L662)*N(M662)+N(N662)*N(O662))-(N(J662)+N(L662)+N(N662))*F662)-N(Q662))</f>
        <v/>
      </c>
      <c r="V662" s="9">
        <f>IF(OR(B662="",P662=""),"",U662/S662)</f>
        <v/>
      </c>
      <c r="W662">
        <f>IF(OR(B662="",P662=""),"",P662-C662)</f>
        <v/>
      </c>
      <c r="X662">
        <f>IF(B662="","",IF(P662="","Aberto","Fechado"))</f>
        <v/>
      </c>
    </row>
    <row r="663">
      <c r="C663" s="6" t="n"/>
      <c r="E663" s="10" t="n"/>
      <c r="F663" s="11" t="n"/>
      <c r="G663" s="11" t="n"/>
      <c r="H663" s="11" t="n"/>
      <c r="J663" s="10" t="n"/>
      <c r="K663" s="11" t="n"/>
      <c r="L663" s="10" t="n"/>
      <c r="M663" s="11" t="n"/>
      <c r="N663" s="10" t="n"/>
      <c r="O663" s="11" t="n"/>
      <c r="P663" s="6" t="n"/>
      <c r="Q663" s="11" t="n"/>
      <c r="S663" s="8">
        <f>IF(B663="","",E663*F663)</f>
        <v/>
      </c>
      <c r="T663" s="8">
        <f>IF(OR(B663="",N(G663)=0),"",ABS(F663-G663)*E663)</f>
        <v/>
      </c>
      <c r="U663" s="8">
        <f>IF(OR(B663="",P663=""),"",IF(D663="Venda",-1,1)*((N(J663)*N(K663)+N(L663)*N(M663)+N(N663)*N(O663))-(N(J663)+N(L663)+N(N663))*F663)-N(Q663))</f>
        <v/>
      </c>
      <c r="V663" s="9">
        <f>IF(OR(B663="",P663=""),"",U663/S663)</f>
        <v/>
      </c>
      <c r="W663">
        <f>IF(OR(B663="",P663=""),"",P663-C663)</f>
        <v/>
      </c>
      <c r="X663">
        <f>IF(B663="","",IF(P663="","Aberto","Fechado"))</f>
        <v/>
      </c>
    </row>
    <row r="664">
      <c r="C664" s="6" t="n"/>
      <c r="E664" s="10" t="n"/>
      <c r="F664" s="11" t="n"/>
      <c r="G664" s="11" t="n"/>
      <c r="H664" s="11" t="n"/>
      <c r="J664" s="10" t="n"/>
      <c r="K664" s="11" t="n"/>
      <c r="L664" s="10" t="n"/>
      <c r="M664" s="11" t="n"/>
      <c r="N664" s="10" t="n"/>
      <c r="O664" s="11" t="n"/>
      <c r="P664" s="6" t="n"/>
      <c r="Q664" s="11" t="n"/>
      <c r="S664" s="8">
        <f>IF(B664="","",E664*F664)</f>
        <v/>
      </c>
      <c r="T664" s="8">
        <f>IF(OR(B664="",N(G664)=0),"",ABS(F664-G664)*E664)</f>
        <v/>
      </c>
      <c r="U664" s="8">
        <f>IF(OR(B664="",P664=""),"",IF(D664="Venda",-1,1)*((N(J664)*N(K664)+N(L664)*N(M664)+N(N664)*N(O664))-(N(J664)+N(L664)+N(N664))*F664)-N(Q664))</f>
        <v/>
      </c>
      <c r="V664" s="9">
        <f>IF(OR(B664="",P664=""),"",U664/S664)</f>
        <v/>
      </c>
      <c r="W664">
        <f>IF(OR(B664="",P664=""),"",P664-C664)</f>
        <v/>
      </c>
      <c r="X664">
        <f>IF(B664="","",IF(P664="","Aberto","Fechado"))</f>
        <v/>
      </c>
    </row>
    <row r="665">
      <c r="C665" s="6" t="n"/>
      <c r="E665" s="10" t="n"/>
      <c r="F665" s="11" t="n"/>
      <c r="G665" s="11" t="n"/>
      <c r="H665" s="11" t="n"/>
      <c r="J665" s="10" t="n"/>
      <c r="K665" s="11" t="n"/>
      <c r="L665" s="10" t="n"/>
      <c r="M665" s="11" t="n"/>
      <c r="N665" s="10" t="n"/>
      <c r="O665" s="11" t="n"/>
      <c r="P665" s="6" t="n"/>
      <c r="Q665" s="11" t="n"/>
      <c r="S665" s="8">
        <f>IF(B665="","",E665*F665)</f>
        <v/>
      </c>
      <c r="T665" s="8">
        <f>IF(OR(B665="",N(G665)=0),"",ABS(F665-G665)*E665)</f>
        <v/>
      </c>
      <c r="U665" s="8">
        <f>IF(OR(B665="",P665=""),"",IF(D665="Venda",-1,1)*((N(J665)*N(K665)+N(L665)*N(M665)+N(N665)*N(O665))-(N(J665)+N(L665)+N(N665))*F665)-N(Q665))</f>
        <v/>
      </c>
      <c r="V665" s="9">
        <f>IF(OR(B665="",P665=""),"",U665/S665)</f>
        <v/>
      </c>
      <c r="W665">
        <f>IF(OR(B665="",P665=""),"",P665-C665)</f>
        <v/>
      </c>
      <c r="X665">
        <f>IF(B665="","",IF(P665="","Aberto","Fechado"))</f>
        <v/>
      </c>
    </row>
    <row r="666">
      <c r="C666" s="6" t="n"/>
      <c r="E666" s="10" t="n"/>
      <c r="F666" s="11" t="n"/>
      <c r="G666" s="11" t="n"/>
      <c r="H666" s="11" t="n"/>
      <c r="J666" s="10" t="n"/>
      <c r="K666" s="11" t="n"/>
      <c r="L666" s="10" t="n"/>
      <c r="M666" s="11" t="n"/>
      <c r="N666" s="10" t="n"/>
      <c r="O666" s="11" t="n"/>
      <c r="P666" s="6" t="n"/>
      <c r="Q666" s="11" t="n"/>
      <c r="S666" s="8">
        <f>IF(B666="","",E666*F666)</f>
        <v/>
      </c>
      <c r="T666" s="8">
        <f>IF(OR(B666="",N(G666)=0),"",ABS(F666-G666)*E666)</f>
        <v/>
      </c>
      <c r="U666" s="8">
        <f>IF(OR(B666="",P666=""),"",IF(D666="Venda",-1,1)*((N(J666)*N(K666)+N(L666)*N(M666)+N(N666)*N(O666))-(N(J666)+N(L666)+N(N666))*F666)-N(Q666))</f>
        <v/>
      </c>
      <c r="V666" s="9">
        <f>IF(OR(B666="",P666=""),"",U666/S666)</f>
        <v/>
      </c>
      <c r="W666">
        <f>IF(OR(B666="",P666=""),"",P666-C666)</f>
        <v/>
      </c>
      <c r="X666">
        <f>IF(B666="","",IF(P666="","Aberto","Fechado"))</f>
        <v/>
      </c>
    </row>
    <row r="667">
      <c r="C667" s="6" t="n"/>
      <c r="E667" s="10" t="n"/>
      <c r="F667" s="11" t="n"/>
      <c r="G667" s="11" t="n"/>
      <c r="H667" s="11" t="n"/>
      <c r="J667" s="10" t="n"/>
      <c r="K667" s="11" t="n"/>
      <c r="L667" s="10" t="n"/>
      <c r="M667" s="11" t="n"/>
      <c r="N667" s="10" t="n"/>
      <c r="O667" s="11" t="n"/>
      <c r="P667" s="6" t="n"/>
      <c r="Q667" s="11" t="n"/>
      <c r="S667" s="8">
        <f>IF(B667="","",E667*F667)</f>
        <v/>
      </c>
      <c r="T667" s="8">
        <f>IF(OR(B667="",N(G667)=0),"",ABS(F667-G667)*E667)</f>
        <v/>
      </c>
      <c r="U667" s="8">
        <f>IF(OR(B667="",P667=""),"",IF(D667="Venda",-1,1)*((N(J667)*N(K667)+N(L667)*N(M667)+N(N667)*N(O667))-(N(J667)+N(L667)+N(N667))*F667)-N(Q667))</f>
        <v/>
      </c>
      <c r="V667" s="9">
        <f>IF(OR(B667="",P667=""),"",U667/S667)</f>
        <v/>
      </c>
      <c r="W667">
        <f>IF(OR(B667="",P667=""),"",P667-C667)</f>
        <v/>
      </c>
      <c r="X667">
        <f>IF(B667="","",IF(P667="","Aberto","Fechado"))</f>
        <v/>
      </c>
    </row>
    <row r="668">
      <c r="C668" s="6" t="n"/>
      <c r="E668" s="10" t="n"/>
      <c r="F668" s="11" t="n"/>
      <c r="G668" s="11" t="n"/>
      <c r="H668" s="11" t="n"/>
      <c r="J668" s="10" t="n"/>
      <c r="K668" s="11" t="n"/>
      <c r="L668" s="10" t="n"/>
      <c r="M668" s="11" t="n"/>
      <c r="N668" s="10" t="n"/>
      <c r="O668" s="11" t="n"/>
      <c r="P668" s="6" t="n"/>
      <c r="Q668" s="11" t="n"/>
      <c r="S668" s="8">
        <f>IF(B668="","",E668*F668)</f>
        <v/>
      </c>
      <c r="T668" s="8">
        <f>IF(OR(B668="",N(G668)=0),"",ABS(F668-G668)*E668)</f>
        <v/>
      </c>
      <c r="U668" s="8">
        <f>IF(OR(B668="",P668=""),"",IF(D668="Venda",-1,1)*((N(J668)*N(K668)+N(L668)*N(M668)+N(N668)*N(O668))-(N(J668)+N(L668)+N(N668))*F668)-N(Q668))</f>
        <v/>
      </c>
      <c r="V668" s="9">
        <f>IF(OR(B668="",P668=""),"",U668/S668)</f>
        <v/>
      </c>
      <c r="W668">
        <f>IF(OR(B668="",P668=""),"",P668-C668)</f>
        <v/>
      </c>
      <c r="X668">
        <f>IF(B668="","",IF(P668="","Aberto","Fechado"))</f>
        <v/>
      </c>
    </row>
    <row r="669">
      <c r="C669" s="6" t="n"/>
      <c r="E669" s="10" t="n"/>
      <c r="F669" s="11" t="n"/>
      <c r="G669" s="11" t="n"/>
      <c r="H669" s="11" t="n"/>
      <c r="J669" s="10" t="n"/>
      <c r="K669" s="11" t="n"/>
      <c r="L669" s="10" t="n"/>
      <c r="M669" s="11" t="n"/>
      <c r="N669" s="10" t="n"/>
      <c r="O669" s="11" t="n"/>
      <c r="P669" s="6" t="n"/>
      <c r="Q669" s="11" t="n"/>
      <c r="S669" s="8">
        <f>IF(B669="","",E669*F669)</f>
        <v/>
      </c>
      <c r="T669" s="8">
        <f>IF(OR(B669="",N(G669)=0),"",ABS(F669-G669)*E669)</f>
        <v/>
      </c>
      <c r="U669" s="8">
        <f>IF(OR(B669="",P669=""),"",IF(D669="Venda",-1,1)*((N(J669)*N(K669)+N(L669)*N(M669)+N(N669)*N(O669))-(N(J669)+N(L669)+N(N669))*F669)-N(Q669))</f>
        <v/>
      </c>
      <c r="V669" s="9">
        <f>IF(OR(B669="",P669=""),"",U669/S669)</f>
        <v/>
      </c>
      <c r="W669">
        <f>IF(OR(B669="",P669=""),"",P669-C669)</f>
        <v/>
      </c>
      <c r="X669">
        <f>IF(B669="","",IF(P669="","Aberto","Fechado"))</f>
        <v/>
      </c>
    </row>
    <row r="670">
      <c r="C670" s="6" t="n"/>
      <c r="E670" s="10" t="n"/>
      <c r="F670" s="11" t="n"/>
      <c r="G670" s="11" t="n"/>
      <c r="H670" s="11" t="n"/>
      <c r="J670" s="10" t="n"/>
      <c r="K670" s="11" t="n"/>
      <c r="L670" s="10" t="n"/>
      <c r="M670" s="11" t="n"/>
      <c r="N670" s="10" t="n"/>
      <c r="O670" s="11" t="n"/>
      <c r="P670" s="6" t="n"/>
      <c r="Q670" s="11" t="n"/>
      <c r="S670" s="8">
        <f>IF(B670="","",E670*F670)</f>
        <v/>
      </c>
      <c r="T670" s="8">
        <f>IF(OR(B670="",N(G670)=0),"",ABS(F670-G670)*E670)</f>
        <v/>
      </c>
      <c r="U670" s="8">
        <f>IF(OR(B670="",P670=""),"",IF(D670="Venda",-1,1)*((N(J670)*N(K670)+N(L670)*N(M670)+N(N670)*N(O670))-(N(J670)+N(L670)+N(N670))*F670)-N(Q670))</f>
        <v/>
      </c>
      <c r="V670" s="9">
        <f>IF(OR(B670="",P670=""),"",U670/S670)</f>
        <v/>
      </c>
      <c r="W670">
        <f>IF(OR(B670="",P670=""),"",P670-C670)</f>
        <v/>
      </c>
      <c r="X670">
        <f>IF(B670="","",IF(P670="","Aberto","Fechado"))</f>
        <v/>
      </c>
    </row>
    <row r="671">
      <c r="C671" s="6" t="n"/>
      <c r="E671" s="10" t="n"/>
      <c r="F671" s="11" t="n"/>
      <c r="G671" s="11" t="n"/>
      <c r="H671" s="11" t="n"/>
      <c r="J671" s="10" t="n"/>
      <c r="K671" s="11" t="n"/>
      <c r="L671" s="10" t="n"/>
      <c r="M671" s="11" t="n"/>
      <c r="N671" s="10" t="n"/>
      <c r="O671" s="11" t="n"/>
      <c r="P671" s="6" t="n"/>
      <c r="Q671" s="11" t="n"/>
      <c r="S671" s="8">
        <f>IF(B671="","",E671*F671)</f>
        <v/>
      </c>
      <c r="T671" s="8">
        <f>IF(OR(B671="",N(G671)=0),"",ABS(F671-G671)*E671)</f>
        <v/>
      </c>
      <c r="U671" s="8">
        <f>IF(OR(B671="",P671=""),"",IF(D671="Venda",-1,1)*((N(J671)*N(K671)+N(L671)*N(M671)+N(N671)*N(O671))-(N(J671)+N(L671)+N(N671))*F671)-N(Q671))</f>
        <v/>
      </c>
      <c r="V671" s="9">
        <f>IF(OR(B671="",P671=""),"",U671/S671)</f>
        <v/>
      </c>
      <c r="W671">
        <f>IF(OR(B671="",P671=""),"",P671-C671)</f>
        <v/>
      </c>
      <c r="X671">
        <f>IF(B671="","",IF(P671="","Aberto","Fechado"))</f>
        <v/>
      </c>
    </row>
    <row r="672">
      <c r="C672" s="6" t="n"/>
      <c r="E672" s="10" t="n"/>
      <c r="F672" s="11" t="n"/>
      <c r="G672" s="11" t="n"/>
      <c r="H672" s="11" t="n"/>
      <c r="J672" s="10" t="n"/>
      <c r="K672" s="11" t="n"/>
      <c r="L672" s="10" t="n"/>
      <c r="M672" s="11" t="n"/>
      <c r="N672" s="10" t="n"/>
      <c r="O672" s="11" t="n"/>
      <c r="P672" s="6" t="n"/>
      <c r="Q672" s="11" t="n"/>
      <c r="S672" s="8">
        <f>IF(B672="","",E672*F672)</f>
        <v/>
      </c>
      <c r="T672" s="8">
        <f>IF(OR(B672="",N(G672)=0),"",ABS(F672-G672)*E672)</f>
        <v/>
      </c>
      <c r="U672" s="8">
        <f>IF(OR(B672="",P672=""),"",IF(D672="Venda",-1,1)*((N(J672)*N(K672)+N(L672)*N(M672)+N(N672)*N(O672))-(N(J672)+N(L672)+N(N672))*F672)-N(Q672))</f>
        <v/>
      </c>
      <c r="V672" s="9">
        <f>IF(OR(B672="",P672=""),"",U672/S672)</f>
        <v/>
      </c>
      <c r="W672">
        <f>IF(OR(B672="",P672=""),"",P672-C672)</f>
        <v/>
      </c>
      <c r="X672">
        <f>IF(B672="","",IF(P672="","Aberto","Fechado"))</f>
        <v/>
      </c>
    </row>
    <row r="673">
      <c r="C673" s="6" t="n"/>
      <c r="E673" s="10" t="n"/>
      <c r="F673" s="11" t="n"/>
      <c r="G673" s="11" t="n"/>
      <c r="H673" s="11" t="n"/>
      <c r="J673" s="10" t="n"/>
      <c r="K673" s="11" t="n"/>
      <c r="L673" s="10" t="n"/>
      <c r="M673" s="11" t="n"/>
      <c r="N673" s="10" t="n"/>
      <c r="O673" s="11" t="n"/>
      <c r="P673" s="6" t="n"/>
      <c r="Q673" s="11" t="n"/>
      <c r="S673" s="8">
        <f>IF(B673="","",E673*F673)</f>
        <v/>
      </c>
      <c r="T673" s="8">
        <f>IF(OR(B673="",N(G673)=0),"",ABS(F673-G673)*E673)</f>
        <v/>
      </c>
      <c r="U673" s="8">
        <f>IF(OR(B673="",P673=""),"",IF(D673="Venda",-1,1)*((N(J673)*N(K673)+N(L673)*N(M673)+N(N673)*N(O673))-(N(J673)+N(L673)+N(N673))*F673)-N(Q673))</f>
        <v/>
      </c>
      <c r="V673" s="9">
        <f>IF(OR(B673="",P673=""),"",U673/S673)</f>
        <v/>
      </c>
      <c r="W673">
        <f>IF(OR(B673="",P673=""),"",P673-C673)</f>
        <v/>
      </c>
      <c r="X673">
        <f>IF(B673="","",IF(P673="","Aberto","Fechado"))</f>
        <v/>
      </c>
    </row>
    <row r="674">
      <c r="C674" s="6" t="n"/>
      <c r="E674" s="10" t="n"/>
      <c r="F674" s="11" t="n"/>
      <c r="G674" s="11" t="n"/>
      <c r="H674" s="11" t="n"/>
      <c r="J674" s="10" t="n"/>
      <c r="K674" s="11" t="n"/>
      <c r="L674" s="10" t="n"/>
      <c r="M674" s="11" t="n"/>
      <c r="N674" s="10" t="n"/>
      <c r="O674" s="11" t="n"/>
      <c r="P674" s="6" t="n"/>
      <c r="Q674" s="11" t="n"/>
      <c r="S674" s="8">
        <f>IF(B674="","",E674*F674)</f>
        <v/>
      </c>
      <c r="T674" s="8">
        <f>IF(OR(B674="",N(G674)=0),"",ABS(F674-G674)*E674)</f>
        <v/>
      </c>
      <c r="U674" s="8">
        <f>IF(OR(B674="",P674=""),"",IF(D674="Venda",-1,1)*((N(J674)*N(K674)+N(L674)*N(M674)+N(N674)*N(O674))-(N(J674)+N(L674)+N(N674))*F674)-N(Q674))</f>
        <v/>
      </c>
      <c r="V674" s="9">
        <f>IF(OR(B674="",P674=""),"",U674/S674)</f>
        <v/>
      </c>
      <c r="W674">
        <f>IF(OR(B674="",P674=""),"",P674-C674)</f>
        <v/>
      </c>
      <c r="X674">
        <f>IF(B674="","",IF(P674="","Aberto","Fechado"))</f>
        <v/>
      </c>
    </row>
    <row r="675">
      <c r="C675" s="6" t="n"/>
      <c r="E675" s="10" t="n"/>
      <c r="F675" s="11" t="n"/>
      <c r="G675" s="11" t="n"/>
      <c r="H675" s="11" t="n"/>
      <c r="J675" s="10" t="n"/>
      <c r="K675" s="11" t="n"/>
      <c r="L675" s="10" t="n"/>
      <c r="M675" s="11" t="n"/>
      <c r="N675" s="10" t="n"/>
      <c r="O675" s="11" t="n"/>
      <c r="P675" s="6" t="n"/>
      <c r="Q675" s="11" t="n"/>
      <c r="S675" s="8">
        <f>IF(B675="","",E675*F675)</f>
        <v/>
      </c>
      <c r="T675" s="8">
        <f>IF(OR(B675="",N(G675)=0),"",ABS(F675-G675)*E675)</f>
        <v/>
      </c>
      <c r="U675" s="8">
        <f>IF(OR(B675="",P675=""),"",IF(D675="Venda",-1,1)*((N(J675)*N(K675)+N(L675)*N(M675)+N(N675)*N(O675))-(N(J675)+N(L675)+N(N675))*F675)-N(Q675))</f>
        <v/>
      </c>
      <c r="V675" s="9">
        <f>IF(OR(B675="",P675=""),"",U675/S675)</f>
        <v/>
      </c>
      <c r="W675">
        <f>IF(OR(B675="",P675=""),"",P675-C675)</f>
        <v/>
      </c>
      <c r="X675">
        <f>IF(B675="","",IF(P675="","Aberto","Fechado"))</f>
        <v/>
      </c>
    </row>
    <row r="676">
      <c r="C676" s="6" t="n"/>
      <c r="E676" s="10" t="n"/>
      <c r="F676" s="11" t="n"/>
      <c r="G676" s="11" t="n"/>
      <c r="H676" s="11" t="n"/>
      <c r="J676" s="10" t="n"/>
      <c r="K676" s="11" t="n"/>
      <c r="L676" s="10" t="n"/>
      <c r="M676" s="11" t="n"/>
      <c r="N676" s="10" t="n"/>
      <c r="O676" s="11" t="n"/>
      <c r="P676" s="6" t="n"/>
      <c r="Q676" s="11" t="n"/>
      <c r="S676" s="8">
        <f>IF(B676="","",E676*F676)</f>
        <v/>
      </c>
      <c r="T676" s="8">
        <f>IF(OR(B676="",N(G676)=0),"",ABS(F676-G676)*E676)</f>
        <v/>
      </c>
      <c r="U676" s="8">
        <f>IF(OR(B676="",P676=""),"",IF(D676="Venda",-1,1)*((N(J676)*N(K676)+N(L676)*N(M676)+N(N676)*N(O676))-(N(J676)+N(L676)+N(N676))*F676)-N(Q676))</f>
        <v/>
      </c>
      <c r="V676" s="9">
        <f>IF(OR(B676="",P676=""),"",U676/S676)</f>
        <v/>
      </c>
      <c r="W676">
        <f>IF(OR(B676="",P676=""),"",P676-C676)</f>
        <v/>
      </c>
      <c r="X676">
        <f>IF(B676="","",IF(P676="","Aberto","Fechado"))</f>
        <v/>
      </c>
    </row>
    <row r="677">
      <c r="C677" s="6" t="n"/>
      <c r="E677" s="10" t="n"/>
      <c r="F677" s="11" t="n"/>
      <c r="G677" s="11" t="n"/>
      <c r="H677" s="11" t="n"/>
      <c r="J677" s="10" t="n"/>
      <c r="K677" s="11" t="n"/>
      <c r="L677" s="10" t="n"/>
      <c r="M677" s="11" t="n"/>
      <c r="N677" s="10" t="n"/>
      <c r="O677" s="11" t="n"/>
      <c r="P677" s="6" t="n"/>
      <c r="Q677" s="11" t="n"/>
      <c r="S677" s="8">
        <f>IF(B677="","",E677*F677)</f>
        <v/>
      </c>
      <c r="T677" s="8">
        <f>IF(OR(B677="",N(G677)=0),"",ABS(F677-G677)*E677)</f>
        <v/>
      </c>
      <c r="U677" s="8">
        <f>IF(OR(B677="",P677=""),"",IF(D677="Venda",-1,1)*((N(J677)*N(K677)+N(L677)*N(M677)+N(N677)*N(O677))-(N(J677)+N(L677)+N(N677))*F677)-N(Q677))</f>
        <v/>
      </c>
      <c r="V677" s="9">
        <f>IF(OR(B677="",P677=""),"",U677/S677)</f>
        <v/>
      </c>
      <c r="W677">
        <f>IF(OR(B677="",P677=""),"",P677-C677)</f>
        <v/>
      </c>
      <c r="X677">
        <f>IF(B677="","",IF(P677="","Aberto","Fechado"))</f>
        <v/>
      </c>
    </row>
    <row r="678">
      <c r="C678" s="6" t="n"/>
      <c r="E678" s="10" t="n"/>
      <c r="F678" s="11" t="n"/>
      <c r="G678" s="11" t="n"/>
      <c r="H678" s="11" t="n"/>
      <c r="J678" s="10" t="n"/>
      <c r="K678" s="11" t="n"/>
      <c r="L678" s="10" t="n"/>
      <c r="M678" s="11" t="n"/>
      <c r="N678" s="10" t="n"/>
      <c r="O678" s="11" t="n"/>
      <c r="P678" s="6" t="n"/>
      <c r="Q678" s="11" t="n"/>
      <c r="S678" s="8">
        <f>IF(B678="","",E678*F678)</f>
        <v/>
      </c>
      <c r="T678" s="8">
        <f>IF(OR(B678="",N(G678)=0),"",ABS(F678-G678)*E678)</f>
        <v/>
      </c>
      <c r="U678" s="8">
        <f>IF(OR(B678="",P678=""),"",IF(D678="Venda",-1,1)*((N(J678)*N(K678)+N(L678)*N(M678)+N(N678)*N(O678))-(N(J678)+N(L678)+N(N678))*F678)-N(Q678))</f>
        <v/>
      </c>
      <c r="V678" s="9">
        <f>IF(OR(B678="",P678=""),"",U678/S678)</f>
        <v/>
      </c>
      <c r="W678">
        <f>IF(OR(B678="",P678=""),"",P678-C678)</f>
        <v/>
      </c>
      <c r="X678">
        <f>IF(B678="","",IF(P678="","Aberto","Fechado"))</f>
        <v/>
      </c>
    </row>
    <row r="679">
      <c r="C679" s="6" t="n"/>
      <c r="E679" s="10" t="n"/>
      <c r="F679" s="11" t="n"/>
      <c r="G679" s="11" t="n"/>
      <c r="H679" s="11" t="n"/>
      <c r="J679" s="10" t="n"/>
      <c r="K679" s="11" t="n"/>
      <c r="L679" s="10" t="n"/>
      <c r="M679" s="11" t="n"/>
      <c r="N679" s="10" t="n"/>
      <c r="O679" s="11" t="n"/>
      <c r="P679" s="6" t="n"/>
      <c r="Q679" s="11" t="n"/>
      <c r="S679" s="8">
        <f>IF(B679="","",E679*F679)</f>
        <v/>
      </c>
      <c r="T679" s="8">
        <f>IF(OR(B679="",N(G679)=0),"",ABS(F679-G679)*E679)</f>
        <v/>
      </c>
      <c r="U679" s="8">
        <f>IF(OR(B679="",P679=""),"",IF(D679="Venda",-1,1)*((N(J679)*N(K679)+N(L679)*N(M679)+N(N679)*N(O679))-(N(J679)+N(L679)+N(N679))*F679)-N(Q679))</f>
        <v/>
      </c>
      <c r="V679" s="9">
        <f>IF(OR(B679="",P679=""),"",U679/S679)</f>
        <v/>
      </c>
      <c r="W679">
        <f>IF(OR(B679="",P679=""),"",P679-C679)</f>
        <v/>
      </c>
      <c r="X679">
        <f>IF(B679="","",IF(P679="","Aberto","Fechado"))</f>
        <v/>
      </c>
    </row>
    <row r="680">
      <c r="C680" s="6" t="n"/>
      <c r="E680" s="10" t="n"/>
      <c r="F680" s="11" t="n"/>
      <c r="G680" s="11" t="n"/>
      <c r="H680" s="11" t="n"/>
      <c r="J680" s="10" t="n"/>
      <c r="K680" s="11" t="n"/>
      <c r="L680" s="10" t="n"/>
      <c r="M680" s="11" t="n"/>
      <c r="N680" s="10" t="n"/>
      <c r="O680" s="11" t="n"/>
      <c r="P680" s="6" t="n"/>
      <c r="Q680" s="11" t="n"/>
      <c r="S680" s="8">
        <f>IF(B680="","",E680*F680)</f>
        <v/>
      </c>
      <c r="T680" s="8">
        <f>IF(OR(B680="",N(G680)=0),"",ABS(F680-G680)*E680)</f>
        <v/>
      </c>
      <c r="U680" s="8">
        <f>IF(OR(B680="",P680=""),"",IF(D680="Venda",-1,1)*((N(J680)*N(K680)+N(L680)*N(M680)+N(N680)*N(O680))-(N(J680)+N(L680)+N(N680))*F680)-N(Q680))</f>
        <v/>
      </c>
      <c r="V680" s="9">
        <f>IF(OR(B680="",P680=""),"",U680/S680)</f>
        <v/>
      </c>
      <c r="W680">
        <f>IF(OR(B680="",P680=""),"",P680-C680)</f>
        <v/>
      </c>
      <c r="X680">
        <f>IF(B680="","",IF(P680="","Aberto","Fechado"))</f>
        <v/>
      </c>
    </row>
    <row r="681">
      <c r="C681" s="6" t="n"/>
      <c r="E681" s="10" t="n"/>
      <c r="F681" s="11" t="n"/>
      <c r="G681" s="11" t="n"/>
      <c r="H681" s="11" t="n"/>
      <c r="J681" s="10" t="n"/>
      <c r="K681" s="11" t="n"/>
      <c r="L681" s="10" t="n"/>
      <c r="M681" s="11" t="n"/>
      <c r="N681" s="10" t="n"/>
      <c r="O681" s="11" t="n"/>
      <c r="P681" s="6" t="n"/>
      <c r="Q681" s="11" t="n"/>
      <c r="S681" s="8">
        <f>IF(B681="","",E681*F681)</f>
        <v/>
      </c>
      <c r="T681" s="8">
        <f>IF(OR(B681="",N(G681)=0),"",ABS(F681-G681)*E681)</f>
        <v/>
      </c>
      <c r="U681" s="8">
        <f>IF(OR(B681="",P681=""),"",IF(D681="Venda",-1,1)*((N(J681)*N(K681)+N(L681)*N(M681)+N(N681)*N(O681))-(N(J681)+N(L681)+N(N681))*F681)-N(Q681))</f>
        <v/>
      </c>
      <c r="V681" s="9">
        <f>IF(OR(B681="",P681=""),"",U681/S681)</f>
        <v/>
      </c>
      <c r="W681">
        <f>IF(OR(B681="",P681=""),"",P681-C681)</f>
        <v/>
      </c>
      <c r="X681">
        <f>IF(B681="","",IF(P681="","Aberto","Fechado"))</f>
        <v/>
      </c>
    </row>
    <row r="682">
      <c r="C682" s="6" t="n"/>
      <c r="E682" s="10" t="n"/>
      <c r="F682" s="11" t="n"/>
      <c r="G682" s="11" t="n"/>
      <c r="H682" s="11" t="n"/>
      <c r="J682" s="10" t="n"/>
      <c r="K682" s="11" t="n"/>
      <c r="L682" s="10" t="n"/>
      <c r="M682" s="11" t="n"/>
      <c r="N682" s="10" t="n"/>
      <c r="O682" s="11" t="n"/>
      <c r="P682" s="6" t="n"/>
      <c r="Q682" s="11" t="n"/>
      <c r="S682" s="8">
        <f>IF(B682="","",E682*F682)</f>
        <v/>
      </c>
      <c r="T682" s="8">
        <f>IF(OR(B682="",N(G682)=0),"",ABS(F682-G682)*E682)</f>
        <v/>
      </c>
      <c r="U682" s="8">
        <f>IF(OR(B682="",P682=""),"",IF(D682="Venda",-1,1)*((N(J682)*N(K682)+N(L682)*N(M682)+N(N682)*N(O682))-(N(J682)+N(L682)+N(N682))*F682)-N(Q682))</f>
        <v/>
      </c>
      <c r="V682" s="9">
        <f>IF(OR(B682="",P682=""),"",U682/S682)</f>
        <v/>
      </c>
      <c r="W682">
        <f>IF(OR(B682="",P682=""),"",P682-C682)</f>
        <v/>
      </c>
      <c r="X682">
        <f>IF(B682="","",IF(P682="","Aberto","Fechado"))</f>
        <v/>
      </c>
    </row>
    <row r="683">
      <c r="C683" s="6" t="n"/>
      <c r="E683" s="10" t="n"/>
      <c r="F683" s="11" t="n"/>
      <c r="G683" s="11" t="n"/>
      <c r="H683" s="11" t="n"/>
      <c r="J683" s="10" t="n"/>
      <c r="K683" s="11" t="n"/>
      <c r="L683" s="10" t="n"/>
      <c r="M683" s="11" t="n"/>
      <c r="N683" s="10" t="n"/>
      <c r="O683" s="11" t="n"/>
      <c r="P683" s="6" t="n"/>
      <c r="Q683" s="11" t="n"/>
      <c r="S683" s="8">
        <f>IF(B683="","",E683*F683)</f>
        <v/>
      </c>
      <c r="T683" s="8">
        <f>IF(OR(B683="",N(G683)=0),"",ABS(F683-G683)*E683)</f>
        <v/>
      </c>
      <c r="U683" s="8">
        <f>IF(OR(B683="",P683=""),"",IF(D683="Venda",-1,1)*((N(J683)*N(K683)+N(L683)*N(M683)+N(N683)*N(O683))-(N(J683)+N(L683)+N(N683))*F683)-N(Q683))</f>
        <v/>
      </c>
      <c r="V683" s="9">
        <f>IF(OR(B683="",P683=""),"",U683/S683)</f>
        <v/>
      </c>
      <c r="W683">
        <f>IF(OR(B683="",P683=""),"",P683-C683)</f>
        <v/>
      </c>
      <c r="X683">
        <f>IF(B683="","",IF(P683="","Aberto","Fechado"))</f>
        <v/>
      </c>
    </row>
    <row r="684">
      <c r="C684" s="6" t="n"/>
      <c r="E684" s="10" t="n"/>
      <c r="F684" s="11" t="n"/>
      <c r="G684" s="11" t="n"/>
      <c r="H684" s="11" t="n"/>
      <c r="J684" s="10" t="n"/>
      <c r="K684" s="11" t="n"/>
      <c r="L684" s="10" t="n"/>
      <c r="M684" s="11" t="n"/>
      <c r="N684" s="10" t="n"/>
      <c r="O684" s="11" t="n"/>
      <c r="P684" s="6" t="n"/>
      <c r="Q684" s="11" t="n"/>
      <c r="S684" s="8">
        <f>IF(B684="","",E684*F684)</f>
        <v/>
      </c>
      <c r="T684" s="8">
        <f>IF(OR(B684="",N(G684)=0),"",ABS(F684-G684)*E684)</f>
        <v/>
      </c>
      <c r="U684" s="8">
        <f>IF(OR(B684="",P684=""),"",IF(D684="Venda",-1,1)*((N(J684)*N(K684)+N(L684)*N(M684)+N(N684)*N(O684))-(N(J684)+N(L684)+N(N684))*F684)-N(Q684))</f>
        <v/>
      </c>
      <c r="V684" s="9">
        <f>IF(OR(B684="",P684=""),"",U684/S684)</f>
        <v/>
      </c>
      <c r="W684">
        <f>IF(OR(B684="",P684=""),"",P684-C684)</f>
        <v/>
      </c>
      <c r="X684">
        <f>IF(B684="","",IF(P684="","Aberto","Fechado"))</f>
        <v/>
      </c>
    </row>
    <row r="685">
      <c r="C685" s="6" t="n"/>
      <c r="E685" s="10" t="n"/>
      <c r="F685" s="11" t="n"/>
      <c r="G685" s="11" t="n"/>
      <c r="H685" s="11" t="n"/>
      <c r="J685" s="10" t="n"/>
      <c r="K685" s="11" t="n"/>
      <c r="L685" s="10" t="n"/>
      <c r="M685" s="11" t="n"/>
      <c r="N685" s="10" t="n"/>
      <c r="O685" s="11" t="n"/>
      <c r="P685" s="6" t="n"/>
      <c r="Q685" s="11" t="n"/>
      <c r="S685" s="8">
        <f>IF(B685="","",E685*F685)</f>
        <v/>
      </c>
      <c r="T685" s="8">
        <f>IF(OR(B685="",N(G685)=0),"",ABS(F685-G685)*E685)</f>
        <v/>
      </c>
      <c r="U685" s="8">
        <f>IF(OR(B685="",P685=""),"",IF(D685="Venda",-1,1)*((N(J685)*N(K685)+N(L685)*N(M685)+N(N685)*N(O685))-(N(J685)+N(L685)+N(N685))*F685)-N(Q685))</f>
        <v/>
      </c>
      <c r="V685" s="9">
        <f>IF(OR(B685="",P685=""),"",U685/S685)</f>
        <v/>
      </c>
      <c r="W685">
        <f>IF(OR(B685="",P685=""),"",P685-C685)</f>
        <v/>
      </c>
      <c r="X685">
        <f>IF(B685="","",IF(P685="","Aberto","Fechado"))</f>
        <v/>
      </c>
    </row>
    <row r="686">
      <c r="C686" s="6" t="n"/>
      <c r="E686" s="10" t="n"/>
      <c r="F686" s="11" t="n"/>
      <c r="G686" s="11" t="n"/>
      <c r="H686" s="11" t="n"/>
      <c r="J686" s="10" t="n"/>
      <c r="K686" s="11" t="n"/>
      <c r="L686" s="10" t="n"/>
      <c r="M686" s="11" t="n"/>
      <c r="N686" s="10" t="n"/>
      <c r="O686" s="11" t="n"/>
      <c r="P686" s="6" t="n"/>
      <c r="Q686" s="11" t="n"/>
      <c r="S686" s="8">
        <f>IF(B686="","",E686*F686)</f>
        <v/>
      </c>
      <c r="T686" s="8">
        <f>IF(OR(B686="",N(G686)=0),"",ABS(F686-G686)*E686)</f>
        <v/>
      </c>
      <c r="U686" s="8">
        <f>IF(OR(B686="",P686=""),"",IF(D686="Venda",-1,1)*((N(J686)*N(K686)+N(L686)*N(M686)+N(N686)*N(O686))-(N(J686)+N(L686)+N(N686))*F686)-N(Q686))</f>
        <v/>
      </c>
      <c r="V686" s="9">
        <f>IF(OR(B686="",P686=""),"",U686/S686)</f>
        <v/>
      </c>
      <c r="W686">
        <f>IF(OR(B686="",P686=""),"",P686-C686)</f>
        <v/>
      </c>
      <c r="X686">
        <f>IF(B686="","",IF(P686="","Aberto","Fechado"))</f>
        <v/>
      </c>
    </row>
    <row r="687">
      <c r="C687" s="6" t="n"/>
      <c r="E687" s="10" t="n"/>
      <c r="F687" s="11" t="n"/>
      <c r="G687" s="11" t="n"/>
      <c r="H687" s="11" t="n"/>
      <c r="J687" s="10" t="n"/>
      <c r="K687" s="11" t="n"/>
      <c r="L687" s="10" t="n"/>
      <c r="M687" s="11" t="n"/>
      <c r="N687" s="10" t="n"/>
      <c r="O687" s="11" t="n"/>
      <c r="P687" s="6" t="n"/>
      <c r="Q687" s="11" t="n"/>
      <c r="S687" s="8">
        <f>IF(B687="","",E687*F687)</f>
        <v/>
      </c>
      <c r="T687" s="8">
        <f>IF(OR(B687="",N(G687)=0),"",ABS(F687-G687)*E687)</f>
        <v/>
      </c>
      <c r="U687" s="8">
        <f>IF(OR(B687="",P687=""),"",IF(D687="Venda",-1,1)*((N(J687)*N(K687)+N(L687)*N(M687)+N(N687)*N(O687))-(N(J687)+N(L687)+N(N687))*F687)-N(Q687))</f>
        <v/>
      </c>
      <c r="V687" s="9">
        <f>IF(OR(B687="",P687=""),"",U687/S687)</f>
        <v/>
      </c>
      <c r="W687">
        <f>IF(OR(B687="",P687=""),"",P687-C687)</f>
        <v/>
      </c>
      <c r="X687">
        <f>IF(B687="","",IF(P687="","Aberto","Fechado"))</f>
        <v/>
      </c>
    </row>
    <row r="688">
      <c r="C688" s="6" t="n"/>
      <c r="E688" s="10" t="n"/>
      <c r="F688" s="11" t="n"/>
      <c r="G688" s="11" t="n"/>
      <c r="H688" s="11" t="n"/>
      <c r="J688" s="10" t="n"/>
      <c r="K688" s="11" t="n"/>
      <c r="L688" s="10" t="n"/>
      <c r="M688" s="11" t="n"/>
      <c r="N688" s="10" t="n"/>
      <c r="O688" s="11" t="n"/>
      <c r="P688" s="6" t="n"/>
      <c r="Q688" s="11" t="n"/>
      <c r="S688" s="8">
        <f>IF(B688="","",E688*F688)</f>
        <v/>
      </c>
      <c r="T688" s="8">
        <f>IF(OR(B688="",N(G688)=0),"",ABS(F688-G688)*E688)</f>
        <v/>
      </c>
      <c r="U688" s="8">
        <f>IF(OR(B688="",P688=""),"",IF(D688="Venda",-1,1)*((N(J688)*N(K688)+N(L688)*N(M688)+N(N688)*N(O688))-(N(J688)+N(L688)+N(N688))*F688)-N(Q688))</f>
        <v/>
      </c>
      <c r="V688" s="9">
        <f>IF(OR(B688="",P688=""),"",U688/S688)</f>
        <v/>
      </c>
      <c r="W688">
        <f>IF(OR(B688="",P688=""),"",P688-C688)</f>
        <v/>
      </c>
      <c r="X688">
        <f>IF(B688="","",IF(P688="","Aberto","Fechado"))</f>
        <v/>
      </c>
    </row>
    <row r="689">
      <c r="C689" s="6" t="n"/>
      <c r="E689" s="10" t="n"/>
      <c r="F689" s="11" t="n"/>
      <c r="G689" s="11" t="n"/>
      <c r="H689" s="11" t="n"/>
      <c r="J689" s="10" t="n"/>
      <c r="K689" s="11" t="n"/>
      <c r="L689" s="10" t="n"/>
      <c r="M689" s="11" t="n"/>
      <c r="N689" s="10" t="n"/>
      <c r="O689" s="11" t="n"/>
      <c r="P689" s="6" t="n"/>
      <c r="Q689" s="11" t="n"/>
      <c r="S689" s="8">
        <f>IF(B689="","",E689*F689)</f>
        <v/>
      </c>
      <c r="T689" s="8">
        <f>IF(OR(B689="",N(G689)=0),"",ABS(F689-G689)*E689)</f>
        <v/>
      </c>
      <c r="U689" s="8">
        <f>IF(OR(B689="",P689=""),"",IF(D689="Venda",-1,1)*((N(J689)*N(K689)+N(L689)*N(M689)+N(N689)*N(O689))-(N(J689)+N(L689)+N(N689))*F689)-N(Q689))</f>
        <v/>
      </c>
      <c r="V689" s="9">
        <f>IF(OR(B689="",P689=""),"",U689/S689)</f>
        <v/>
      </c>
      <c r="W689">
        <f>IF(OR(B689="",P689=""),"",P689-C689)</f>
        <v/>
      </c>
      <c r="X689">
        <f>IF(B689="","",IF(P689="","Aberto","Fechado"))</f>
        <v/>
      </c>
    </row>
    <row r="690">
      <c r="C690" s="6" t="n"/>
      <c r="E690" s="10" t="n"/>
      <c r="F690" s="11" t="n"/>
      <c r="G690" s="11" t="n"/>
      <c r="H690" s="11" t="n"/>
      <c r="J690" s="10" t="n"/>
      <c r="K690" s="11" t="n"/>
      <c r="L690" s="10" t="n"/>
      <c r="M690" s="11" t="n"/>
      <c r="N690" s="10" t="n"/>
      <c r="O690" s="11" t="n"/>
      <c r="P690" s="6" t="n"/>
      <c r="Q690" s="11" t="n"/>
      <c r="S690" s="8">
        <f>IF(B690="","",E690*F690)</f>
        <v/>
      </c>
      <c r="T690" s="8">
        <f>IF(OR(B690="",N(G690)=0),"",ABS(F690-G690)*E690)</f>
        <v/>
      </c>
      <c r="U690" s="8">
        <f>IF(OR(B690="",P690=""),"",IF(D690="Venda",-1,1)*((N(J690)*N(K690)+N(L690)*N(M690)+N(N690)*N(O690))-(N(J690)+N(L690)+N(N690))*F690)-N(Q690))</f>
        <v/>
      </c>
      <c r="V690" s="9">
        <f>IF(OR(B690="",P690=""),"",U690/S690)</f>
        <v/>
      </c>
      <c r="W690">
        <f>IF(OR(B690="",P690=""),"",P690-C690)</f>
        <v/>
      </c>
      <c r="X690">
        <f>IF(B690="","",IF(P690="","Aberto","Fechado"))</f>
        <v/>
      </c>
    </row>
    <row r="691">
      <c r="C691" s="6" t="n"/>
      <c r="E691" s="10" t="n"/>
      <c r="F691" s="11" t="n"/>
      <c r="G691" s="11" t="n"/>
      <c r="H691" s="11" t="n"/>
      <c r="J691" s="10" t="n"/>
      <c r="K691" s="11" t="n"/>
      <c r="L691" s="10" t="n"/>
      <c r="M691" s="11" t="n"/>
      <c r="N691" s="10" t="n"/>
      <c r="O691" s="11" t="n"/>
      <c r="P691" s="6" t="n"/>
      <c r="Q691" s="11" t="n"/>
      <c r="S691" s="8">
        <f>IF(B691="","",E691*F691)</f>
        <v/>
      </c>
      <c r="T691" s="8">
        <f>IF(OR(B691="",N(G691)=0),"",ABS(F691-G691)*E691)</f>
        <v/>
      </c>
      <c r="U691" s="8">
        <f>IF(OR(B691="",P691=""),"",IF(D691="Venda",-1,1)*((N(J691)*N(K691)+N(L691)*N(M691)+N(N691)*N(O691))-(N(J691)+N(L691)+N(N691))*F691)-N(Q691))</f>
        <v/>
      </c>
      <c r="V691" s="9">
        <f>IF(OR(B691="",P691=""),"",U691/S691)</f>
        <v/>
      </c>
      <c r="W691">
        <f>IF(OR(B691="",P691=""),"",P691-C691)</f>
        <v/>
      </c>
      <c r="X691">
        <f>IF(B691="","",IF(P691="","Aberto","Fechado"))</f>
        <v/>
      </c>
    </row>
    <row r="692">
      <c r="C692" s="6" t="n"/>
      <c r="E692" s="10" t="n"/>
      <c r="F692" s="11" t="n"/>
      <c r="G692" s="11" t="n"/>
      <c r="H692" s="11" t="n"/>
      <c r="J692" s="10" t="n"/>
      <c r="K692" s="11" t="n"/>
      <c r="L692" s="10" t="n"/>
      <c r="M692" s="11" t="n"/>
      <c r="N692" s="10" t="n"/>
      <c r="O692" s="11" t="n"/>
      <c r="P692" s="6" t="n"/>
      <c r="Q692" s="11" t="n"/>
      <c r="S692" s="8">
        <f>IF(B692="","",E692*F692)</f>
        <v/>
      </c>
      <c r="T692" s="8">
        <f>IF(OR(B692="",N(G692)=0),"",ABS(F692-G692)*E692)</f>
        <v/>
      </c>
      <c r="U692" s="8">
        <f>IF(OR(B692="",P692=""),"",IF(D692="Venda",-1,1)*((N(J692)*N(K692)+N(L692)*N(M692)+N(N692)*N(O692))-(N(J692)+N(L692)+N(N692))*F692)-N(Q692))</f>
        <v/>
      </c>
      <c r="V692" s="9">
        <f>IF(OR(B692="",P692=""),"",U692/S692)</f>
        <v/>
      </c>
      <c r="W692">
        <f>IF(OR(B692="",P692=""),"",P692-C692)</f>
        <v/>
      </c>
      <c r="X692">
        <f>IF(B692="","",IF(P692="","Aberto","Fechado"))</f>
        <v/>
      </c>
    </row>
    <row r="693">
      <c r="C693" s="6" t="n"/>
      <c r="E693" s="10" t="n"/>
      <c r="F693" s="11" t="n"/>
      <c r="G693" s="11" t="n"/>
      <c r="H693" s="11" t="n"/>
      <c r="J693" s="10" t="n"/>
      <c r="K693" s="11" t="n"/>
      <c r="L693" s="10" t="n"/>
      <c r="M693" s="11" t="n"/>
      <c r="N693" s="10" t="n"/>
      <c r="O693" s="11" t="n"/>
      <c r="P693" s="6" t="n"/>
      <c r="Q693" s="11" t="n"/>
      <c r="S693" s="8">
        <f>IF(B693="","",E693*F693)</f>
        <v/>
      </c>
      <c r="T693" s="8">
        <f>IF(OR(B693="",N(G693)=0),"",ABS(F693-G693)*E693)</f>
        <v/>
      </c>
      <c r="U693" s="8">
        <f>IF(OR(B693="",P693=""),"",IF(D693="Venda",-1,1)*((N(J693)*N(K693)+N(L693)*N(M693)+N(N693)*N(O693))-(N(J693)+N(L693)+N(N693))*F693)-N(Q693))</f>
        <v/>
      </c>
      <c r="V693" s="9">
        <f>IF(OR(B693="",P693=""),"",U693/S693)</f>
        <v/>
      </c>
      <c r="W693">
        <f>IF(OR(B693="",P693=""),"",P693-C693)</f>
        <v/>
      </c>
      <c r="X693">
        <f>IF(B693="","",IF(P693="","Aberto","Fechado"))</f>
        <v/>
      </c>
    </row>
    <row r="694">
      <c r="C694" s="6" t="n"/>
      <c r="E694" s="10" t="n"/>
      <c r="F694" s="11" t="n"/>
      <c r="G694" s="11" t="n"/>
      <c r="H694" s="11" t="n"/>
      <c r="J694" s="10" t="n"/>
      <c r="K694" s="11" t="n"/>
      <c r="L694" s="10" t="n"/>
      <c r="M694" s="11" t="n"/>
      <c r="N694" s="10" t="n"/>
      <c r="O694" s="11" t="n"/>
      <c r="P694" s="6" t="n"/>
      <c r="Q694" s="11" t="n"/>
      <c r="S694" s="8">
        <f>IF(B694="","",E694*F694)</f>
        <v/>
      </c>
      <c r="T694" s="8">
        <f>IF(OR(B694="",N(G694)=0),"",ABS(F694-G694)*E694)</f>
        <v/>
      </c>
      <c r="U694" s="8">
        <f>IF(OR(B694="",P694=""),"",IF(D694="Venda",-1,1)*((N(J694)*N(K694)+N(L694)*N(M694)+N(N694)*N(O694))-(N(J694)+N(L694)+N(N694))*F694)-N(Q694))</f>
        <v/>
      </c>
      <c r="V694" s="9">
        <f>IF(OR(B694="",P694=""),"",U694/S694)</f>
        <v/>
      </c>
      <c r="W694">
        <f>IF(OR(B694="",P694=""),"",P694-C694)</f>
        <v/>
      </c>
      <c r="X694">
        <f>IF(B694="","",IF(P694="","Aberto","Fechado"))</f>
        <v/>
      </c>
    </row>
    <row r="695">
      <c r="C695" s="6" t="n"/>
      <c r="E695" s="10" t="n"/>
      <c r="F695" s="11" t="n"/>
      <c r="G695" s="11" t="n"/>
      <c r="H695" s="11" t="n"/>
      <c r="J695" s="10" t="n"/>
      <c r="K695" s="11" t="n"/>
      <c r="L695" s="10" t="n"/>
      <c r="M695" s="11" t="n"/>
      <c r="N695" s="10" t="n"/>
      <c r="O695" s="11" t="n"/>
      <c r="P695" s="6" t="n"/>
      <c r="Q695" s="11" t="n"/>
      <c r="S695" s="8">
        <f>IF(B695="","",E695*F695)</f>
        <v/>
      </c>
      <c r="T695" s="8">
        <f>IF(OR(B695="",N(G695)=0),"",ABS(F695-G695)*E695)</f>
        <v/>
      </c>
      <c r="U695" s="8">
        <f>IF(OR(B695="",P695=""),"",IF(D695="Venda",-1,1)*((N(J695)*N(K695)+N(L695)*N(M695)+N(N695)*N(O695))-(N(J695)+N(L695)+N(N695))*F695)-N(Q695))</f>
        <v/>
      </c>
      <c r="V695" s="9">
        <f>IF(OR(B695="",P695=""),"",U695/S695)</f>
        <v/>
      </c>
      <c r="W695">
        <f>IF(OR(B695="",P695=""),"",P695-C695)</f>
        <v/>
      </c>
      <c r="X695">
        <f>IF(B695="","",IF(P695="","Aberto","Fechado"))</f>
        <v/>
      </c>
    </row>
    <row r="696">
      <c r="C696" s="6" t="n"/>
      <c r="E696" s="10" t="n"/>
      <c r="F696" s="11" t="n"/>
      <c r="G696" s="11" t="n"/>
      <c r="H696" s="11" t="n"/>
      <c r="J696" s="10" t="n"/>
      <c r="K696" s="11" t="n"/>
      <c r="L696" s="10" t="n"/>
      <c r="M696" s="11" t="n"/>
      <c r="N696" s="10" t="n"/>
      <c r="O696" s="11" t="n"/>
      <c r="P696" s="6" t="n"/>
      <c r="Q696" s="11" t="n"/>
      <c r="S696" s="8">
        <f>IF(B696="","",E696*F696)</f>
        <v/>
      </c>
      <c r="T696" s="8">
        <f>IF(OR(B696="",N(G696)=0),"",ABS(F696-G696)*E696)</f>
        <v/>
      </c>
      <c r="U696" s="8">
        <f>IF(OR(B696="",P696=""),"",IF(D696="Venda",-1,1)*((N(J696)*N(K696)+N(L696)*N(M696)+N(N696)*N(O696))-(N(J696)+N(L696)+N(N696))*F696)-N(Q696))</f>
        <v/>
      </c>
      <c r="V696" s="9">
        <f>IF(OR(B696="",P696=""),"",U696/S696)</f>
        <v/>
      </c>
      <c r="W696">
        <f>IF(OR(B696="",P696=""),"",P696-C696)</f>
        <v/>
      </c>
      <c r="X696">
        <f>IF(B696="","",IF(P696="","Aberto","Fechado"))</f>
        <v/>
      </c>
    </row>
    <row r="697">
      <c r="C697" s="6" t="n"/>
      <c r="E697" s="10" t="n"/>
      <c r="F697" s="11" t="n"/>
      <c r="G697" s="11" t="n"/>
      <c r="H697" s="11" t="n"/>
      <c r="J697" s="10" t="n"/>
      <c r="K697" s="11" t="n"/>
      <c r="L697" s="10" t="n"/>
      <c r="M697" s="11" t="n"/>
      <c r="N697" s="10" t="n"/>
      <c r="O697" s="11" t="n"/>
      <c r="P697" s="6" t="n"/>
      <c r="Q697" s="11" t="n"/>
      <c r="S697" s="8">
        <f>IF(B697="","",E697*F697)</f>
        <v/>
      </c>
      <c r="T697" s="8">
        <f>IF(OR(B697="",N(G697)=0),"",ABS(F697-G697)*E697)</f>
        <v/>
      </c>
      <c r="U697" s="8">
        <f>IF(OR(B697="",P697=""),"",IF(D697="Venda",-1,1)*((N(J697)*N(K697)+N(L697)*N(M697)+N(N697)*N(O697))-(N(J697)+N(L697)+N(N697))*F697)-N(Q697))</f>
        <v/>
      </c>
      <c r="V697" s="9">
        <f>IF(OR(B697="",P697=""),"",U697/S697)</f>
        <v/>
      </c>
      <c r="W697">
        <f>IF(OR(B697="",P697=""),"",P697-C697)</f>
        <v/>
      </c>
      <c r="X697">
        <f>IF(B697="","",IF(P697="","Aberto","Fechado"))</f>
        <v/>
      </c>
    </row>
    <row r="698">
      <c r="C698" s="6" t="n"/>
      <c r="E698" s="10" t="n"/>
      <c r="F698" s="11" t="n"/>
      <c r="G698" s="11" t="n"/>
      <c r="H698" s="11" t="n"/>
      <c r="J698" s="10" t="n"/>
      <c r="K698" s="11" t="n"/>
      <c r="L698" s="10" t="n"/>
      <c r="M698" s="11" t="n"/>
      <c r="N698" s="10" t="n"/>
      <c r="O698" s="11" t="n"/>
      <c r="P698" s="6" t="n"/>
      <c r="Q698" s="11" t="n"/>
      <c r="S698" s="8">
        <f>IF(B698="","",E698*F698)</f>
        <v/>
      </c>
      <c r="T698" s="8">
        <f>IF(OR(B698="",N(G698)=0),"",ABS(F698-G698)*E698)</f>
        <v/>
      </c>
      <c r="U698" s="8">
        <f>IF(OR(B698="",P698=""),"",IF(D698="Venda",-1,1)*((N(J698)*N(K698)+N(L698)*N(M698)+N(N698)*N(O698))-(N(J698)+N(L698)+N(N698))*F698)-N(Q698))</f>
        <v/>
      </c>
      <c r="V698" s="9">
        <f>IF(OR(B698="",P698=""),"",U698/S698)</f>
        <v/>
      </c>
      <c r="W698">
        <f>IF(OR(B698="",P698=""),"",P698-C698)</f>
        <v/>
      </c>
      <c r="X698">
        <f>IF(B698="","",IF(P698="","Aberto","Fechado"))</f>
        <v/>
      </c>
    </row>
    <row r="699">
      <c r="C699" s="6" t="n"/>
      <c r="E699" s="10" t="n"/>
      <c r="F699" s="11" t="n"/>
      <c r="G699" s="11" t="n"/>
      <c r="H699" s="11" t="n"/>
      <c r="J699" s="10" t="n"/>
      <c r="K699" s="11" t="n"/>
      <c r="L699" s="10" t="n"/>
      <c r="M699" s="11" t="n"/>
      <c r="N699" s="10" t="n"/>
      <c r="O699" s="11" t="n"/>
      <c r="P699" s="6" t="n"/>
      <c r="Q699" s="11" t="n"/>
      <c r="S699" s="8">
        <f>IF(B699="","",E699*F699)</f>
        <v/>
      </c>
      <c r="T699" s="8">
        <f>IF(OR(B699="",N(G699)=0),"",ABS(F699-G699)*E699)</f>
        <v/>
      </c>
      <c r="U699" s="8">
        <f>IF(OR(B699="",P699=""),"",IF(D699="Venda",-1,1)*((N(J699)*N(K699)+N(L699)*N(M699)+N(N699)*N(O699))-(N(J699)+N(L699)+N(N699))*F699)-N(Q699))</f>
        <v/>
      </c>
      <c r="V699" s="9">
        <f>IF(OR(B699="",P699=""),"",U699/S699)</f>
        <v/>
      </c>
      <c r="W699">
        <f>IF(OR(B699="",P699=""),"",P699-C699)</f>
        <v/>
      </c>
      <c r="X699">
        <f>IF(B699="","",IF(P699="","Aberto","Fechado"))</f>
        <v/>
      </c>
    </row>
    <row r="700">
      <c r="C700" s="6" t="n"/>
      <c r="E700" s="10" t="n"/>
      <c r="F700" s="11" t="n"/>
      <c r="G700" s="11" t="n"/>
      <c r="H700" s="11" t="n"/>
      <c r="J700" s="10" t="n"/>
      <c r="K700" s="11" t="n"/>
      <c r="L700" s="10" t="n"/>
      <c r="M700" s="11" t="n"/>
      <c r="N700" s="10" t="n"/>
      <c r="O700" s="11" t="n"/>
      <c r="P700" s="6" t="n"/>
      <c r="Q700" s="11" t="n"/>
      <c r="S700" s="8">
        <f>IF(B700="","",E700*F700)</f>
        <v/>
      </c>
      <c r="T700" s="8">
        <f>IF(OR(B700="",N(G700)=0),"",ABS(F700-G700)*E700)</f>
        <v/>
      </c>
      <c r="U700" s="8">
        <f>IF(OR(B700="",P700=""),"",IF(D700="Venda",-1,1)*((N(J700)*N(K700)+N(L700)*N(M700)+N(N700)*N(O700))-(N(J700)+N(L700)+N(N700))*F700)-N(Q700))</f>
        <v/>
      </c>
      <c r="V700" s="9">
        <f>IF(OR(B700="",P700=""),"",U700/S700)</f>
        <v/>
      </c>
      <c r="W700">
        <f>IF(OR(B700="",P700=""),"",P700-C700)</f>
        <v/>
      </c>
      <c r="X700">
        <f>IF(B700="","",IF(P700="","Aberto","Fechado"))</f>
        <v/>
      </c>
    </row>
    <row r="701">
      <c r="C701" s="6" t="n"/>
      <c r="E701" s="10" t="n"/>
      <c r="F701" s="11" t="n"/>
      <c r="G701" s="11" t="n"/>
      <c r="H701" s="11" t="n"/>
      <c r="J701" s="10" t="n"/>
      <c r="K701" s="11" t="n"/>
      <c r="L701" s="10" t="n"/>
      <c r="M701" s="11" t="n"/>
      <c r="N701" s="10" t="n"/>
      <c r="O701" s="11" t="n"/>
      <c r="P701" s="6" t="n"/>
      <c r="Q701" s="11" t="n"/>
      <c r="S701" s="8">
        <f>IF(B701="","",E701*F701)</f>
        <v/>
      </c>
      <c r="T701" s="8">
        <f>IF(OR(B701="",N(G701)=0),"",ABS(F701-G701)*E701)</f>
        <v/>
      </c>
      <c r="U701" s="8">
        <f>IF(OR(B701="",P701=""),"",IF(D701="Venda",-1,1)*((N(J701)*N(K701)+N(L701)*N(M701)+N(N701)*N(O701))-(N(J701)+N(L701)+N(N701))*F701)-N(Q701))</f>
        <v/>
      </c>
      <c r="V701" s="9">
        <f>IF(OR(B701="",P701=""),"",U701/S701)</f>
        <v/>
      </c>
      <c r="W701">
        <f>IF(OR(B701="",P701=""),"",P701-C701)</f>
        <v/>
      </c>
      <c r="X701">
        <f>IF(B701="","",IF(P701="","Aberto","Fechado"))</f>
        <v/>
      </c>
    </row>
    <row r="702">
      <c r="C702" s="6" t="n"/>
      <c r="E702" s="10" t="n"/>
      <c r="F702" s="11" t="n"/>
      <c r="G702" s="11" t="n"/>
      <c r="H702" s="11" t="n"/>
      <c r="J702" s="10" t="n"/>
      <c r="K702" s="11" t="n"/>
      <c r="L702" s="10" t="n"/>
      <c r="M702" s="11" t="n"/>
      <c r="N702" s="10" t="n"/>
      <c r="O702" s="11" t="n"/>
      <c r="P702" s="6" t="n"/>
      <c r="Q702" s="11" t="n"/>
      <c r="S702" s="8">
        <f>IF(B702="","",E702*F702)</f>
        <v/>
      </c>
      <c r="T702" s="8">
        <f>IF(OR(B702="",N(G702)=0),"",ABS(F702-G702)*E702)</f>
        <v/>
      </c>
      <c r="U702" s="8">
        <f>IF(OR(B702="",P702=""),"",IF(D702="Venda",-1,1)*((N(J702)*N(K702)+N(L702)*N(M702)+N(N702)*N(O702))-(N(J702)+N(L702)+N(N702))*F702)-N(Q702))</f>
        <v/>
      </c>
      <c r="V702" s="9">
        <f>IF(OR(B702="",P702=""),"",U702/S702)</f>
        <v/>
      </c>
      <c r="W702">
        <f>IF(OR(B702="",P702=""),"",P702-C702)</f>
        <v/>
      </c>
      <c r="X702">
        <f>IF(B702="","",IF(P702="","Aberto","Fechado"))</f>
        <v/>
      </c>
    </row>
    <row r="703">
      <c r="C703" s="6" t="n"/>
      <c r="E703" s="10" t="n"/>
      <c r="F703" s="11" t="n"/>
      <c r="G703" s="11" t="n"/>
      <c r="H703" s="11" t="n"/>
      <c r="J703" s="10" t="n"/>
      <c r="K703" s="11" t="n"/>
      <c r="L703" s="10" t="n"/>
      <c r="M703" s="11" t="n"/>
      <c r="N703" s="10" t="n"/>
      <c r="O703" s="11" t="n"/>
      <c r="P703" s="6" t="n"/>
      <c r="Q703" s="11" t="n"/>
      <c r="S703" s="8">
        <f>IF(B703="","",E703*F703)</f>
        <v/>
      </c>
      <c r="T703" s="8">
        <f>IF(OR(B703="",N(G703)=0),"",ABS(F703-G703)*E703)</f>
        <v/>
      </c>
      <c r="U703" s="8">
        <f>IF(OR(B703="",P703=""),"",IF(D703="Venda",-1,1)*((N(J703)*N(K703)+N(L703)*N(M703)+N(N703)*N(O703))-(N(J703)+N(L703)+N(N703))*F703)-N(Q703))</f>
        <v/>
      </c>
      <c r="V703" s="9">
        <f>IF(OR(B703="",P703=""),"",U703/S703)</f>
        <v/>
      </c>
      <c r="W703">
        <f>IF(OR(B703="",P703=""),"",P703-C703)</f>
        <v/>
      </c>
      <c r="X703">
        <f>IF(B703="","",IF(P703="","Aberto","Fechado"))</f>
        <v/>
      </c>
    </row>
    <row r="704">
      <c r="C704" s="6" t="n"/>
      <c r="E704" s="10" t="n"/>
      <c r="F704" s="11" t="n"/>
      <c r="G704" s="11" t="n"/>
      <c r="H704" s="11" t="n"/>
      <c r="J704" s="10" t="n"/>
      <c r="K704" s="11" t="n"/>
      <c r="L704" s="10" t="n"/>
      <c r="M704" s="11" t="n"/>
      <c r="N704" s="10" t="n"/>
      <c r="O704" s="11" t="n"/>
      <c r="P704" s="6" t="n"/>
      <c r="Q704" s="11" t="n"/>
      <c r="S704" s="8">
        <f>IF(B704="","",E704*F704)</f>
        <v/>
      </c>
      <c r="T704" s="8">
        <f>IF(OR(B704="",N(G704)=0),"",ABS(F704-G704)*E704)</f>
        <v/>
      </c>
      <c r="U704" s="8">
        <f>IF(OR(B704="",P704=""),"",IF(D704="Venda",-1,1)*((N(J704)*N(K704)+N(L704)*N(M704)+N(N704)*N(O704))-(N(J704)+N(L704)+N(N704))*F704)-N(Q704))</f>
        <v/>
      </c>
      <c r="V704" s="9">
        <f>IF(OR(B704="",P704=""),"",U704/S704)</f>
        <v/>
      </c>
      <c r="W704">
        <f>IF(OR(B704="",P704=""),"",P704-C704)</f>
        <v/>
      </c>
      <c r="X704">
        <f>IF(B704="","",IF(P704="","Aberto","Fechado"))</f>
        <v/>
      </c>
    </row>
    <row r="705">
      <c r="C705" s="6" t="n"/>
      <c r="E705" s="10" t="n"/>
      <c r="F705" s="11" t="n"/>
      <c r="G705" s="11" t="n"/>
      <c r="H705" s="11" t="n"/>
      <c r="J705" s="10" t="n"/>
      <c r="K705" s="11" t="n"/>
      <c r="L705" s="10" t="n"/>
      <c r="M705" s="11" t="n"/>
      <c r="N705" s="10" t="n"/>
      <c r="O705" s="11" t="n"/>
      <c r="P705" s="6" t="n"/>
      <c r="Q705" s="11" t="n"/>
      <c r="S705" s="8">
        <f>IF(B705="","",E705*F705)</f>
        <v/>
      </c>
      <c r="T705" s="8">
        <f>IF(OR(B705="",N(G705)=0),"",ABS(F705-G705)*E705)</f>
        <v/>
      </c>
      <c r="U705" s="8">
        <f>IF(OR(B705="",P705=""),"",IF(D705="Venda",-1,1)*((N(J705)*N(K705)+N(L705)*N(M705)+N(N705)*N(O705))-(N(J705)+N(L705)+N(N705))*F705)-N(Q705))</f>
        <v/>
      </c>
      <c r="V705" s="9">
        <f>IF(OR(B705="",P705=""),"",U705/S705)</f>
        <v/>
      </c>
      <c r="W705">
        <f>IF(OR(B705="",P705=""),"",P705-C705)</f>
        <v/>
      </c>
      <c r="X705">
        <f>IF(B705="","",IF(P705="","Aberto","Fechado"))</f>
        <v/>
      </c>
    </row>
    <row r="706">
      <c r="C706" s="6" t="n"/>
      <c r="E706" s="10" t="n"/>
      <c r="F706" s="11" t="n"/>
      <c r="G706" s="11" t="n"/>
      <c r="H706" s="11" t="n"/>
      <c r="J706" s="10" t="n"/>
      <c r="K706" s="11" t="n"/>
      <c r="L706" s="10" t="n"/>
      <c r="M706" s="11" t="n"/>
      <c r="N706" s="10" t="n"/>
      <c r="O706" s="11" t="n"/>
      <c r="P706" s="6" t="n"/>
      <c r="Q706" s="11" t="n"/>
      <c r="S706" s="8">
        <f>IF(B706="","",E706*F706)</f>
        <v/>
      </c>
      <c r="T706" s="8">
        <f>IF(OR(B706="",N(G706)=0),"",ABS(F706-G706)*E706)</f>
        <v/>
      </c>
      <c r="U706" s="8">
        <f>IF(OR(B706="",P706=""),"",IF(D706="Venda",-1,1)*((N(J706)*N(K706)+N(L706)*N(M706)+N(N706)*N(O706))-(N(J706)+N(L706)+N(N706))*F706)-N(Q706))</f>
        <v/>
      </c>
      <c r="V706" s="9">
        <f>IF(OR(B706="",P706=""),"",U706/S706)</f>
        <v/>
      </c>
      <c r="W706">
        <f>IF(OR(B706="",P706=""),"",P706-C706)</f>
        <v/>
      </c>
      <c r="X706">
        <f>IF(B706="","",IF(P706="","Aberto","Fechado"))</f>
        <v/>
      </c>
    </row>
    <row r="707">
      <c r="C707" s="6" t="n"/>
      <c r="E707" s="10" t="n"/>
      <c r="F707" s="11" t="n"/>
      <c r="G707" s="11" t="n"/>
      <c r="H707" s="11" t="n"/>
      <c r="J707" s="10" t="n"/>
      <c r="K707" s="11" t="n"/>
      <c r="L707" s="10" t="n"/>
      <c r="M707" s="11" t="n"/>
      <c r="N707" s="10" t="n"/>
      <c r="O707" s="11" t="n"/>
      <c r="P707" s="6" t="n"/>
      <c r="Q707" s="11" t="n"/>
      <c r="S707" s="8">
        <f>IF(B707="","",E707*F707)</f>
        <v/>
      </c>
      <c r="T707" s="8">
        <f>IF(OR(B707="",N(G707)=0),"",ABS(F707-G707)*E707)</f>
        <v/>
      </c>
      <c r="U707" s="8">
        <f>IF(OR(B707="",P707=""),"",IF(D707="Venda",-1,1)*((N(J707)*N(K707)+N(L707)*N(M707)+N(N707)*N(O707))-(N(J707)+N(L707)+N(N707))*F707)-N(Q707))</f>
        <v/>
      </c>
      <c r="V707" s="9">
        <f>IF(OR(B707="",P707=""),"",U707/S707)</f>
        <v/>
      </c>
      <c r="W707">
        <f>IF(OR(B707="",P707=""),"",P707-C707)</f>
        <v/>
      </c>
      <c r="X707">
        <f>IF(B707="","",IF(P707="","Aberto","Fechado"))</f>
        <v/>
      </c>
    </row>
    <row r="708">
      <c r="C708" s="6" t="n"/>
      <c r="E708" s="10" t="n"/>
      <c r="F708" s="11" t="n"/>
      <c r="G708" s="11" t="n"/>
      <c r="H708" s="11" t="n"/>
      <c r="J708" s="10" t="n"/>
      <c r="K708" s="11" t="n"/>
      <c r="L708" s="10" t="n"/>
      <c r="M708" s="11" t="n"/>
      <c r="N708" s="10" t="n"/>
      <c r="O708" s="11" t="n"/>
      <c r="P708" s="6" t="n"/>
      <c r="Q708" s="11" t="n"/>
      <c r="S708" s="8">
        <f>IF(B708="","",E708*F708)</f>
        <v/>
      </c>
      <c r="T708" s="8">
        <f>IF(OR(B708="",N(G708)=0),"",ABS(F708-G708)*E708)</f>
        <v/>
      </c>
      <c r="U708" s="8">
        <f>IF(OR(B708="",P708=""),"",IF(D708="Venda",-1,1)*((N(J708)*N(K708)+N(L708)*N(M708)+N(N708)*N(O708))-(N(J708)+N(L708)+N(N708))*F708)-N(Q708))</f>
        <v/>
      </c>
      <c r="V708" s="9">
        <f>IF(OR(B708="",P708=""),"",U708/S708)</f>
        <v/>
      </c>
      <c r="W708">
        <f>IF(OR(B708="",P708=""),"",P708-C708)</f>
        <v/>
      </c>
      <c r="X708">
        <f>IF(B708="","",IF(P708="","Aberto","Fechado"))</f>
        <v/>
      </c>
    </row>
    <row r="709">
      <c r="C709" s="6" t="n"/>
      <c r="E709" s="10" t="n"/>
      <c r="F709" s="11" t="n"/>
      <c r="G709" s="11" t="n"/>
      <c r="H709" s="11" t="n"/>
      <c r="J709" s="10" t="n"/>
      <c r="K709" s="11" t="n"/>
      <c r="L709" s="10" t="n"/>
      <c r="M709" s="11" t="n"/>
      <c r="N709" s="10" t="n"/>
      <c r="O709" s="11" t="n"/>
      <c r="P709" s="6" t="n"/>
      <c r="Q709" s="11" t="n"/>
      <c r="S709" s="8">
        <f>IF(B709="","",E709*F709)</f>
        <v/>
      </c>
      <c r="T709" s="8">
        <f>IF(OR(B709="",N(G709)=0),"",ABS(F709-G709)*E709)</f>
        <v/>
      </c>
      <c r="U709" s="8">
        <f>IF(OR(B709="",P709=""),"",IF(D709="Venda",-1,1)*((N(J709)*N(K709)+N(L709)*N(M709)+N(N709)*N(O709))-(N(J709)+N(L709)+N(N709))*F709)-N(Q709))</f>
        <v/>
      </c>
      <c r="V709" s="9">
        <f>IF(OR(B709="",P709=""),"",U709/S709)</f>
        <v/>
      </c>
      <c r="W709">
        <f>IF(OR(B709="",P709=""),"",P709-C709)</f>
        <v/>
      </c>
      <c r="X709">
        <f>IF(B709="","",IF(P709="","Aberto","Fechado"))</f>
        <v/>
      </c>
    </row>
    <row r="710">
      <c r="C710" s="6" t="n"/>
      <c r="E710" s="10" t="n"/>
      <c r="F710" s="11" t="n"/>
      <c r="G710" s="11" t="n"/>
      <c r="H710" s="11" t="n"/>
      <c r="J710" s="10" t="n"/>
      <c r="K710" s="11" t="n"/>
      <c r="L710" s="10" t="n"/>
      <c r="M710" s="11" t="n"/>
      <c r="N710" s="10" t="n"/>
      <c r="O710" s="11" t="n"/>
      <c r="P710" s="6" t="n"/>
      <c r="Q710" s="11" t="n"/>
      <c r="S710" s="8">
        <f>IF(B710="","",E710*F710)</f>
        <v/>
      </c>
      <c r="T710" s="8">
        <f>IF(OR(B710="",N(G710)=0),"",ABS(F710-G710)*E710)</f>
        <v/>
      </c>
      <c r="U710" s="8">
        <f>IF(OR(B710="",P710=""),"",IF(D710="Venda",-1,1)*((N(J710)*N(K710)+N(L710)*N(M710)+N(N710)*N(O710))-(N(J710)+N(L710)+N(N710))*F710)-N(Q710))</f>
        <v/>
      </c>
      <c r="V710" s="9">
        <f>IF(OR(B710="",P710=""),"",U710/S710)</f>
        <v/>
      </c>
      <c r="W710">
        <f>IF(OR(B710="",P710=""),"",P710-C710)</f>
        <v/>
      </c>
      <c r="X710">
        <f>IF(B710="","",IF(P710="","Aberto","Fechado"))</f>
        <v/>
      </c>
    </row>
    <row r="711">
      <c r="C711" s="6" t="n"/>
      <c r="E711" s="10" t="n"/>
      <c r="F711" s="11" t="n"/>
      <c r="G711" s="11" t="n"/>
      <c r="H711" s="11" t="n"/>
      <c r="J711" s="10" t="n"/>
      <c r="K711" s="11" t="n"/>
      <c r="L711" s="10" t="n"/>
      <c r="M711" s="11" t="n"/>
      <c r="N711" s="10" t="n"/>
      <c r="O711" s="11" t="n"/>
      <c r="P711" s="6" t="n"/>
      <c r="Q711" s="11" t="n"/>
      <c r="S711" s="8">
        <f>IF(B711="","",E711*F711)</f>
        <v/>
      </c>
      <c r="T711" s="8">
        <f>IF(OR(B711="",N(G711)=0),"",ABS(F711-G711)*E711)</f>
        <v/>
      </c>
      <c r="U711" s="8">
        <f>IF(OR(B711="",P711=""),"",IF(D711="Venda",-1,1)*((N(J711)*N(K711)+N(L711)*N(M711)+N(N711)*N(O711))-(N(J711)+N(L711)+N(N711))*F711)-N(Q711))</f>
        <v/>
      </c>
      <c r="V711" s="9">
        <f>IF(OR(B711="",P711=""),"",U711/S711)</f>
        <v/>
      </c>
      <c r="W711">
        <f>IF(OR(B711="",P711=""),"",P711-C711)</f>
        <v/>
      </c>
      <c r="X711">
        <f>IF(B711="","",IF(P711="","Aberto","Fechado"))</f>
        <v/>
      </c>
    </row>
    <row r="712">
      <c r="C712" s="6" t="n"/>
      <c r="E712" s="10" t="n"/>
      <c r="F712" s="11" t="n"/>
      <c r="G712" s="11" t="n"/>
      <c r="H712" s="11" t="n"/>
      <c r="J712" s="10" t="n"/>
      <c r="K712" s="11" t="n"/>
      <c r="L712" s="10" t="n"/>
      <c r="M712" s="11" t="n"/>
      <c r="N712" s="10" t="n"/>
      <c r="O712" s="11" t="n"/>
      <c r="P712" s="6" t="n"/>
      <c r="Q712" s="11" t="n"/>
      <c r="S712" s="8">
        <f>IF(B712="","",E712*F712)</f>
        <v/>
      </c>
      <c r="T712" s="8">
        <f>IF(OR(B712="",N(G712)=0),"",ABS(F712-G712)*E712)</f>
        <v/>
      </c>
      <c r="U712" s="8">
        <f>IF(OR(B712="",P712=""),"",IF(D712="Venda",-1,1)*((N(J712)*N(K712)+N(L712)*N(M712)+N(N712)*N(O712))-(N(J712)+N(L712)+N(N712))*F712)-N(Q712))</f>
        <v/>
      </c>
      <c r="V712" s="9">
        <f>IF(OR(B712="",P712=""),"",U712/S712)</f>
        <v/>
      </c>
      <c r="W712">
        <f>IF(OR(B712="",P712=""),"",P712-C712)</f>
        <v/>
      </c>
      <c r="X712">
        <f>IF(B712="","",IF(P712="","Aberto","Fechado"))</f>
        <v/>
      </c>
    </row>
    <row r="713">
      <c r="C713" s="6" t="n"/>
      <c r="E713" s="10" t="n"/>
      <c r="F713" s="11" t="n"/>
      <c r="G713" s="11" t="n"/>
      <c r="H713" s="11" t="n"/>
      <c r="J713" s="10" t="n"/>
      <c r="K713" s="11" t="n"/>
      <c r="L713" s="10" t="n"/>
      <c r="M713" s="11" t="n"/>
      <c r="N713" s="10" t="n"/>
      <c r="O713" s="11" t="n"/>
      <c r="P713" s="6" t="n"/>
      <c r="Q713" s="11" t="n"/>
      <c r="S713" s="8">
        <f>IF(B713="","",E713*F713)</f>
        <v/>
      </c>
      <c r="T713" s="8">
        <f>IF(OR(B713="",N(G713)=0),"",ABS(F713-G713)*E713)</f>
        <v/>
      </c>
      <c r="U713" s="8">
        <f>IF(OR(B713="",P713=""),"",IF(D713="Venda",-1,1)*((N(J713)*N(K713)+N(L713)*N(M713)+N(N713)*N(O713))-(N(J713)+N(L713)+N(N713))*F713)-N(Q713))</f>
        <v/>
      </c>
      <c r="V713" s="9">
        <f>IF(OR(B713="",P713=""),"",U713/S713)</f>
        <v/>
      </c>
      <c r="W713">
        <f>IF(OR(B713="",P713=""),"",P713-C713)</f>
        <v/>
      </c>
      <c r="X713">
        <f>IF(B713="","",IF(P713="","Aberto","Fechado"))</f>
        <v/>
      </c>
    </row>
    <row r="714">
      <c r="C714" s="6" t="n"/>
      <c r="E714" s="10" t="n"/>
      <c r="F714" s="11" t="n"/>
      <c r="G714" s="11" t="n"/>
      <c r="H714" s="11" t="n"/>
      <c r="J714" s="10" t="n"/>
      <c r="K714" s="11" t="n"/>
      <c r="L714" s="10" t="n"/>
      <c r="M714" s="11" t="n"/>
      <c r="N714" s="10" t="n"/>
      <c r="O714" s="11" t="n"/>
      <c r="P714" s="6" t="n"/>
      <c r="Q714" s="11" t="n"/>
      <c r="S714" s="8">
        <f>IF(B714="","",E714*F714)</f>
        <v/>
      </c>
      <c r="T714" s="8">
        <f>IF(OR(B714="",N(G714)=0),"",ABS(F714-G714)*E714)</f>
        <v/>
      </c>
      <c r="U714" s="8">
        <f>IF(OR(B714="",P714=""),"",IF(D714="Venda",-1,1)*((N(J714)*N(K714)+N(L714)*N(M714)+N(N714)*N(O714))-(N(J714)+N(L714)+N(N714))*F714)-N(Q714))</f>
        <v/>
      </c>
      <c r="V714" s="9">
        <f>IF(OR(B714="",P714=""),"",U714/S714)</f>
        <v/>
      </c>
      <c r="W714">
        <f>IF(OR(B714="",P714=""),"",P714-C714)</f>
        <v/>
      </c>
      <c r="X714">
        <f>IF(B714="","",IF(P714="","Aberto","Fechado"))</f>
        <v/>
      </c>
    </row>
    <row r="715">
      <c r="C715" s="6" t="n"/>
      <c r="E715" s="10" t="n"/>
      <c r="F715" s="11" t="n"/>
      <c r="G715" s="11" t="n"/>
      <c r="H715" s="11" t="n"/>
      <c r="J715" s="10" t="n"/>
      <c r="K715" s="11" t="n"/>
      <c r="L715" s="10" t="n"/>
      <c r="M715" s="11" t="n"/>
      <c r="N715" s="10" t="n"/>
      <c r="O715" s="11" t="n"/>
      <c r="P715" s="6" t="n"/>
      <c r="Q715" s="11" t="n"/>
      <c r="S715" s="8">
        <f>IF(B715="","",E715*F715)</f>
        <v/>
      </c>
      <c r="T715" s="8">
        <f>IF(OR(B715="",N(G715)=0),"",ABS(F715-G715)*E715)</f>
        <v/>
      </c>
      <c r="U715" s="8">
        <f>IF(OR(B715="",P715=""),"",IF(D715="Venda",-1,1)*((N(J715)*N(K715)+N(L715)*N(M715)+N(N715)*N(O715))-(N(J715)+N(L715)+N(N715))*F715)-N(Q715))</f>
        <v/>
      </c>
      <c r="V715" s="9">
        <f>IF(OR(B715="",P715=""),"",U715/S715)</f>
        <v/>
      </c>
      <c r="W715">
        <f>IF(OR(B715="",P715=""),"",P715-C715)</f>
        <v/>
      </c>
      <c r="X715">
        <f>IF(B715="","",IF(P715="","Aberto","Fechado"))</f>
        <v/>
      </c>
    </row>
    <row r="716">
      <c r="C716" s="6" t="n"/>
      <c r="E716" s="10" t="n"/>
      <c r="F716" s="11" t="n"/>
      <c r="G716" s="11" t="n"/>
      <c r="H716" s="11" t="n"/>
      <c r="J716" s="10" t="n"/>
      <c r="K716" s="11" t="n"/>
      <c r="L716" s="10" t="n"/>
      <c r="M716" s="11" t="n"/>
      <c r="N716" s="10" t="n"/>
      <c r="O716" s="11" t="n"/>
      <c r="P716" s="6" t="n"/>
      <c r="Q716" s="11" t="n"/>
      <c r="S716" s="8">
        <f>IF(B716="","",E716*F716)</f>
        <v/>
      </c>
      <c r="T716" s="8">
        <f>IF(OR(B716="",N(G716)=0),"",ABS(F716-G716)*E716)</f>
        <v/>
      </c>
      <c r="U716" s="8">
        <f>IF(OR(B716="",P716=""),"",IF(D716="Venda",-1,1)*((N(J716)*N(K716)+N(L716)*N(M716)+N(N716)*N(O716))-(N(J716)+N(L716)+N(N716))*F716)-N(Q716))</f>
        <v/>
      </c>
      <c r="V716" s="9">
        <f>IF(OR(B716="",P716=""),"",U716/S716)</f>
        <v/>
      </c>
      <c r="W716">
        <f>IF(OR(B716="",P716=""),"",P716-C716)</f>
        <v/>
      </c>
      <c r="X716">
        <f>IF(B716="","",IF(P716="","Aberto","Fechado"))</f>
        <v/>
      </c>
    </row>
    <row r="717">
      <c r="C717" s="6" t="n"/>
      <c r="E717" s="10" t="n"/>
      <c r="F717" s="11" t="n"/>
      <c r="G717" s="11" t="n"/>
      <c r="H717" s="11" t="n"/>
      <c r="J717" s="10" t="n"/>
      <c r="K717" s="11" t="n"/>
      <c r="L717" s="10" t="n"/>
      <c r="M717" s="11" t="n"/>
      <c r="N717" s="10" t="n"/>
      <c r="O717" s="11" t="n"/>
      <c r="P717" s="6" t="n"/>
      <c r="Q717" s="11" t="n"/>
      <c r="S717" s="8">
        <f>IF(B717="","",E717*F717)</f>
        <v/>
      </c>
      <c r="T717" s="8">
        <f>IF(OR(B717="",N(G717)=0),"",ABS(F717-G717)*E717)</f>
        <v/>
      </c>
      <c r="U717" s="8">
        <f>IF(OR(B717="",P717=""),"",IF(D717="Venda",-1,1)*((N(J717)*N(K717)+N(L717)*N(M717)+N(N717)*N(O717))-(N(J717)+N(L717)+N(N717))*F717)-N(Q717))</f>
        <v/>
      </c>
      <c r="V717" s="9">
        <f>IF(OR(B717="",P717=""),"",U717/S717)</f>
        <v/>
      </c>
      <c r="W717">
        <f>IF(OR(B717="",P717=""),"",P717-C717)</f>
        <v/>
      </c>
      <c r="X717">
        <f>IF(B717="","",IF(P717="","Aberto","Fechado"))</f>
        <v/>
      </c>
    </row>
    <row r="718">
      <c r="C718" s="6" t="n"/>
      <c r="E718" s="10" t="n"/>
      <c r="F718" s="11" t="n"/>
      <c r="G718" s="11" t="n"/>
      <c r="H718" s="11" t="n"/>
      <c r="J718" s="10" t="n"/>
      <c r="K718" s="11" t="n"/>
      <c r="L718" s="10" t="n"/>
      <c r="M718" s="11" t="n"/>
      <c r="N718" s="10" t="n"/>
      <c r="O718" s="11" t="n"/>
      <c r="P718" s="6" t="n"/>
      <c r="Q718" s="11" t="n"/>
      <c r="S718" s="8">
        <f>IF(B718="","",E718*F718)</f>
        <v/>
      </c>
      <c r="T718" s="8">
        <f>IF(OR(B718="",N(G718)=0),"",ABS(F718-G718)*E718)</f>
        <v/>
      </c>
      <c r="U718" s="8">
        <f>IF(OR(B718="",P718=""),"",IF(D718="Venda",-1,1)*((N(J718)*N(K718)+N(L718)*N(M718)+N(N718)*N(O718))-(N(J718)+N(L718)+N(N718))*F718)-N(Q718))</f>
        <v/>
      </c>
      <c r="V718" s="9">
        <f>IF(OR(B718="",P718=""),"",U718/S718)</f>
        <v/>
      </c>
      <c r="W718">
        <f>IF(OR(B718="",P718=""),"",P718-C718)</f>
        <v/>
      </c>
      <c r="X718">
        <f>IF(B718="","",IF(P718="","Aberto","Fechado"))</f>
        <v/>
      </c>
    </row>
    <row r="719">
      <c r="C719" s="6" t="n"/>
      <c r="E719" s="10" t="n"/>
      <c r="F719" s="11" t="n"/>
      <c r="G719" s="11" t="n"/>
      <c r="H719" s="11" t="n"/>
      <c r="J719" s="10" t="n"/>
      <c r="K719" s="11" t="n"/>
      <c r="L719" s="10" t="n"/>
      <c r="M719" s="11" t="n"/>
      <c r="N719" s="10" t="n"/>
      <c r="O719" s="11" t="n"/>
      <c r="P719" s="6" t="n"/>
      <c r="Q719" s="11" t="n"/>
      <c r="S719" s="8">
        <f>IF(B719="","",E719*F719)</f>
        <v/>
      </c>
      <c r="T719" s="8">
        <f>IF(OR(B719="",N(G719)=0),"",ABS(F719-G719)*E719)</f>
        <v/>
      </c>
      <c r="U719" s="8">
        <f>IF(OR(B719="",P719=""),"",IF(D719="Venda",-1,1)*((N(J719)*N(K719)+N(L719)*N(M719)+N(N719)*N(O719))-(N(J719)+N(L719)+N(N719))*F719)-N(Q719))</f>
        <v/>
      </c>
      <c r="V719" s="9">
        <f>IF(OR(B719="",P719=""),"",U719/S719)</f>
        <v/>
      </c>
      <c r="W719">
        <f>IF(OR(B719="",P719=""),"",P719-C719)</f>
        <v/>
      </c>
      <c r="X719">
        <f>IF(B719="","",IF(P719="","Aberto","Fechado"))</f>
        <v/>
      </c>
    </row>
    <row r="720">
      <c r="C720" s="6" t="n"/>
      <c r="E720" s="10" t="n"/>
      <c r="F720" s="11" t="n"/>
      <c r="G720" s="11" t="n"/>
      <c r="H720" s="11" t="n"/>
      <c r="J720" s="10" t="n"/>
      <c r="K720" s="11" t="n"/>
      <c r="L720" s="10" t="n"/>
      <c r="M720" s="11" t="n"/>
      <c r="N720" s="10" t="n"/>
      <c r="O720" s="11" t="n"/>
      <c r="P720" s="6" t="n"/>
      <c r="Q720" s="11" t="n"/>
      <c r="S720" s="8">
        <f>IF(B720="","",E720*F720)</f>
        <v/>
      </c>
      <c r="T720" s="8">
        <f>IF(OR(B720="",N(G720)=0),"",ABS(F720-G720)*E720)</f>
        <v/>
      </c>
      <c r="U720" s="8">
        <f>IF(OR(B720="",P720=""),"",IF(D720="Venda",-1,1)*((N(J720)*N(K720)+N(L720)*N(M720)+N(N720)*N(O720))-(N(J720)+N(L720)+N(N720))*F720)-N(Q720))</f>
        <v/>
      </c>
      <c r="V720" s="9">
        <f>IF(OR(B720="",P720=""),"",U720/S720)</f>
        <v/>
      </c>
      <c r="W720">
        <f>IF(OR(B720="",P720=""),"",P720-C720)</f>
        <v/>
      </c>
      <c r="X720">
        <f>IF(B720="","",IF(P720="","Aberto","Fechado"))</f>
        <v/>
      </c>
    </row>
    <row r="721">
      <c r="C721" s="6" t="n"/>
      <c r="E721" s="10" t="n"/>
      <c r="F721" s="11" t="n"/>
      <c r="G721" s="11" t="n"/>
      <c r="H721" s="11" t="n"/>
      <c r="J721" s="10" t="n"/>
      <c r="K721" s="11" t="n"/>
      <c r="L721" s="10" t="n"/>
      <c r="M721" s="11" t="n"/>
      <c r="N721" s="10" t="n"/>
      <c r="O721" s="11" t="n"/>
      <c r="P721" s="6" t="n"/>
      <c r="Q721" s="11" t="n"/>
      <c r="S721" s="8">
        <f>IF(B721="","",E721*F721)</f>
        <v/>
      </c>
      <c r="T721" s="8">
        <f>IF(OR(B721="",N(G721)=0),"",ABS(F721-G721)*E721)</f>
        <v/>
      </c>
      <c r="U721" s="8">
        <f>IF(OR(B721="",P721=""),"",IF(D721="Venda",-1,1)*((N(J721)*N(K721)+N(L721)*N(M721)+N(N721)*N(O721))-(N(J721)+N(L721)+N(N721))*F721)-N(Q721))</f>
        <v/>
      </c>
      <c r="V721" s="9">
        <f>IF(OR(B721="",P721=""),"",U721/S721)</f>
        <v/>
      </c>
      <c r="W721">
        <f>IF(OR(B721="",P721=""),"",P721-C721)</f>
        <v/>
      </c>
      <c r="X721">
        <f>IF(B721="","",IF(P721="","Aberto","Fechado"))</f>
        <v/>
      </c>
    </row>
    <row r="722">
      <c r="C722" s="6" t="n"/>
      <c r="E722" s="10" t="n"/>
      <c r="F722" s="11" t="n"/>
      <c r="G722" s="11" t="n"/>
      <c r="H722" s="11" t="n"/>
      <c r="J722" s="10" t="n"/>
      <c r="K722" s="11" t="n"/>
      <c r="L722" s="10" t="n"/>
      <c r="M722" s="11" t="n"/>
      <c r="N722" s="10" t="n"/>
      <c r="O722" s="11" t="n"/>
      <c r="P722" s="6" t="n"/>
      <c r="Q722" s="11" t="n"/>
      <c r="S722" s="8">
        <f>IF(B722="","",E722*F722)</f>
        <v/>
      </c>
      <c r="T722" s="8">
        <f>IF(OR(B722="",N(G722)=0),"",ABS(F722-G722)*E722)</f>
        <v/>
      </c>
      <c r="U722" s="8">
        <f>IF(OR(B722="",P722=""),"",IF(D722="Venda",-1,1)*((N(J722)*N(K722)+N(L722)*N(M722)+N(N722)*N(O722))-(N(J722)+N(L722)+N(N722))*F722)-N(Q722))</f>
        <v/>
      </c>
      <c r="V722" s="9">
        <f>IF(OR(B722="",P722=""),"",U722/S722)</f>
        <v/>
      </c>
      <c r="W722">
        <f>IF(OR(B722="",P722=""),"",P722-C722)</f>
        <v/>
      </c>
      <c r="X722">
        <f>IF(B722="","",IF(P722="","Aberto","Fechado"))</f>
        <v/>
      </c>
    </row>
    <row r="723">
      <c r="C723" s="6" t="n"/>
      <c r="E723" s="10" t="n"/>
      <c r="F723" s="11" t="n"/>
      <c r="G723" s="11" t="n"/>
      <c r="H723" s="11" t="n"/>
      <c r="J723" s="10" t="n"/>
      <c r="K723" s="11" t="n"/>
      <c r="L723" s="10" t="n"/>
      <c r="M723" s="11" t="n"/>
      <c r="N723" s="10" t="n"/>
      <c r="O723" s="11" t="n"/>
      <c r="P723" s="6" t="n"/>
      <c r="Q723" s="11" t="n"/>
      <c r="S723" s="8">
        <f>IF(B723="","",E723*F723)</f>
        <v/>
      </c>
      <c r="T723" s="8">
        <f>IF(OR(B723="",N(G723)=0),"",ABS(F723-G723)*E723)</f>
        <v/>
      </c>
      <c r="U723" s="8">
        <f>IF(OR(B723="",P723=""),"",IF(D723="Venda",-1,1)*((N(J723)*N(K723)+N(L723)*N(M723)+N(N723)*N(O723))-(N(J723)+N(L723)+N(N723))*F723)-N(Q723))</f>
        <v/>
      </c>
      <c r="V723" s="9">
        <f>IF(OR(B723="",P723=""),"",U723/S723)</f>
        <v/>
      </c>
      <c r="W723">
        <f>IF(OR(B723="",P723=""),"",P723-C723)</f>
        <v/>
      </c>
      <c r="X723">
        <f>IF(B723="","",IF(P723="","Aberto","Fechado"))</f>
        <v/>
      </c>
    </row>
    <row r="724">
      <c r="C724" s="6" t="n"/>
      <c r="E724" s="10" t="n"/>
      <c r="F724" s="11" t="n"/>
      <c r="G724" s="11" t="n"/>
      <c r="H724" s="11" t="n"/>
      <c r="J724" s="10" t="n"/>
      <c r="K724" s="11" t="n"/>
      <c r="L724" s="10" t="n"/>
      <c r="M724" s="11" t="n"/>
      <c r="N724" s="10" t="n"/>
      <c r="O724" s="11" t="n"/>
      <c r="P724" s="6" t="n"/>
      <c r="Q724" s="11" t="n"/>
      <c r="S724" s="8">
        <f>IF(B724="","",E724*F724)</f>
        <v/>
      </c>
      <c r="T724" s="8">
        <f>IF(OR(B724="",N(G724)=0),"",ABS(F724-G724)*E724)</f>
        <v/>
      </c>
      <c r="U724" s="8">
        <f>IF(OR(B724="",P724=""),"",IF(D724="Venda",-1,1)*((N(J724)*N(K724)+N(L724)*N(M724)+N(N724)*N(O724))-(N(J724)+N(L724)+N(N724))*F724)-N(Q724))</f>
        <v/>
      </c>
      <c r="V724" s="9">
        <f>IF(OR(B724="",P724=""),"",U724/S724)</f>
        <v/>
      </c>
      <c r="W724">
        <f>IF(OR(B724="",P724=""),"",P724-C724)</f>
        <v/>
      </c>
      <c r="X724">
        <f>IF(B724="","",IF(P724="","Aberto","Fechado"))</f>
        <v/>
      </c>
    </row>
    <row r="725">
      <c r="C725" s="6" t="n"/>
      <c r="E725" s="10" t="n"/>
      <c r="F725" s="11" t="n"/>
      <c r="G725" s="11" t="n"/>
      <c r="H725" s="11" t="n"/>
      <c r="J725" s="10" t="n"/>
      <c r="K725" s="11" t="n"/>
      <c r="L725" s="10" t="n"/>
      <c r="M725" s="11" t="n"/>
      <c r="N725" s="10" t="n"/>
      <c r="O725" s="11" t="n"/>
      <c r="P725" s="6" t="n"/>
      <c r="Q725" s="11" t="n"/>
      <c r="S725" s="8">
        <f>IF(B725="","",E725*F725)</f>
        <v/>
      </c>
      <c r="T725" s="8">
        <f>IF(OR(B725="",N(G725)=0),"",ABS(F725-G725)*E725)</f>
        <v/>
      </c>
      <c r="U725" s="8">
        <f>IF(OR(B725="",P725=""),"",IF(D725="Venda",-1,1)*((N(J725)*N(K725)+N(L725)*N(M725)+N(N725)*N(O725))-(N(J725)+N(L725)+N(N725))*F725)-N(Q725))</f>
        <v/>
      </c>
      <c r="V725" s="9">
        <f>IF(OR(B725="",P725=""),"",U725/S725)</f>
        <v/>
      </c>
      <c r="W725">
        <f>IF(OR(B725="",P725=""),"",P725-C725)</f>
        <v/>
      </c>
      <c r="X725">
        <f>IF(B725="","",IF(P725="","Aberto","Fechado"))</f>
        <v/>
      </c>
    </row>
    <row r="726">
      <c r="C726" s="6" t="n"/>
      <c r="E726" s="10" t="n"/>
      <c r="F726" s="11" t="n"/>
      <c r="G726" s="11" t="n"/>
      <c r="H726" s="11" t="n"/>
      <c r="J726" s="10" t="n"/>
      <c r="K726" s="11" t="n"/>
      <c r="L726" s="10" t="n"/>
      <c r="M726" s="11" t="n"/>
      <c r="N726" s="10" t="n"/>
      <c r="O726" s="11" t="n"/>
      <c r="P726" s="6" t="n"/>
      <c r="Q726" s="11" t="n"/>
      <c r="S726" s="8">
        <f>IF(B726="","",E726*F726)</f>
        <v/>
      </c>
      <c r="T726" s="8">
        <f>IF(OR(B726="",N(G726)=0),"",ABS(F726-G726)*E726)</f>
        <v/>
      </c>
      <c r="U726" s="8">
        <f>IF(OR(B726="",P726=""),"",IF(D726="Venda",-1,1)*((N(J726)*N(K726)+N(L726)*N(M726)+N(N726)*N(O726))-(N(J726)+N(L726)+N(N726))*F726)-N(Q726))</f>
        <v/>
      </c>
      <c r="V726" s="9">
        <f>IF(OR(B726="",P726=""),"",U726/S726)</f>
        <v/>
      </c>
      <c r="W726">
        <f>IF(OR(B726="",P726=""),"",P726-C726)</f>
        <v/>
      </c>
      <c r="X726">
        <f>IF(B726="","",IF(P726="","Aberto","Fechado"))</f>
        <v/>
      </c>
    </row>
    <row r="727">
      <c r="C727" s="6" t="n"/>
      <c r="E727" s="10" t="n"/>
      <c r="F727" s="11" t="n"/>
      <c r="G727" s="11" t="n"/>
      <c r="H727" s="11" t="n"/>
      <c r="J727" s="10" t="n"/>
      <c r="K727" s="11" t="n"/>
      <c r="L727" s="10" t="n"/>
      <c r="M727" s="11" t="n"/>
      <c r="N727" s="10" t="n"/>
      <c r="O727" s="11" t="n"/>
      <c r="P727" s="6" t="n"/>
      <c r="Q727" s="11" t="n"/>
      <c r="S727" s="8">
        <f>IF(B727="","",E727*F727)</f>
        <v/>
      </c>
      <c r="T727" s="8">
        <f>IF(OR(B727="",N(G727)=0),"",ABS(F727-G727)*E727)</f>
        <v/>
      </c>
      <c r="U727" s="8">
        <f>IF(OR(B727="",P727=""),"",IF(D727="Venda",-1,1)*((N(J727)*N(K727)+N(L727)*N(M727)+N(N727)*N(O727))-(N(J727)+N(L727)+N(N727))*F727)-N(Q727))</f>
        <v/>
      </c>
      <c r="V727" s="9">
        <f>IF(OR(B727="",P727=""),"",U727/S727)</f>
        <v/>
      </c>
      <c r="W727">
        <f>IF(OR(B727="",P727=""),"",P727-C727)</f>
        <v/>
      </c>
      <c r="X727">
        <f>IF(B727="","",IF(P727="","Aberto","Fechado"))</f>
        <v/>
      </c>
    </row>
    <row r="728">
      <c r="C728" s="6" t="n"/>
      <c r="E728" s="10" t="n"/>
      <c r="F728" s="11" t="n"/>
      <c r="G728" s="11" t="n"/>
      <c r="H728" s="11" t="n"/>
      <c r="J728" s="10" t="n"/>
      <c r="K728" s="11" t="n"/>
      <c r="L728" s="10" t="n"/>
      <c r="M728" s="11" t="n"/>
      <c r="N728" s="10" t="n"/>
      <c r="O728" s="11" t="n"/>
      <c r="P728" s="6" t="n"/>
      <c r="Q728" s="11" t="n"/>
      <c r="S728" s="8">
        <f>IF(B728="","",E728*F728)</f>
        <v/>
      </c>
      <c r="T728" s="8">
        <f>IF(OR(B728="",N(G728)=0),"",ABS(F728-G728)*E728)</f>
        <v/>
      </c>
      <c r="U728" s="8">
        <f>IF(OR(B728="",P728=""),"",IF(D728="Venda",-1,1)*((N(J728)*N(K728)+N(L728)*N(M728)+N(N728)*N(O728))-(N(J728)+N(L728)+N(N728))*F728)-N(Q728))</f>
        <v/>
      </c>
      <c r="V728" s="9">
        <f>IF(OR(B728="",P728=""),"",U728/S728)</f>
        <v/>
      </c>
      <c r="W728">
        <f>IF(OR(B728="",P728=""),"",P728-C728)</f>
        <v/>
      </c>
      <c r="X728">
        <f>IF(B728="","",IF(P728="","Aberto","Fechado"))</f>
        <v/>
      </c>
    </row>
    <row r="729">
      <c r="C729" s="6" t="n"/>
      <c r="E729" s="10" t="n"/>
      <c r="F729" s="11" t="n"/>
      <c r="G729" s="11" t="n"/>
      <c r="H729" s="11" t="n"/>
      <c r="J729" s="10" t="n"/>
      <c r="K729" s="11" t="n"/>
      <c r="L729" s="10" t="n"/>
      <c r="M729" s="11" t="n"/>
      <c r="N729" s="10" t="n"/>
      <c r="O729" s="11" t="n"/>
      <c r="P729" s="6" t="n"/>
      <c r="Q729" s="11" t="n"/>
      <c r="S729" s="8">
        <f>IF(B729="","",E729*F729)</f>
        <v/>
      </c>
      <c r="T729" s="8">
        <f>IF(OR(B729="",N(G729)=0),"",ABS(F729-G729)*E729)</f>
        <v/>
      </c>
      <c r="U729" s="8">
        <f>IF(OR(B729="",P729=""),"",IF(D729="Venda",-1,1)*((N(J729)*N(K729)+N(L729)*N(M729)+N(N729)*N(O729))-(N(J729)+N(L729)+N(N729))*F729)-N(Q729))</f>
        <v/>
      </c>
      <c r="V729" s="9">
        <f>IF(OR(B729="",P729=""),"",U729/S729)</f>
        <v/>
      </c>
      <c r="W729">
        <f>IF(OR(B729="",P729=""),"",P729-C729)</f>
        <v/>
      </c>
      <c r="X729">
        <f>IF(B729="","",IF(P729="","Aberto","Fechado"))</f>
        <v/>
      </c>
    </row>
    <row r="730">
      <c r="C730" s="6" t="n"/>
      <c r="E730" s="10" t="n"/>
      <c r="F730" s="11" t="n"/>
      <c r="G730" s="11" t="n"/>
      <c r="H730" s="11" t="n"/>
      <c r="J730" s="10" t="n"/>
      <c r="K730" s="11" t="n"/>
      <c r="L730" s="10" t="n"/>
      <c r="M730" s="11" t="n"/>
      <c r="N730" s="10" t="n"/>
      <c r="O730" s="11" t="n"/>
      <c r="P730" s="6" t="n"/>
      <c r="Q730" s="11" t="n"/>
      <c r="S730" s="8">
        <f>IF(B730="","",E730*F730)</f>
        <v/>
      </c>
      <c r="T730" s="8">
        <f>IF(OR(B730="",N(G730)=0),"",ABS(F730-G730)*E730)</f>
        <v/>
      </c>
      <c r="U730" s="8">
        <f>IF(OR(B730="",P730=""),"",IF(D730="Venda",-1,1)*((N(J730)*N(K730)+N(L730)*N(M730)+N(N730)*N(O730))-(N(J730)+N(L730)+N(N730))*F730)-N(Q730))</f>
        <v/>
      </c>
      <c r="V730" s="9">
        <f>IF(OR(B730="",P730=""),"",U730/S730)</f>
        <v/>
      </c>
      <c r="W730">
        <f>IF(OR(B730="",P730=""),"",P730-C730)</f>
        <v/>
      </c>
      <c r="X730">
        <f>IF(B730="","",IF(P730="","Aberto","Fechado"))</f>
        <v/>
      </c>
    </row>
    <row r="731">
      <c r="C731" s="6" t="n"/>
      <c r="E731" s="10" t="n"/>
      <c r="F731" s="11" t="n"/>
      <c r="G731" s="11" t="n"/>
      <c r="H731" s="11" t="n"/>
      <c r="J731" s="10" t="n"/>
      <c r="K731" s="11" t="n"/>
      <c r="L731" s="10" t="n"/>
      <c r="M731" s="11" t="n"/>
      <c r="N731" s="10" t="n"/>
      <c r="O731" s="11" t="n"/>
      <c r="P731" s="6" t="n"/>
      <c r="Q731" s="11" t="n"/>
      <c r="S731" s="8">
        <f>IF(B731="","",E731*F731)</f>
        <v/>
      </c>
      <c r="T731" s="8">
        <f>IF(OR(B731="",N(G731)=0),"",ABS(F731-G731)*E731)</f>
        <v/>
      </c>
      <c r="U731" s="8">
        <f>IF(OR(B731="",P731=""),"",IF(D731="Venda",-1,1)*((N(J731)*N(K731)+N(L731)*N(M731)+N(N731)*N(O731))-(N(J731)+N(L731)+N(N731))*F731)-N(Q731))</f>
        <v/>
      </c>
      <c r="V731" s="9">
        <f>IF(OR(B731="",P731=""),"",U731/S731)</f>
        <v/>
      </c>
      <c r="W731">
        <f>IF(OR(B731="",P731=""),"",P731-C731)</f>
        <v/>
      </c>
      <c r="X731">
        <f>IF(B731="","",IF(P731="","Aberto","Fechado"))</f>
        <v/>
      </c>
    </row>
    <row r="732">
      <c r="C732" s="6" t="n"/>
      <c r="E732" s="10" t="n"/>
      <c r="F732" s="11" t="n"/>
      <c r="G732" s="11" t="n"/>
      <c r="H732" s="11" t="n"/>
      <c r="J732" s="10" t="n"/>
      <c r="K732" s="11" t="n"/>
      <c r="L732" s="10" t="n"/>
      <c r="M732" s="11" t="n"/>
      <c r="N732" s="10" t="n"/>
      <c r="O732" s="11" t="n"/>
      <c r="P732" s="6" t="n"/>
      <c r="Q732" s="11" t="n"/>
      <c r="S732" s="8">
        <f>IF(B732="","",E732*F732)</f>
        <v/>
      </c>
      <c r="T732" s="8">
        <f>IF(OR(B732="",N(G732)=0),"",ABS(F732-G732)*E732)</f>
        <v/>
      </c>
      <c r="U732" s="8">
        <f>IF(OR(B732="",P732=""),"",IF(D732="Venda",-1,1)*((N(J732)*N(K732)+N(L732)*N(M732)+N(N732)*N(O732))-(N(J732)+N(L732)+N(N732))*F732)-N(Q732))</f>
        <v/>
      </c>
      <c r="V732" s="9">
        <f>IF(OR(B732="",P732=""),"",U732/S732)</f>
        <v/>
      </c>
      <c r="W732">
        <f>IF(OR(B732="",P732=""),"",P732-C732)</f>
        <v/>
      </c>
      <c r="X732">
        <f>IF(B732="","",IF(P732="","Aberto","Fechado"))</f>
        <v/>
      </c>
    </row>
    <row r="733">
      <c r="C733" s="6" t="n"/>
      <c r="E733" s="10" t="n"/>
      <c r="F733" s="11" t="n"/>
      <c r="G733" s="11" t="n"/>
      <c r="H733" s="11" t="n"/>
      <c r="J733" s="10" t="n"/>
      <c r="K733" s="11" t="n"/>
      <c r="L733" s="10" t="n"/>
      <c r="M733" s="11" t="n"/>
      <c r="N733" s="10" t="n"/>
      <c r="O733" s="11" t="n"/>
      <c r="P733" s="6" t="n"/>
      <c r="Q733" s="11" t="n"/>
      <c r="S733" s="8">
        <f>IF(B733="","",E733*F733)</f>
        <v/>
      </c>
      <c r="T733" s="8">
        <f>IF(OR(B733="",N(G733)=0),"",ABS(F733-G733)*E733)</f>
        <v/>
      </c>
      <c r="U733" s="8">
        <f>IF(OR(B733="",P733=""),"",IF(D733="Venda",-1,1)*((N(J733)*N(K733)+N(L733)*N(M733)+N(N733)*N(O733))-(N(J733)+N(L733)+N(N733))*F733)-N(Q733))</f>
        <v/>
      </c>
      <c r="V733" s="9">
        <f>IF(OR(B733="",P733=""),"",U733/S733)</f>
        <v/>
      </c>
      <c r="W733">
        <f>IF(OR(B733="",P733=""),"",P733-C733)</f>
        <v/>
      </c>
      <c r="X733">
        <f>IF(B733="","",IF(P733="","Aberto","Fechado"))</f>
        <v/>
      </c>
    </row>
    <row r="734">
      <c r="C734" s="6" t="n"/>
      <c r="E734" s="10" t="n"/>
      <c r="F734" s="11" t="n"/>
      <c r="G734" s="11" t="n"/>
      <c r="H734" s="11" t="n"/>
      <c r="J734" s="10" t="n"/>
      <c r="K734" s="11" t="n"/>
      <c r="L734" s="10" t="n"/>
      <c r="M734" s="11" t="n"/>
      <c r="N734" s="10" t="n"/>
      <c r="O734" s="11" t="n"/>
      <c r="P734" s="6" t="n"/>
      <c r="Q734" s="11" t="n"/>
      <c r="S734" s="8">
        <f>IF(B734="","",E734*F734)</f>
        <v/>
      </c>
      <c r="T734" s="8">
        <f>IF(OR(B734="",N(G734)=0),"",ABS(F734-G734)*E734)</f>
        <v/>
      </c>
      <c r="U734" s="8">
        <f>IF(OR(B734="",P734=""),"",IF(D734="Venda",-1,1)*((N(J734)*N(K734)+N(L734)*N(M734)+N(N734)*N(O734))-(N(J734)+N(L734)+N(N734))*F734)-N(Q734))</f>
        <v/>
      </c>
      <c r="V734" s="9">
        <f>IF(OR(B734="",P734=""),"",U734/S734)</f>
        <v/>
      </c>
      <c r="W734">
        <f>IF(OR(B734="",P734=""),"",P734-C734)</f>
        <v/>
      </c>
      <c r="X734">
        <f>IF(B734="","",IF(P734="","Aberto","Fechado"))</f>
        <v/>
      </c>
    </row>
    <row r="735">
      <c r="C735" s="6" t="n"/>
      <c r="E735" s="10" t="n"/>
      <c r="F735" s="11" t="n"/>
      <c r="G735" s="11" t="n"/>
      <c r="H735" s="11" t="n"/>
      <c r="J735" s="10" t="n"/>
      <c r="K735" s="11" t="n"/>
      <c r="L735" s="10" t="n"/>
      <c r="M735" s="11" t="n"/>
      <c r="N735" s="10" t="n"/>
      <c r="O735" s="11" t="n"/>
      <c r="P735" s="6" t="n"/>
      <c r="Q735" s="11" t="n"/>
      <c r="S735" s="8">
        <f>IF(B735="","",E735*F735)</f>
        <v/>
      </c>
      <c r="T735" s="8">
        <f>IF(OR(B735="",N(G735)=0),"",ABS(F735-G735)*E735)</f>
        <v/>
      </c>
      <c r="U735" s="8">
        <f>IF(OR(B735="",P735=""),"",IF(D735="Venda",-1,1)*((N(J735)*N(K735)+N(L735)*N(M735)+N(N735)*N(O735))-(N(J735)+N(L735)+N(N735))*F735)-N(Q735))</f>
        <v/>
      </c>
      <c r="V735" s="9">
        <f>IF(OR(B735="",P735=""),"",U735/S735)</f>
        <v/>
      </c>
      <c r="W735">
        <f>IF(OR(B735="",P735=""),"",P735-C735)</f>
        <v/>
      </c>
      <c r="X735">
        <f>IF(B735="","",IF(P735="","Aberto","Fechado"))</f>
        <v/>
      </c>
    </row>
    <row r="736">
      <c r="C736" s="6" t="n"/>
      <c r="E736" s="10" t="n"/>
      <c r="F736" s="11" t="n"/>
      <c r="G736" s="11" t="n"/>
      <c r="H736" s="11" t="n"/>
      <c r="J736" s="10" t="n"/>
      <c r="K736" s="11" t="n"/>
      <c r="L736" s="10" t="n"/>
      <c r="M736" s="11" t="n"/>
      <c r="N736" s="10" t="n"/>
      <c r="O736" s="11" t="n"/>
      <c r="P736" s="6" t="n"/>
      <c r="Q736" s="11" t="n"/>
      <c r="S736" s="8">
        <f>IF(B736="","",E736*F736)</f>
        <v/>
      </c>
      <c r="T736" s="8">
        <f>IF(OR(B736="",N(G736)=0),"",ABS(F736-G736)*E736)</f>
        <v/>
      </c>
      <c r="U736" s="8">
        <f>IF(OR(B736="",P736=""),"",IF(D736="Venda",-1,1)*((N(J736)*N(K736)+N(L736)*N(M736)+N(N736)*N(O736))-(N(J736)+N(L736)+N(N736))*F736)-N(Q736))</f>
        <v/>
      </c>
      <c r="V736" s="9">
        <f>IF(OR(B736="",P736=""),"",U736/S736)</f>
        <v/>
      </c>
      <c r="W736">
        <f>IF(OR(B736="",P736=""),"",P736-C736)</f>
        <v/>
      </c>
      <c r="X736">
        <f>IF(B736="","",IF(P736="","Aberto","Fechado"))</f>
        <v/>
      </c>
    </row>
    <row r="737">
      <c r="C737" s="6" t="n"/>
      <c r="E737" s="10" t="n"/>
      <c r="F737" s="11" t="n"/>
      <c r="G737" s="11" t="n"/>
      <c r="H737" s="11" t="n"/>
      <c r="J737" s="10" t="n"/>
      <c r="K737" s="11" t="n"/>
      <c r="L737" s="10" t="n"/>
      <c r="M737" s="11" t="n"/>
      <c r="N737" s="10" t="n"/>
      <c r="O737" s="11" t="n"/>
      <c r="P737" s="6" t="n"/>
      <c r="Q737" s="11" t="n"/>
      <c r="S737" s="8">
        <f>IF(B737="","",E737*F737)</f>
        <v/>
      </c>
      <c r="T737" s="8">
        <f>IF(OR(B737="",N(G737)=0),"",ABS(F737-G737)*E737)</f>
        <v/>
      </c>
      <c r="U737" s="8">
        <f>IF(OR(B737="",P737=""),"",IF(D737="Venda",-1,1)*((N(J737)*N(K737)+N(L737)*N(M737)+N(N737)*N(O737))-(N(J737)+N(L737)+N(N737))*F737)-N(Q737))</f>
        <v/>
      </c>
      <c r="V737" s="9">
        <f>IF(OR(B737="",P737=""),"",U737/S737)</f>
        <v/>
      </c>
      <c r="W737">
        <f>IF(OR(B737="",P737=""),"",P737-C737)</f>
        <v/>
      </c>
      <c r="X737">
        <f>IF(B737="","",IF(P737="","Aberto","Fechado"))</f>
        <v/>
      </c>
    </row>
    <row r="738">
      <c r="C738" s="6" t="n"/>
      <c r="E738" s="10" t="n"/>
      <c r="F738" s="11" t="n"/>
      <c r="G738" s="11" t="n"/>
      <c r="H738" s="11" t="n"/>
      <c r="J738" s="10" t="n"/>
      <c r="K738" s="11" t="n"/>
      <c r="L738" s="10" t="n"/>
      <c r="M738" s="11" t="n"/>
      <c r="N738" s="10" t="n"/>
      <c r="O738" s="11" t="n"/>
      <c r="P738" s="6" t="n"/>
      <c r="Q738" s="11" t="n"/>
      <c r="S738" s="8">
        <f>IF(B738="","",E738*F738)</f>
        <v/>
      </c>
      <c r="T738" s="8">
        <f>IF(OR(B738="",N(G738)=0),"",ABS(F738-G738)*E738)</f>
        <v/>
      </c>
      <c r="U738" s="8">
        <f>IF(OR(B738="",P738=""),"",IF(D738="Venda",-1,1)*((N(J738)*N(K738)+N(L738)*N(M738)+N(N738)*N(O738))-(N(J738)+N(L738)+N(N738))*F738)-N(Q738))</f>
        <v/>
      </c>
      <c r="V738" s="9">
        <f>IF(OR(B738="",P738=""),"",U738/S738)</f>
        <v/>
      </c>
      <c r="W738">
        <f>IF(OR(B738="",P738=""),"",P738-C738)</f>
        <v/>
      </c>
      <c r="X738">
        <f>IF(B738="","",IF(P738="","Aberto","Fechado"))</f>
        <v/>
      </c>
    </row>
    <row r="739">
      <c r="C739" s="6" t="n"/>
      <c r="E739" s="10" t="n"/>
      <c r="F739" s="11" t="n"/>
      <c r="G739" s="11" t="n"/>
      <c r="H739" s="11" t="n"/>
      <c r="J739" s="10" t="n"/>
      <c r="K739" s="11" t="n"/>
      <c r="L739" s="10" t="n"/>
      <c r="M739" s="11" t="n"/>
      <c r="N739" s="10" t="n"/>
      <c r="O739" s="11" t="n"/>
      <c r="P739" s="6" t="n"/>
      <c r="Q739" s="11" t="n"/>
      <c r="S739" s="8">
        <f>IF(B739="","",E739*F739)</f>
        <v/>
      </c>
      <c r="T739" s="8">
        <f>IF(OR(B739="",N(G739)=0),"",ABS(F739-G739)*E739)</f>
        <v/>
      </c>
      <c r="U739" s="8">
        <f>IF(OR(B739="",P739=""),"",IF(D739="Venda",-1,1)*((N(J739)*N(K739)+N(L739)*N(M739)+N(N739)*N(O739))-(N(J739)+N(L739)+N(N739))*F739)-N(Q739))</f>
        <v/>
      </c>
      <c r="V739" s="9">
        <f>IF(OR(B739="",P739=""),"",U739/S739)</f>
        <v/>
      </c>
      <c r="W739">
        <f>IF(OR(B739="",P739=""),"",P739-C739)</f>
        <v/>
      </c>
      <c r="X739">
        <f>IF(B739="","",IF(P739="","Aberto","Fechado"))</f>
        <v/>
      </c>
    </row>
    <row r="740">
      <c r="C740" s="6" t="n"/>
      <c r="E740" s="10" t="n"/>
      <c r="F740" s="11" t="n"/>
      <c r="G740" s="11" t="n"/>
      <c r="H740" s="11" t="n"/>
      <c r="J740" s="10" t="n"/>
      <c r="K740" s="11" t="n"/>
      <c r="L740" s="10" t="n"/>
      <c r="M740" s="11" t="n"/>
      <c r="N740" s="10" t="n"/>
      <c r="O740" s="11" t="n"/>
      <c r="P740" s="6" t="n"/>
      <c r="Q740" s="11" t="n"/>
      <c r="S740" s="8">
        <f>IF(B740="","",E740*F740)</f>
        <v/>
      </c>
      <c r="T740" s="8">
        <f>IF(OR(B740="",N(G740)=0),"",ABS(F740-G740)*E740)</f>
        <v/>
      </c>
      <c r="U740" s="8">
        <f>IF(OR(B740="",P740=""),"",IF(D740="Venda",-1,1)*((N(J740)*N(K740)+N(L740)*N(M740)+N(N740)*N(O740))-(N(J740)+N(L740)+N(N740))*F740)-N(Q740))</f>
        <v/>
      </c>
      <c r="V740" s="9">
        <f>IF(OR(B740="",P740=""),"",U740/S740)</f>
        <v/>
      </c>
      <c r="W740">
        <f>IF(OR(B740="",P740=""),"",P740-C740)</f>
        <v/>
      </c>
      <c r="X740">
        <f>IF(B740="","",IF(P740="","Aberto","Fechado"))</f>
        <v/>
      </c>
    </row>
    <row r="741">
      <c r="C741" s="6" t="n"/>
      <c r="E741" s="10" t="n"/>
      <c r="F741" s="11" t="n"/>
      <c r="G741" s="11" t="n"/>
      <c r="H741" s="11" t="n"/>
      <c r="J741" s="10" t="n"/>
      <c r="K741" s="11" t="n"/>
      <c r="L741" s="10" t="n"/>
      <c r="M741" s="11" t="n"/>
      <c r="N741" s="10" t="n"/>
      <c r="O741" s="11" t="n"/>
      <c r="P741" s="6" t="n"/>
      <c r="Q741" s="11" t="n"/>
      <c r="S741" s="8">
        <f>IF(B741="","",E741*F741)</f>
        <v/>
      </c>
      <c r="T741" s="8">
        <f>IF(OR(B741="",N(G741)=0),"",ABS(F741-G741)*E741)</f>
        <v/>
      </c>
      <c r="U741" s="8">
        <f>IF(OR(B741="",P741=""),"",IF(D741="Venda",-1,1)*((N(J741)*N(K741)+N(L741)*N(M741)+N(N741)*N(O741))-(N(J741)+N(L741)+N(N741))*F741)-N(Q741))</f>
        <v/>
      </c>
      <c r="V741" s="9">
        <f>IF(OR(B741="",P741=""),"",U741/S741)</f>
        <v/>
      </c>
      <c r="W741">
        <f>IF(OR(B741="",P741=""),"",P741-C741)</f>
        <v/>
      </c>
      <c r="X741">
        <f>IF(B741="","",IF(P741="","Aberto","Fechado"))</f>
        <v/>
      </c>
    </row>
    <row r="742">
      <c r="C742" s="6" t="n"/>
      <c r="E742" s="10" t="n"/>
      <c r="F742" s="11" t="n"/>
      <c r="G742" s="11" t="n"/>
      <c r="H742" s="11" t="n"/>
      <c r="J742" s="10" t="n"/>
      <c r="K742" s="11" t="n"/>
      <c r="L742" s="10" t="n"/>
      <c r="M742" s="11" t="n"/>
      <c r="N742" s="10" t="n"/>
      <c r="O742" s="11" t="n"/>
      <c r="P742" s="6" t="n"/>
      <c r="Q742" s="11" t="n"/>
      <c r="S742" s="8">
        <f>IF(B742="","",E742*F742)</f>
        <v/>
      </c>
      <c r="T742" s="8">
        <f>IF(OR(B742="",N(G742)=0),"",ABS(F742-G742)*E742)</f>
        <v/>
      </c>
      <c r="U742" s="8">
        <f>IF(OR(B742="",P742=""),"",IF(D742="Venda",-1,1)*((N(J742)*N(K742)+N(L742)*N(M742)+N(N742)*N(O742))-(N(J742)+N(L742)+N(N742))*F742)-N(Q742))</f>
        <v/>
      </c>
      <c r="V742" s="9">
        <f>IF(OR(B742="",P742=""),"",U742/S742)</f>
        <v/>
      </c>
      <c r="W742">
        <f>IF(OR(B742="",P742=""),"",P742-C742)</f>
        <v/>
      </c>
      <c r="X742">
        <f>IF(B742="","",IF(P742="","Aberto","Fechado"))</f>
        <v/>
      </c>
    </row>
    <row r="743">
      <c r="C743" s="6" t="n"/>
      <c r="E743" s="10" t="n"/>
      <c r="F743" s="11" t="n"/>
      <c r="G743" s="11" t="n"/>
      <c r="H743" s="11" t="n"/>
      <c r="J743" s="10" t="n"/>
      <c r="K743" s="11" t="n"/>
      <c r="L743" s="10" t="n"/>
      <c r="M743" s="11" t="n"/>
      <c r="N743" s="10" t="n"/>
      <c r="O743" s="11" t="n"/>
      <c r="P743" s="6" t="n"/>
      <c r="Q743" s="11" t="n"/>
      <c r="S743" s="8">
        <f>IF(B743="","",E743*F743)</f>
        <v/>
      </c>
      <c r="T743" s="8">
        <f>IF(OR(B743="",N(G743)=0),"",ABS(F743-G743)*E743)</f>
        <v/>
      </c>
      <c r="U743" s="8">
        <f>IF(OR(B743="",P743=""),"",IF(D743="Venda",-1,1)*((N(J743)*N(K743)+N(L743)*N(M743)+N(N743)*N(O743))-(N(J743)+N(L743)+N(N743))*F743)-N(Q743))</f>
        <v/>
      </c>
      <c r="V743" s="9">
        <f>IF(OR(B743="",P743=""),"",U743/S743)</f>
        <v/>
      </c>
      <c r="W743">
        <f>IF(OR(B743="",P743=""),"",P743-C743)</f>
        <v/>
      </c>
      <c r="X743">
        <f>IF(B743="","",IF(P743="","Aberto","Fechado"))</f>
        <v/>
      </c>
    </row>
    <row r="744">
      <c r="C744" s="6" t="n"/>
      <c r="E744" s="10" t="n"/>
      <c r="F744" s="11" t="n"/>
      <c r="G744" s="11" t="n"/>
      <c r="H744" s="11" t="n"/>
      <c r="J744" s="10" t="n"/>
      <c r="K744" s="11" t="n"/>
      <c r="L744" s="10" t="n"/>
      <c r="M744" s="11" t="n"/>
      <c r="N744" s="10" t="n"/>
      <c r="O744" s="11" t="n"/>
      <c r="P744" s="6" t="n"/>
      <c r="Q744" s="11" t="n"/>
      <c r="S744" s="8">
        <f>IF(B744="","",E744*F744)</f>
        <v/>
      </c>
      <c r="T744" s="8">
        <f>IF(OR(B744="",N(G744)=0),"",ABS(F744-G744)*E744)</f>
        <v/>
      </c>
      <c r="U744" s="8">
        <f>IF(OR(B744="",P744=""),"",IF(D744="Venda",-1,1)*((N(J744)*N(K744)+N(L744)*N(M744)+N(N744)*N(O744))-(N(J744)+N(L744)+N(N744))*F744)-N(Q744))</f>
        <v/>
      </c>
      <c r="V744" s="9">
        <f>IF(OR(B744="",P744=""),"",U744/S744)</f>
        <v/>
      </c>
      <c r="W744">
        <f>IF(OR(B744="",P744=""),"",P744-C744)</f>
        <v/>
      </c>
      <c r="X744">
        <f>IF(B744="","",IF(P744="","Aberto","Fechado"))</f>
        <v/>
      </c>
    </row>
    <row r="745">
      <c r="C745" s="6" t="n"/>
      <c r="E745" s="10" t="n"/>
      <c r="F745" s="11" t="n"/>
      <c r="G745" s="11" t="n"/>
      <c r="H745" s="11" t="n"/>
      <c r="J745" s="10" t="n"/>
      <c r="K745" s="11" t="n"/>
      <c r="L745" s="10" t="n"/>
      <c r="M745" s="11" t="n"/>
      <c r="N745" s="10" t="n"/>
      <c r="O745" s="11" t="n"/>
      <c r="P745" s="6" t="n"/>
      <c r="Q745" s="11" t="n"/>
      <c r="S745" s="8">
        <f>IF(B745="","",E745*F745)</f>
        <v/>
      </c>
      <c r="T745" s="8">
        <f>IF(OR(B745="",N(G745)=0),"",ABS(F745-G745)*E745)</f>
        <v/>
      </c>
      <c r="U745" s="8">
        <f>IF(OR(B745="",P745=""),"",IF(D745="Venda",-1,1)*((N(J745)*N(K745)+N(L745)*N(M745)+N(N745)*N(O745))-(N(J745)+N(L745)+N(N745))*F745)-N(Q745))</f>
        <v/>
      </c>
      <c r="V745" s="9">
        <f>IF(OR(B745="",P745=""),"",U745/S745)</f>
        <v/>
      </c>
      <c r="W745">
        <f>IF(OR(B745="",P745=""),"",P745-C745)</f>
        <v/>
      </c>
      <c r="X745">
        <f>IF(B745="","",IF(P745="","Aberto","Fechado"))</f>
        <v/>
      </c>
    </row>
    <row r="746">
      <c r="C746" s="6" t="n"/>
      <c r="E746" s="10" t="n"/>
      <c r="F746" s="11" t="n"/>
      <c r="G746" s="11" t="n"/>
      <c r="H746" s="11" t="n"/>
      <c r="J746" s="10" t="n"/>
      <c r="K746" s="11" t="n"/>
      <c r="L746" s="10" t="n"/>
      <c r="M746" s="11" t="n"/>
      <c r="N746" s="10" t="n"/>
      <c r="O746" s="11" t="n"/>
      <c r="P746" s="6" t="n"/>
      <c r="Q746" s="11" t="n"/>
      <c r="S746" s="8">
        <f>IF(B746="","",E746*F746)</f>
        <v/>
      </c>
      <c r="T746" s="8">
        <f>IF(OR(B746="",N(G746)=0),"",ABS(F746-G746)*E746)</f>
        <v/>
      </c>
      <c r="U746" s="8">
        <f>IF(OR(B746="",P746=""),"",IF(D746="Venda",-1,1)*((N(J746)*N(K746)+N(L746)*N(M746)+N(N746)*N(O746))-(N(J746)+N(L746)+N(N746))*F746)-N(Q746))</f>
        <v/>
      </c>
      <c r="V746" s="9">
        <f>IF(OR(B746="",P746=""),"",U746/S746)</f>
        <v/>
      </c>
      <c r="W746">
        <f>IF(OR(B746="",P746=""),"",P746-C746)</f>
        <v/>
      </c>
      <c r="X746">
        <f>IF(B746="","",IF(P746="","Aberto","Fechado"))</f>
        <v/>
      </c>
    </row>
    <row r="747">
      <c r="C747" s="6" t="n"/>
      <c r="E747" s="10" t="n"/>
      <c r="F747" s="11" t="n"/>
      <c r="G747" s="11" t="n"/>
      <c r="H747" s="11" t="n"/>
      <c r="J747" s="10" t="n"/>
      <c r="K747" s="11" t="n"/>
      <c r="L747" s="10" t="n"/>
      <c r="M747" s="11" t="n"/>
      <c r="N747" s="10" t="n"/>
      <c r="O747" s="11" t="n"/>
      <c r="P747" s="6" t="n"/>
      <c r="Q747" s="11" t="n"/>
      <c r="S747" s="8">
        <f>IF(B747="","",E747*F747)</f>
        <v/>
      </c>
      <c r="T747" s="8">
        <f>IF(OR(B747="",N(G747)=0),"",ABS(F747-G747)*E747)</f>
        <v/>
      </c>
      <c r="U747" s="8">
        <f>IF(OR(B747="",P747=""),"",IF(D747="Venda",-1,1)*((N(J747)*N(K747)+N(L747)*N(M747)+N(N747)*N(O747))-(N(J747)+N(L747)+N(N747))*F747)-N(Q747))</f>
        <v/>
      </c>
      <c r="V747" s="9">
        <f>IF(OR(B747="",P747=""),"",U747/S747)</f>
        <v/>
      </c>
      <c r="W747">
        <f>IF(OR(B747="",P747=""),"",P747-C747)</f>
        <v/>
      </c>
      <c r="X747">
        <f>IF(B747="","",IF(P747="","Aberto","Fechado"))</f>
        <v/>
      </c>
    </row>
    <row r="748">
      <c r="C748" s="6" t="n"/>
      <c r="E748" s="10" t="n"/>
      <c r="F748" s="11" t="n"/>
      <c r="G748" s="11" t="n"/>
      <c r="H748" s="11" t="n"/>
      <c r="J748" s="10" t="n"/>
      <c r="K748" s="11" t="n"/>
      <c r="L748" s="10" t="n"/>
      <c r="M748" s="11" t="n"/>
      <c r="N748" s="10" t="n"/>
      <c r="O748" s="11" t="n"/>
      <c r="P748" s="6" t="n"/>
      <c r="Q748" s="11" t="n"/>
      <c r="S748" s="8">
        <f>IF(B748="","",E748*F748)</f>
        <v/>
      </c>
      <c r="T748" s="8">
        <f>IF(OR(B748="",N(G748)=0),"",ABS(F748-G748)*E748)</f>
        <v/>
      </c>
      <c r="U748" s="8">
        <f>IF(OR(B748="",P748=""),"",IF(D748="Venda",-1,1)*((N(J748)*N(K748)+N(L748)*N(M748)+N(N748)*N(O748))-(N(J748)+N(L748)+N(N748))*F748)-N(Q748))</f>
        <v/>
      </c>
      <c r="V748" s="9">
        <f>IF(OR(B748="",P748=""),"",U748/S748)</f>
        <v/>
      </c>
      <c r="W748">
        <f>IF(OR(B748="",P748=""),"",P748-C748)</f>
        <v/>
      </c>
      <c r="X748">
        <f>IF(B748="","",IF(P748="","Aberto","Fechado"))</f>
        <v/>
      </c>
    </row>
    <row r="749">
      <c r="C749" s="6" t="n"/>
      <c r="E749" s="10" t="n"/>
      <c r="F749" s="11" t="n"/>
      <c r="G749" s="11" t="n"/>
      <c r="H749" s="11" t="n"/>
      <c r="J749" s="10" t="n"/>
      <c r="K749" s="11" t="n"/>
      <c r="L749" s="10" t="n"/>
      <c r="M749" s="11" t="n"/>
      <c r="N749" s="10" t="n"/>
      <c r="O749" s="11" t="n"/>
      <c r="P749" s="6" t="n"/>
      <c r="Q749" s="11" t="n"/>
      <c r="S749" s="8">
        <f>IF(B749="","",E749*F749)</f>
        <v/>
      </c>
      <c r="T749" s="8">
        <f>IF(OR(B749="",N(G749)=0),"",ABS(F749-G749)*E749)</f>
        <v/>
      </c>
      <c r="U749" s="8">
        <f>IF(OR(B749="",P749=""),"",IF(D749="Venda",-1,1)*((N(J749)*N(K749)+N(L749)*N(M749)+N(N749)*N(O749))-(N(J749)+N(L749)+N(N749))*F749)-N(Q749))</f>
        <v/>
      </c>
      <c r="V749" s="9">
        <f>IF(OR(B749="",P749=""),"",U749/S749)</f>
        <v/>
      </c>
      <c r="W749">
        <f>IF(OR(B749="",P749=""),"",P749-C749)</f>
        <v/>
      </c>
      <c r="X749">
        <f>IF(B749="","",IF(P749="","Aberto","Fechado"))</f>
        <v/>
      </c>
    </row>
    <row r="750">
      <c r="C750" s="6" t="n"/>
      <c r="E750" s="10" t="n"/>
      <c r="F750" s="11" t="n"/>
      <c r="G750" s="11" t="n"/>
      <c r="H750" s="11" t="n"/>
      <c r="J750" s="10" t="n"/>
      <c r="K750" s="11" t="n"/>
      <c r="L750" s="10" t="n"/>
      <c r="M750" s="11" t="n"/>
      <c r="N750" s="10" t="n"/>
      <c r="O750" s="11" t="n"/>
      <c r="P750" s="6" t="n"/>
      <c r="Q750" s="11" t="n"/>
      <c r="S750" s="8">
        <f>IF(B750="","",E750*F750)</f>
        <v/>
      </c>
      <c r="T750" s="8">
        <f>IF(OR(B750="",N(G750)=0),"",ABS(F750-G750)*E750)</f>
        <v/>
      </c>
      <c r="U750" s="8">
        <f>IF(OR(B750="",P750=""),"",IF(D750="Venda",-1,1)*((N(J750)*N(K750)+N(L750)*N(M750)+N(N750)*N(O750))-(N(J750)+N(L750)+N(N750))*F750)-N(Q750))</f>
        <v/>
      </c>
      <c r="V750" s="9">
        <f>IF(OR(B750="",P750=""),"",U750/S750)</f>
        <v/>
      </c>
      <c r="W750">
        <f>IF(OR(B750="",P750=""),"",P750-C750)</f>
        <v/>
      </c>
      <c r="X750">
        <f>IF(B750="","",IF(P750="","Aberto","Fechado"))</f>
        <v/>
      </c>
    </row>
    <row r="751">
      <c r="C751" s="6" t="n"/>
      <c r="E751" s="10" t="n"/>
      <c r="F751" s="11" t="n"/>
      <c r="G751" s="11" t="n"/>
      <c r="H751" s="11" t="n"/>
      <c r="J751" s="10" t="n"/>
      <c r="K751" s="11" t="n"/>
      <c r="L751" s="10" t="n"/>
      <c r="M751" s="11" t="n"/>
      <c r="N751" s="10" t="n"/>
      <c r="O751" s="11" t="n"/>
      <c r="P751" s="6" t="n"/>
      <c r="Q751" s="11" t="n"/>
      <c r="S751" s="8">
        <f>IF(B751="","",E751*F751)</f>
        <v/>
      </c>
      <c r="T751" s="8">
        <f>IF(OR(B751="",N(G751)=0),"",ABS(F751-G751)*E751)</f>
        <v/>
      </c>
      <c r="U751" s="8">
        <f>IF(OR(B751="",P751=""),"",IF(D751="Venda",-1,1)*((N(J751)*N(K751)+N(L751)*N(M751)+N(N751)*N(O751))-(N(J751)+N(L751)+N(N751))*F751)-N(Q751))</f>
        <v/>
      </c>
      <c r="V751" s="9">
        <f>IF(OR(B751="",P751=""),"",U751/S751)</f>
        <v/>
      </c>
      <c r="W751">
        <f>IF(OR(B751="",P751=""),"",P751-C751)</f>
        <v/>
      </c>
      <c r="X751">
        <f>IF(B751="","",IF(P751="","Aberto","Fechado"))</f>
        <v/>
      </c>
    </row>
    <row r="752">
      <c r="C752" s="6" t="n"/>
      <c r="E752" s="10" t="n"/>
      <c r="F752" s="11" t="n"/>
      <c r="G752" s="11" t="n"/>
      <c r="H752" s="11" t="n"/>
      <c r="J752" s="10" t="n"/>
      <c r="K752" s="11" t="n"/>
      <c r="L752" s="10" t="n"/>
      <c r="M752" s="11" t="n"/>
      <c r="N752" s="10" t="n"/>
      <c r="O752" s="11" t="n"/>
      <c r="P752" s="6" t="n"/>
      <c r="Q752" s="11" t="n"/>
      <c r="S752" s="8">
        <f>IF(B752="","",E752*F752)</f>
        <v/>
      </c>
      <c r="T752" s="8">
        <f>IF(OR(B752="",N(G752)=0),"",ABS(F752-G752)*E752)</f>
        <v/>
      </c>
      <c r="U752" s="8">
        <f>IF(OR(B752="",P752=""),"",IF(D752="Venda",-1,1)*((N(J752)*N(K752)+N(L752)*N(M752)+N(N752)*N(O752))-(N(J752)+N(L752)+N(N752))*F752)-N(Q752))</f>
        <v/>
      </c>
      <c r="V752" s="9">
        <f>IF(OR(B752="",P752=""),"",U752/S752)</f>
        <v/>
      </c>
      <c r="W752">
        <f>IF(OR(B752="",P752=""),"",P752-C752)</f>
        <v/>
      </c>
      <c r="X752">
        <f>IF(B752="","",IF(P752="","Aberto","Fechado"))</f>
        <v/>
      </c>
    </row>
    <row r="753">
      <c r="C753" s="6" t="n"/>
      <c r="E753" s="10" t="n"/>
      <c r="F753" s="11" t="n"/>
      <c r="G753" s="11" t="n"/>
      <c r="H753" s="11" t="n"/>
      <c r="J753" s="10" t="n"/>
      <c r="K753" s="11" t="n"/>
      <c r="L753" s="10" t="n"/>
      <c r="M753" s="11" t="n"/>
      <c r="N753" s="10" t="n"/>
      <c r="O753" s="11" t="n"/>
      <c r="P753" s="6" t="n"/>
      <c r="Q753" s="11" t="n"/>
      <c r="S753" s="8">
        <f>IF(B753="","",E753*F753)</f>
        <v/>
      </c>
      <c r="T753" s="8">
        <f>IF(OR(B753="",N(G753)=0),"",ABS(F753-G753)*E753)</f>
        <v/>
      </c>
      <c r="U753" s="8">
        <f>IF(OR(B753="",P753=""),"",IF(D753="Venda",-1,1)*((N(J753)*N(K753)+N(L753)*N(M753)+N(N753)*N(O753))-(N(J753)+N(L753)+N(N753))*F753)-N(Q753))</f>
        <v/>
      </c>
      <c r="V753" s="9">
        <f>IF(OR(B753="",P753=""),"",U753/S753)</f>
        <v/>
      </c>
      <c r="W753">
        <f>IF(OR(B753="",P753=""),"",P753-C753)</f>
        <v/>
      </c>
      <c r="X753">
        <f>IF(B753="","",IF(P753="","Aberto","Fechado"))</f>
        <v/>
      </c>
    </row>
    <row r="754">
      <c r="C754" s="6" t="n"/>
      <c r="E754" s="10" t="n"/>
      <c r="F754" s="11" t="n"/>
      <c r="G754" s="11" t="n"/>
      <c r="H754" s="11" t="n"/>
      <c r="J754" s="10" t="n"/>
      <c r="K754" s="11" t="n"/>
      <c r="L754" s="10" t="n"/>
      <c r="M754" s="11" t="n"/>
      <c r="N754" s="10" t="n"/>
      <c r="O754" s="11" t="n"/>
      <c r="P754" s="6" t="n"/>
      <c r="Q754" s="11" t="n"/>
      <c r="S754" s="8">
        <f>IF(B754="","",E754*F754)</f>
        <v/>
      </c>
      <c r="T754" s="8">
        <f>IF(OR(B754="",N(G754)=0),"",ABS(F754-G754)*E754)</f>
        <v/>
      </c>
      <c r="U754" s="8">
        <f>IF(OR(B754="",P754=""),"",IF(D754="Venda",-1,1)*((N(J754)*N(K754)+N(L754)*N(M754)+N(N754)*N(O754))-(N(J754)+N(L754)+N(N754))*F754)-N(Q754))</f>
        <v/>
      </c>
      <c r="V754" s="9">
        <f>IF(OR(B754="",P754=""),"",U754/S754)</f>
        <v/>
      </c>
      <c r="W754">
        <f>IF(OR(B754="",P754=""),"",P754-C754)</f>
        <v/>
      </c>
      <c r="X754">
        <f>IF(B754="","",IF(P754="","Aberto","Fechado"))</f>
        <v/>
      </c>
    </row>
    <row r="755">
      <c r="C755" s="6" t="n"/>
      <c r="E755" s="10" t="n"/>
      <c r="F755" s="11" t="n"/>
      <c r="G755" s="11" t="n"/>
      <c r="H755" s="11" t="n"/>
      <c r="J755" s="10" t="n"/>
      <c r="K755" s="11" t="n"/>
      <c r="L755" s="10" t="n"/>
      <c r="M755" s="11" t="n"/>
      <c r="N755" s="10" t="n"/>
      <c r="O755" s="11" t="n"/>
      <c r="P755" s="6" t="n"/>
      <c r="Q755" s="11" t="n"/>
      <c r="S755" s="8">
        <f>IF(B755="","",E755*F755)</f>
        <v/>
      </c>
      <c r="T755" s="8">
        <f>IF(OR(B755="",N(G755)=0),"",ABS(F755-G755)*E755)</f>
        <v/>
      </c>
      <c r="U755" s="8">
        <f>IF(OR(B755="",P755=""),"",IF(D755="Venda",-1,1)*((N(J755)*N(K755)+N(L755)*N(M755)+N(N755)*N(O755))-(N(J755)+N(L755)+N(N755))*F755)-N(Q755))</f>
        <v/>
      </c>
      <c r="V755" s="9">
        <f>IF(OR(B755="",P755=""),"",U755/S755)</f>
        <v/>
      </c>
      <c r="W755">
        <f>IF(OR(B755="",P755=""),"",P755-C755)</f>
        <v/>
      </c>
      <c r="X755">
        <f>IF(B755="","",IF(P755="","Aberto","Fechado"))</f>
        <v/>
      </c>
    </row>
    <row r="756">
      <c r="C756" s="6" t="n"/>
      <c r="E756" s="10" t="n"/>
      <c r="F756" s="11" t="n"/>
      <c r="G756" s="11" t="n"/>
      <c r="H756" s="11" t="n"/>
      <c r="J756" s="10" t="n"/>
      <c r="K756" s="11" t="n"/>
      <c r="L756" s="10" t="n"/>
      <c r="M756" s="11" t="n"/>
      <c r="N756" s="10" t="n"/>
      <c r="O756" s="11" t="n"/>
      <c r="P756" s="6" t="n"/>
      <c r="Q756" s="11" t="n"/>
      <c r="S756" s="8">
        <f>IF(B756="","",E756*F756)</f>
        <v/>
      </c>
      <c r="T756" s="8">
        <f>IF(OR(B756="",N(G756)=0),"",ABS(F756-G756)*E756)</f>
        <v/>
      </c>
      <c r="U756" s="8">
        <f>IF(OR(B756="",P756=""),"",IF(D756="Venda",-1,1)*((N(J756)*N(K756)+N(L756)*N(M756)+N(N756)*N(O756))-(N(J756)+N(L756)+N(N756))*F756)-N(Q756))</f>
        <v/>
      </c>
      <c r="V756" s="9">
        <f>IF(OR(B756="",P756=""),"",U756/S756)</f>
        <v/>
      </c>
      <c r="W756">
        <f>IF(OR(B756="",P756=""),"",P756-C756)</f>
        <v/>
      </c>
      <c r="X756">
        <f>IF(B756="","",IF(P756="","Aberto","Fechado"))</f>
        <v/>
      </c>
    </row>
    <row r="757">
      <c r="C757" s="6" t="n"/>
      <c r="E757" s="10" t="n"/>
      <c r="F757" s="11" t="n"/>
      <c r="G757" s="11" t="n"/>
      <c r="H757" s="11" t="n"/>
      <c r="J757" s="10" t="n"/>
      <c r="K757" s="11" t="n"/>
      <c r="L757" s="10" t="n"/>
      <c r="M757" s="11" t="n"/>
      <c r="N757" s="10" t="n"/>
      <c r="O757" s="11" t="n"/>
      <c r="P757" s="6" t="n"/>
      <c r="Q757" s="11" t="n"/>
      <c r="S757" s="8">
        <f>IF(B757="","",E757*F757)</f>
        <v/>
      </c>
      <c r="T757" s="8">
        <f>IF(OR(B757="",N(G757)=0),"",ABS(F757-G757)*E757)</f>
        <v/>
      </c>
      <c r="U757" s="8">
        <f>IF(OR(B757="",P757=""),"",IF(D757="Venda",-1,1)*((N(J757)*N(K757)+N(L757)*N(M757)+N(N757)*N(O757))-(N(J757)+N(L757)+N(N757))*F757)-N(Q757))</f>
        <v/>
      </c>
      <c r="V757" s="9">
        <f>IF(OR(B757="",P757=""),"",U757/S757)</f>
        <v/>
      </c>
      <c r="W757">
        <f>IF(OR(B757="",P757=""),"",P757-C757)</f>
        <v/>
      </c>
      <c r="X757">
        <f>IF(B757="","",IF(P757="","Aberto","Fechado"))</f>
        <v/>
      </c>
    </row>
    <row r="758">
      <c r="C758" s="6" t="n"/>
      <c r="E758" s="10" t="n"/>
      <c r="F758" s="11" t="n"/>
      <c r="G758" s="11" t="n"/>
      <c r="H758" s="11" t="n"/>
      <c r="J758" s="10" t="n"/>
      <c r="K758" s="11" t="n"/>
      <c r="L758" s="10" t="n"/>
      <c r="M758" s="11" t="n"/>
      <c r="N758" s="10" t="n"/>
      <c r="O758" s="11" t="n"/>
      <c r="P758" s="6" t="n"/>
      <c r="Q758" s="11" t="n"/>
      <c r="S758" s="8">
        <f>IF(B758="","",E758*F758)</f>
        <v/>
      </c>
      <c r="T758" s="8">
        <f>IF(OR(B758="",N(G758)=0),"",ABS(F758-G758)*E758)</f>
        <v/>
      </c>
      <c r="U758" s="8">
        <f>IF(OR(B758="",P758=""),"",IF(D758="Venda",-1,1)*((N(J758)*N(K758)+N(L758)*N(M758)+N(N758)*N(O758))-(N(J758)+N(L758)+N(N758))*F758)-N(Q758))</f>
        <v/>
      </c>
      <c r="V758" s="9">
        <f>IF(OR(B758="",P758=""),"",U758/S758)</f>
        <v/>
      </c>
      <c r="W758">
        <f>IF(OR(B758="",P758=""),"",P758-C758)</f>
        <v/>
      </c>
      <c r="X758">
        <f>IF(B758="","",IF(P758="","Aberto","Fechado"))</f>
        <v/>
      </c>
    </row>
    <row r="759">
      <c r="C759" s="6" t="n"/>
      <c r="E759" s="10" t="n"/>
      <c r="F759" s="11" t="n"/>
      <c r="G759" s="11" t="n"/>
      <c r="H759" s="11" t="n"/>
      <c r="J759" s="10" t="n"/>
      <c r="K759" s="11" t="n"/>
      <c r="L759" s="10" t="n"/>
      <c r="M759" s="11" t="n"/>
      <c r="N759" s="10" t="n"/>
      <c r="O759" s="11" t="n"/>
      <c r="P759" s="6" t="n"/>
      <c r="Q759" s="11" t="n"/>
      <c r="S759" s="8">
        <f>IF(B759="","",E759*F759)</f>
        <v/>
      </c>
      <c r="T759" s="8">
        <f>IF(OR(B759="",N(G759)=0),"",ABS(F759-G759)*E759)</f>
        <v/>
      </c>
      <c r="U759" s="8">
        <f>IF(OR(B759="",P759=""),"",IF(D759="Venda",-1,1)*((N(J759)*N(K759)+N(L759)*N(M759)+N(N759)*N(O759))-(N(J759)+N(L759)+N(N759))*F759)-N(Q759))</f>
        <v/>
      </c>
      <c r="V759" s="9">
        <f>IF(OR(B759="",P759=""),"",U759/S759)</f>
        <v/>
      </c>
      <c r="W759">
        <f>IF(OR(B759="",P759=""),"",P759-C759)</f>
        <v/>
      </c>
      <c r="X759">
        <f>IF(B759="","",IF(P759="","Aberto","Fechado"))</f>
        <v/>
      </c>
    </row>
    <row r="760">
      <c r="C760" s="6" t="n"/>
      <c r="E760" s="10" t="n"/>
      <c r="F760" s="11" t="n"/>
      <c r="G760" s="11" t="n"/>
      <c r="H760" s="11" t="n"/>
      <c r="J760" s="10" t="n"/>
      <c r="K760" s="11" t="n"/>
      <c r="L760" s="10" t="n"/>
      <c r="M760" s="11" t="n"/>
      <c r="N760" s="10" t="n"/>
      <c r="O760" s="11" t="n"/>
      <c r="P760" s="6" t="n"/>
      <c r="Q760" s="11" t="n"/>
      <c r="S760" s="8">
        <f>IF(B760="","",E760*F760)</f>
        <v/>
      </c>
      <c r="T760" s="8">
        <f>IF(OR(B760="",N(G760)=0),"",ABS(F760-G760)*E760)</f>
        <v/>
      </c>
      <c r="U760" s="8">
        <f>IF(OR(B760="",P760=""),"",IF(D760="Venda",-1,1)*((N(J760)*N(K760)+N(L760)*N(M760)+N(N760)*N(O760))-(N(J760)+N(L760)+N(N760))*F760)-N(Q760))</f>
        <v/>
      </c>
      <c r="V760" s="9">
        <f>IF(OR(B760="",P760=""),"",U760/S760)</f>
        <v/>
      </c>
      <c r="W760">
        <f>IF(OR(B760="",P760=""),"",P760-C760)</f>
        <v/>
      </c>
      <c r="X760">
        <f>IF(B760="","",IF(P760="","Aberto","Fechado"))</f>
        <v/>
      </c>
    </row>
    <row r="761">
      <c r="C761" s="6" t="n"/>
      <c r="E761" s="10" t="n"/>
      <c r="F761" s="11" t="n"/>
      <c r="G761" s="11" t="n"/>
      <c r="H761" s="11" t="n"/>
      <c r="J761" s="10" t="n"/>
      <c r="K761" s="11" t="n"/>
      <c r="L761" s="10" t="n"/>
      <c r="M761" s="11" t="n"/>
      <c r="N761" s="10" t="n"/>
      <c r="O761" s="11" t="n"/>
      <c r="P761" s="6" t="n"/>
      <c r="Q761" s="11" t="n"/>
      <c r="S761" s="8">
        <f>IF(B761="","",E761*F761)</f>
        <v/>
      </c>
      <c r="T761" s="8">
        <f>IF(OR(B761="",N(G761)=0),"",ABS(F761-G761)*E761)</f>
        <v/>
      </c>
      <c r="U761" s="8">
        <f>IF(OR(B761="",P761=""),"",IF(D761="Venda",-1,1)*((N(J761)*N(K761)+N(L761)*N(M761)+N(N761)*N(O761))-(N(J761)+N(L761)+N(N761))*F761)-N(Q761))</f>
        <v/>
      </c>
      <c r="V761" s="9">
        <f>IF(OR(B761="",P761=""),"",U761/S761)</f>
        <v/>
      </c>
      <c r="W761">
        <f>IF(OR(B761="",P761=""),"",P761-C761)</f>
        <v/>
      </c>
      <c r="X761">
        <f>IF(B761="","",IF(P761="","Aberto","Fechado"))</f>
        <v/>
      </c>
    </row>
    <row r="762">
      <c r="C762" s="6" t="n"/>
      <c r="E762" s="10" t="n"/>
      <c r="F762" s="11" t="n"/>
      <c r="G762" s="11" t="n"/>
      <c r="H762" s="11" t="n"/>
      <c r="J762" s="10" t="n"/>
      <c r="K762" s="11" t="n"/>
      <c r="L762" s="10" t="n"/>
      <c r="M762" s="11" t="n"/>
      <c r="N762" s="10" t="n"/>
      <c r="O762" s="11" t="n"/>
      <c r="P762" s="6" t="n"/>
      <c r="Q762" s="11" t="n"/>
      <c r="S762" s="8">
        <f>IF(B762="","",E762*F762)</f>
        <v/>
      </c>
      <c r="T762" s="8">
        <f>IF(OR(B762="",N(G762)=0),"",ABS(F762-G762)*E762)</f>
        <v/>
      </c>
      <c r="U762" s="8">
        <f>IF(OR(B762="",P762=""),"",IF(D762="Venda",-1,1)*((N(J762)*N(K762)+N(L762)*N(M762)+N(N762)*N(O762))-(N(J762)+N(L762)+N(N762))*F762)-N(Q762))</f>
        <v/>
      </c>
      <c r="V762" s="9">
        <f>IF(OR(B762="",P762=""),"",U762/S762)</f>
        <v/>
      </c>
      <c r="W762">
        <f>IF(OR(B762="",P762=""),"",P762-C762)</f>
        <v/>
      </c>
      <c r="X762">
        <f>IF(B762="","",IF(P762="","Aberto","Fechado"))</f>
        <v/>
      </c>
    </row>
    <row r="763">
      <c r="C763" s="6" t="n"/>
      <c r="E763" s="10" t="n"/>
      <c r="F763" s="11" t="n"/>
      <c r="G763" s="11" t="n"/>
      <c r="H763" s="11" t="n"/>
      <c r="J763" s="10" t="n"/>
      <c r="K763" s="11" t="n"/>
      <c r="L763" s="10" t="n"/>
      <c r="M763" s="11" t="n"/>
      <c r="N763" s="10" t="n"/>
      <c r="O763" s="11" t="n"/>
      <c r="P763" s="6" t="n"/>
      <c r="Q763" s="11" t="n"/>
      <c r="S763" s="8">
        <f>IF(B763="","",E763*F763)</f>
        <v/>
      </c>
      <c r="T763" s="8">
        <f>IF(OR(B763="",N(G763)=0),"",ABS(F763-G763)*E763)</f>
        <v/>
      </c>
      <c r="U763" s="8">
        <f>IF(OR(B763="",P763=""),"",IF(D763="Venda",-1,1)*((N(J763)*N(K763)+N(L763)*N(M763)+N(N763)*N(O763))-(N(J763)+N(L763)+N(N763))*F763)-N(Q763))</f>
        <v/>
      </c>
      <c r="V763" s="9">
        <f>IF(OR(B763="",P763=""),"",U763/S763)</f>
        <v/>
      </c>
      <c r="W763">
        <f>IF(OR(B763="",P763=""),"",P763-C763)</f>
        <v/>
      </c>
      <c r="X763">
        <f>IF(B763="","",IF(P763="","Aberto","Fechado"))</f>
        <v/>
      </c>
    </row>
    <row r="764">
      <c r="C764" s="6" t="n"/>
      <c r="E764" s="10" t="n"/>
      <c r="F764" s="11" t="n"/>
      <c r="G764" s="11" t="n"/>
      <c r="H764" s="11" t="n"/>
      <c r="J764" s="10" t="n"/>
      <c r="K764" s="11" t="n"/>
      <c r="L764" s="10" t="n"/>
      <c r="M764" s="11" t="n"/>
      <c r="N764" s="10" t="n"/>
      <c r="O764" s="11" t="n"/>
      <c r="P764" s="6" t="n"/>
      <c r="Q764" s="11" t="n"/>
      <c r="S764" s="8">
        <f>IF(B764="","",E764*F764)</f>
        <v/>
      </c>
      <c r="T764" s="8">
        <f>IF(OR(B764="",N(G764)=0),"",ABS(F764-G764)*E764)</f>
        <v/>
      </c>
      <c r="U764" s="8">
        <f>IF(OR(B764="",P764=""),"",IF(D764="Venda",-1,1)*((N(J764)*N(K764)+N(L764)*N(M764)+N(N764)*N(O764))-(N(J764)+N(L764)+N(N764))*F764)-N(Q764))</f>
        <v/>
      </c>
      <c r="V764" s="9">
        <f>IF(OR(B764="",P764=""),"",U764/S764)</f>
        <v/>
      </c>
      <c r="W764">
        <f>IF(OR(B764="",P764=""),"",P764-C764)</f>
        <v/>
      </c>
      <c r="X764">
        <f>IF(B764="","",IF(P764="","Aberto","Fechado"))</f>
        <v/>
      </c>
    </row>
    <row r="765">
      <c r="C765" s="6" t="n"/>
      <c r="E765" s="10" t="n"/>
      <c r="F765" s="11" t="n"/>
      <c r="G765" s="11" t="n"/>
      <c r="H765" s="11" t="n"/>
      <c r="J765" s="10" t="n"/>
      <c r="K765" s="11" t="n"/>
      <c r="L765" s="10" t="n"/>
      <c r="M765" s="11" t="n"/>
      <c r="N765" s="10" t="n"/>
      <c r="O765" s="11" t="n"/>
      <c r="P765" s="6" t="n"/>
      <c r="Q765" s="11" t="n"/>
      <c r="S765" s="8">
        <f>IF(B765="","",E765*F765)</f>
        <v/>
      </c>
      <c r="T765" s="8">
        <f>IF(OR(B765="",N(G765)=0),"",ABS(F765-G765)*E765)</f>
        <v/>
      </c>
      <c r="U765" s="8">
        <f>IF(OR(B765="",P765=""),"",IF(D765="Venda",-1,1)*((N(J765)*N(K765)+N(L765)*N(M765)+N(N765)*N(O765))-(N(J765)+N(L765)+N(N765))*F765)-N(Q765))</f>
        <v/>
      </c>
      <c r="V765" s="9">
        <f>IF(OR(B765="",P765=""),"",U765/S765)</f>
        <v/>
      </c>
      <c r="W765">
        <f>IF(OR(B765="",P765=""),"",P765-C765)</f>
        <v/>
      </c>
      <c r="X765">
        <f>IF(B765="","",IF(P765="","Aberto","Fechado"))</f>
        <v/>
      </c>
    </row>
    <row r="766">
      <c r="C766" s="6" t="n"/>
      <c r="E766" s="10" t="n"/>
      <c r="F766" s="11" t="n"/>
      <c r="G766" s="11" t="n"/>
      <c r="H766" s="11" t="n"/>
      <c r="J766" s="10" t="n"/>
      <c r="K766" s="11" t="n"/>
      <c r="L766" s="10" t="n"/>
      <c r="M766" s="11" t="n"/>
      <c r="N766" s="10" t="n"/>
      <c r="O766" s="11" t="n"/>
      <c r="P766" s="6" t="n"/>
      <c r="Q766" s="11" t="n"/>
      <c r="S766" s="8">
        <f>IF(B766="","",E766*F766)</f>
        <v/>
      </c>
      <c r="T766" s="8">
        <f>IF(OR(B766="",N(G766)=0),"",ABS(F766-G766)*E766)</f>
        <v/>
      </c>
      <c r="U766" s="8">
        <f>IF(OR(B766="",P766=""),"",IF(D766="Venda",-1,1)*((N(J766)*N(K766)+N(L766)*N(M766)+N(N766)*N(O766))-(N(J766)+N(L766)+N(N766))*F766)-N(Q766))</f>
        <v/>
      </c>
      <c r="V766" s="9">
        <f>IF(OR(B766="",P766=""),"",U766/S766)</f>
        <v/>
      </c>
      <c r="W766">
        <f>IF(OR(B766="",P766=""),"",P766-C766)</f>
        <v/>
      </c>
      <c r="X766">
        <f>IF(B766="","",IF(P766="","Aberto","Fechado"))</f>
        <v/>
      </c>
    </row>
    <row r="767">
      <c r="C767" s="6" t="n"/>
      <c r="E767" s="10" t="n"/>
      <c r="F767" s="11" t="n"/>
      <c r="G767" s="11" t="n"/>
      <c r="H767" s="11" t="n"/>
      <c r="J767" s="10" t="n"/>
      <c r="K767" s="11" t="n"/>
      <c r="L767" s="10" t="n"/>
      <c r="M767" s="11" t="n"/>
      <c r="N767" s="10" t="n"/>
      <c r="O767" s="11" t="n"/>
      <c r="P767" s="6" t="n"/>
      <c r="Q767" s="11" t="n"/>
      <c r="S767" s="8">
        <f>IF(B767="","",E767*F767)</f>
        <v/>
      </c>
      <c r="T767" s="8">
        <f>IF(OR(B767="",N(G767)=0),"",ABS(F767-G767)*E767)</f>
        <v/>
      </c>
      <c r="U767" s="8">
        <f>IF(OR(B767="",P767=""),"",IF(D767="Venda",-1,1)*((N(J767)*N(K767)+N(L767)*N(M767)+N(N767)*N(O767))-(N(J767)+N(L767)+N(N767))*F767)-N(Q767))</f>
        <v/>
      </c>
      <c r="V767" s="9">
        <f>IF(OR(B767="",P767=""),"",U767/S767)</f>
        <v/>
      </c>
      <c r="W767">
        <f>IF(OR(B767="",P767=""),"",P767-C767)</f>
        <v/>
      </c>
      <c r="X767">
        <f>IF(B767="","",IF(P767="","Aberto","Fechado"))</f>
        <v/>
      </c>
    </row>
    <row r="768">
      <c r="C768" s="6" t="n"/>
      <c r="E768" s="10" t="n"/>
      <c r="F768" s="11" t="n"/>
      <c r="G768" s="11" t="n"/>
      <c r="H768" s="11" t="n"/>
      <c r="J768" s="10" t="n"/>
      <c r="K768" s="11" t="n"/>
      <c r="L768" s="10" t="n"/>
      <c r="M768" s="11" t="n"/>
      <c r="N768" s="10" t="n"/>
      <c r="O768" s="11" t="n"/>
      <c r="P768" s="6" t="n"/>
      <c r="Q768" s="11" t="n"/>
      <c r="S768" s="8">
        <f>IF(B768="","",E768*F768)</f>
        <v/>
      </c>
      <c r="T768" s="8">
        <f>IF(OR(B768="",N(G768)=0),"",ABS(F768-G768)*E768)</f>
        <v/>
      </c>
      <c r="U768" s="8">
        <f>IF(OR(B768="",P768=""),"",IF(D768="Venda",-1,1)*((N(J768)*N(K768)+N(L768)*N(M768)+N(N768)*N(O768))-(N(J768)+N(L768)+N(N768))*F768)-N(Q768))</f>
        <v/>
      </c>
      <c r="V768" s="9">
        <f>IF(OR(B768="",P768=""),"",U768/S768)</f>
        <v/>
      </c>
      <c r="W768">
        <f>IF(OR(B768="",P768=""),"",P768-C768)</f>
        <v/>
      </c>
      <c r="X768">
        <f>IF(B768="","",IF(P768="","Aberto","Fechado"))</f>
        <v/>
      </c>
    </row>
    <row r="769">
      <c r="C769" s="6" t="n"/>
      <c r="E769" s="10" t="n"/>
      <c r="F769" s="11" t="n"/>
      <c r="G769" s="11" t="n"/>
      <c r="H769" s="11" t="n"/>
      <c r="J769" s="10" t="n"/>
      <c r="K769" s="11" t="n"/>
      <c r="L769" s="10" t="n"/>
      <c r="M769" s="11" t="n"/>
      <c r="N769" s="10" t="n"/>
      <c r="O769" s="11" t="n"/>
      <c r="P769" s="6" t="n"/>
      <c r="Q769" s="11" t="n"/>
      <c r="S769" s="8">
        <f>IF(B769="","",E769*F769)</f>
        <v/>
      </c>
      <c r="T769" s="8">
        <f>IF(OR(B769="",N(G769)=0),"",ABS(F769-G769)*E769)</f>
        <v/>
      </c>
      <c r="U769" s="8">
        <f>IF(OR(B769="",P769=""),"",IF(D769="Venda",-1,1)*((N(J769)*N(K769)+N(L769)*N(M769)+N(N769)*N(O769))-(N(J769)+N(L769)+N(N769))*F769)-N(Q769))</f>
        <v/>
      </c>
      <c r="V769" s="9">
        <f>IF(OR(B769="",P769=""),"",U769/S769)</f>
        <v/>
      </c>
      <c r="W769">
        <f>IF(OR(B769="",P769=""),"",P769-C769)</f>
        <v/>
      </c>
      <c r="X769">
        <f>IF(B769="","",IF(P769="","Aberto","Fechado"))</f>
        <v/>
      </c>
    </row>
    <row r="770">
      <c r="C770" s="6" t="n"/>
      <c r="E770" s="10" t="n"/>
      <c r="F770" s="11" t="n"/>
      <c r="G770" s="11" t="n"/>
      <c r="H770" s="11" t="n"/>
      <c r="J770" s="10" t="n"/>
      <c r="K770" s="11" t="n"/>
      <c r="L770" s="10" t="n"/>
      <c r="M770" s="11" t="n"/>
      <c r="N770" s="10" t="n"/>
      <c r="O770" s="11" t="n"/>
      <c r="P770" s="6" t="n"/>
      <c r="Q770" s="11" t="n"/>
      <c r="S770" s="8">
        <f>IF(B770="","",E770*F770)</f>
        <v/>
      </c>
      <c r="T770" s="8">
        <f>IF(OR(B770="",N(G770)=0),"",ABS(F770-G770)*E770)</f>
        <v/>
      </c>
      <c r="U770" s="8">
        <f>IF(OR(B770="",P770=""),"",IF(D770="Venda",-1,1)*((N(J770)*N(K770)+N(L770)*N(M770)+N(N770)*N(O770))-(N(J770)+N(L770)+N(N770))*F770)-N(Q770))</f>
        <v/>
      </c>
      <c r="V770" s="9">
        <f>IF(OR(B770="",P770=""),"",U770/S770)</f>
        <v/>
      </c>
      <c r="W770">
        <f>IF(OR(B770="",P770=""),"",P770-C770)</f>
        <v/>
      </c>
      <c r="X770">
        <f>IF(B770="","",IF(P770="","Aberto","Fechado"))</f>
        <v/>
      </c>
    </row>
    <row r="771">
      <c r="C771" s="6" t="n"/>
      <c r="E771" s="10" t="n"/>
      <c r="F771" s="11" t="n"/>
      <c r="G771" s="11" t="n"/>
      <c r="H771" s="11" t="n"/>
      <c r="J771" s="10" t="n"/>
      <c r="K771" s="11" t="n"/>
      <c r="L771" s="10" t="n"/>
      <c r="M771" s="11" t="n"/>
      <c r="N771" s="10" t="n"/>
      <c r="O771" s="11" t="n"/>
      <c r="P771" s="6" t="n"/>
      <c r="Q771" s="11" t="n"/>
      <c r="S771" s="8">
        <f>IF(B771="","",E771*F771)</f>
        <v/>
      </c>
      <c r="T771" s="8">
        <f>IF(OR(B771="",N(G771)=0),"",ABS(F771-G771)*E771)</f>
        <v/>
      </c>
      <c r="U771" s="8">
        <f>IF(OR(B771="",P771=""),"",IF(D771="Venda",-1,1)*((N(J771)*N(K771)+N(L771)*N(M771)+N(N771)*N(O771))-(N(J771)+N(L771)+N(N771))*F771)-N(Q771))</f>
        <v/>
      </c>
      <c r="V771" s="9">
        <f>IF(OR(B771="",P771=""),"",U771/S771)</f>
        <v/>
      </c>
      <c r="W771">
        <f>IF(OR(B771="",P771=""),"",P771-C771)</f>
        <v/>
      </c>
      <c r="X771">
        <f>IF(B771="","",IF(P771="","Aberto","Fechado"))</f>
        <v/>
      </c>
    </row>
    <row r="772">
      <c r="C772" s="6" t="n"/>
      <c r="E772" s="10" t="n"/>
      <c r="F772" s="11" t="n"/>
      <c r="G772" s="11" t="n"/>
      <c r="H772" s="11" t="n"/>
      <c r="J772" s="10" t="n"/>
      <c r="K772" s="11" t="n"/>
      <c r="L772" s="10" t="n"/>
      <c r="M772" s="11" t="n"/>
      <c r="N772" s="10" t="n"/>
      <c r="O772" s="11" t="n"/>
      <c r="P772" s="6" t="n"/>
      <c r="Q772" s="11" t="n"/>
      <c r="S772" s="8">
        <f>IF(B772="","",E772*F772)</f>
        <v/>
      </c>
      <c r="T772" s="8">
        <f>IF(OR(B772="",N(G772)=0),"",ABS(F772-G772)*E772)</f>
        <v/>
      </c>
      <c r="U772" s="8">
        <f>IF(OR(B772="",P772=""),"",IF(D772="Venda",-1,1)*((N(J772)*N(K772)+N(L772)*N(M772)+N(N772)*N(O772))-(N(J772)+N(L772)+N(N772))*F772)-N(Q772))</f>
        <v/>
      </c>
      <c r="V772" s="9">
        <f>IF(OR(B772="",P772=""),"",U772/S772)</f>
        <v/>
      </c>
      <c r="W772">
        <f>IF(OR(B772="",P772=""),"",P772-C772)</f>
        <v/>
      </c>
      <c r="X772">
        <f>IF(B772="","",IF(P772="","Aberto","Fechado"))</f>
        <v/>
      </c>
    </row>
    <row r="773">
      <c r="C773" s="6" t="n"/>
      <c r="E773" s="10" t="n"/>
      <c r="F773" s="11" t="n"/>
      <c r="G773" s="11" t="n"/>
      <c r="H773" s="11" t="n"/>
      <c r="J773" s="10" t="n"/>
      <c r="K773" s="11" t="n"/>
      <c r="L773" s="10" t="n"/>
      <c r="M773" s="11" t="n"/>
      <c r="N773" s="10" t="n"/>
      <c r="O773" s="11" t="n"/>
      <c r="P773" s="6" t="n"/>
      <c r="Q773" s="11" t="n"/>
      <c r="S773" s="8">
        <f>IF(B773="","",E773*F773)</f>
        <v/>
      </c>
      <c r="T773" s="8">
        <f>IF(OR(B773="",N(G773)=0),"",ABS(F773-G773)*E773)</f>
        <v/>
      </c>
      <c r="U773" s="8">
        <f>IF(OR(B773="",P773=""),"",IF(D773="Venda",-1,1)*((N(J773)*N(K773)+N(L773)*N(M773)+N(N773)*N(O773))-(N(J773)+N(L773)+N(N773))*F773)-N(Q773))</f>
        <v/>
      </c>
      <c r="V773" s="9">
        <f>IF(OR(B773="",P773=""),"",U773/S773)</f>
        <v/>
      </c>
      <c r="W773">
        <f>IF(OR(B773="",P773=""),"",P773-C773)</f>
        <v/>
      </c>
      <c r="X773">
        <f>IF(B773="","",IF(P773="","Aberto","Fechado"))</f>
        <v/>
      </c>
    </row>
    <row r="774">
      <c r="C774" s="6" t="n"/>
      <c r="E774" s="10" t="n"/>
      <c r="F774" s="11" t="n"/>
      <c r="G774" s="11" t="n"/>
      <c r="H774" s="11" t="n"/>
      <c r="J774" s="10" t="n"/>
      <c r="K774" s="11" t="n"/>
      <c r="L774" s="10" t="n"/>
      <c r="M774" s="11" t="n"/>
      <c r="N774" s="10" t="n"/>
      <c r="O774" s="11" t="n"/>
      <c r="P774" s="6" t="n"/>
      <c r="Q774" s="11" t="n"/>
      <c r="S774" s="8">
        <f>IF(B774="","",E774*F774)</f>
        <v/>
      </c>
      <c r="T774" s="8">
        <f>IF(OR(B774="",N(G774)=0),"",ABS(F774-G774)*E774)</f>
        <v/>
      </c>
      <c r="U774" s="8">
        <f>IF(OR(B774="",P774=""),"",IF(D774="Venda",-1,1)*((N(J774)*N(K774)+N(L774)*N(M774)+N(N774)*N(O774))-(N(J774)+N(L774)+N(N774))*F774)-N(Q774))</f>
        <v/>
      </c>
      <c r="V774" s="9">
        <f>IF(OR(B774="",P774=""),"",U774/S774)</f>
        <v/>
      </c>
      <c r="W774">
        <f>IF(OR(B774="",P774=""),"",P774-C774)</f>
        <v/>
      </c>
      <c r="X774">
        <f>IF(B774="","",IF(P774="","Aberto","Fechado"))</f>
        <v/>
      </c>
    </row>
    <row r="775">
      <c r="C775" s="6" t="n"/>
      <c r="E775" s="10" t="n"/>
      <c r="F775" s="11" t="n"/>
      <c r="G775" s="11" t="n"/>
      <c r="H775" s="11" t="n"/>
      <c r="J775" s="10" t="n"/>
      <c r="K775" s="11" t="n"/>
      <c r="L775" s="10" t="n"/>
      <c r="M775" s="11" t="n"/>
      <c r="N775" s="10" t="n"/>
      <c r="O775" s="11" t="n"/>
      <c r="P775" s="6" t="n"/>
      <c r="Q775" s="11" t="n"/>
      <c r="S775" s="8">
        <f>IF(B775="","",E775*F775)</f>
        <v/>
      </c>
      <c r="T775" s="8">
        <f>IF(OR(B775="",N(G775)=0),"",ABS(F775-G775)*E775)</f>
        <v/>
      </c>
      <c r="U775" s="8">
        <f>IF(OR(B775="",P775=""),"",IF(D775="Venda",-1,1)*((N(J775)*N(K775)+N(L775)*N(M775)+N(N775)*N(O775))-(N(J775)+N(L775)+N(N775))*F775)-N(Q775))</f>
        <v/>
      </c>
      <c r="V775" s="9">
        <f>IF(OR(B775="",P775=""),"",U775/S775)</f>
        <v/>
      </c>
      <c r="W775">
        <f>IF(OR(B775="",P775=""),"",P775-C775)</f>
        <v/>
      </c>
      <c r="X775">
        <f>IF(B775="","",IF(P775="","Aberto","Fechado"))</f>
        <v/>
      </c>
    </row>
    <row r="776">
      <c r="C776" s="6" t="n"/>
      <c r="E776" s="10" t="n"/>
      <c r="F776" s="11" t="n"/>
      <c r="G776" s="11" t="n"/>
      <c r="H776" s="11" t="n"/>
      <c r="J776" s="10" t="n"/>
      <c r="K776" s="11" t="n"/>
      <c r="L776" s="10" t="n"/>
      <c r="M776" s="11" t="n"/>
      <c r="N776" s="10" t="n"/>
      <c r="O776" s="11" t="n"/>
      <c r="P776" s="6" t="n"/>
      <c r="Q776" s="11" t="n"/>
      <c r="S776" s="8">
        <f>IF(B776="","",E776*F776)</f>
        <v/>
      </c>
      <c r="T776" s="8">
        <f>IF(OR(B776="",N(G776)=0),"",ABS(F776-G776)*E776)</f>
        <v/>
      </c>
      <c r="U776" s="8">
        <f>IF(OR(B776="",P776=""),"",IF(D776="Venda",-1,1)*((N(J776)*N(K776)+N(L776)*N(M776)+N(N776)*N(O776))-(N(J776)+N(L776)+N(N776))*F776)-N(Q776))</f>
        <v/>
      </c>
      <c r="V776" s="9">
        <f>IF(OR(B776="",P776=""),"",U776/S776)</f>
        <v/>
      </c>
      <c r="W776">
        <f>IF(OR(B776="",P776=""),"",P776-C776)</f>
        <v/>
      </c>
      <c r="X776">
        <f>IF(B776="","",IF(P776="","Aberto","Fechado"))</f>
        <v/>
      </c>
    </row>
    <row r="777">
      <c r="C777" s="6" t="n"/>
      <c r="E777" s="10" t="n"/>
      <c r="F777" s="11" t="n"/>
      <c r="G777" s="11" t="n"/>
      <c r="H777" s="11" t="n"/>
      <c r="J777" s="10" t="n"/>
      <c r="K777" s="11" t="n"/>
      <c r="L777" s="10" t="n"/>
      <c r="M777" s="11" t="n"/>
      <c r="N777" s="10" t="n"/>
      <c r="O777" s="11" t="n"/>
      <c r="P777" s="6" t="n"/>
      <c r="Q777" s="11" t="n"/>
      <c r="S777" s="8">
        <f>IF(B777="","",E777*F777)</f>
        <v/>
      </c>
      <c r="T777" s="8">
        <f>IF(OR(B777="",N(G777)=0),"",ABS(F777-G777)*E777)</f>
        <v/>
      </c>
      <c r="U777" s="8">
        <f>IF(OR(B777="",P777=""),"",IF(D777="Venda",-1,1)*((N(J777)*N(K777)+N(L777)*N(M777)+N(N777)*N(O777))-(N(J777)+N(L777)+N(N777))*F777)-N(Q777))</f>
        <v/>
      </c>
      <c r="V777" s="9">
        <f>IF(OR(B777="",P777=""),"",U777/S777)</f>
        <v/>
      </c>
      <c r="W777">
        <f>IF(OR(B777="",P777=""),"",P777-C777)</f>
        <v/>
      </c>
      <c r="X777">
        <f>IF(B777="","",IF(P777="","Aberto","Fechado"))</f>
        <v/>
      </c>
    </row>
    <row r="778">
      <c r="C778" s="6" t="n"/>
      <c r="E778" s="10" t="n"/>
      <c r="F778" s="11" t="n"/>
      <c r="G778" s="11" t="n"/>
      <c r="H778" s="11" t="n"/>
      <c r="J778" s="10" t="n"/>
      <c r="K778" s="11" t="n"/>
      <c r="L778" s="10" t="n"/>
      <c r="M778" s="11" t="n"/>
      <c r="N778" s="10" t="n"/>
      <c r="O778" s="11" t="n"/>
      <c r="P778" s="6" t="n"/>
      <c r="Q778" s="11" t="n"/>
      <c r="S778" s="8">
        <f>IF(B778="","",E778*F778)</f>
        <v/>
      </c>
      <c r="T778" s="8">
        <f>IF(OR(B778="",N(G778)=0),"",ABS(F778-G778)*E778)</f>
        <v/>
      </c>
      <c r="U778" s="8">
        <f>IF(OR(B778="",P778=""),"",IF(D778="Venda",-1,1)*((N(J778)*N(K778)+N(L778)*N(M778)+N(N778)*N(O778))-(N(J778)+N(L778)+N(N778))*F778)-N(Q778))</f>
        <v/>
      </c>
      <c r="V778" s="9">
        <f>IF(OR(B778="",P778=""),"",U778/S778)</f>
        <v/>
      </c>
      <c r="W778">
        <f>IF(OR(B778="",P778=""),"",P778-C778)</f>
        <v/>
      </c>
      <c r="X778">
        <f>IF(B778="","",IF(P778="","Aberto","Fechado"))</f>
        <v/>
      </c>
    </row>
    <row r="779">
      <c r="C779" s="6" t="n"/>
      <c r="E779" s="10" t="n"/>
      <c r="F779" s="11" t="n"/>
      <c r="G779" s="11" t="n"/>
      <c r="H779" s="11" t="n"/>
      <c r="J779" s="10" t="n"/>
      <c r="K779" s="11" t="n"/>
      <c r="L779" s="10" t="n"/>
      <c r="M779" s="11" t="n"/>
      <c r="N779" s="10" t="n"/>
      <c r="O779" s="11" t="n"/>
      <c r="P779" s="6" t="n"/>
      <c r="Q779" s="11" t="n"/>
      <c r="S779" s="8">
        <f>IF(B779="","",E779*F779)</f>
        <v/>
      </c>
      <c r="T779" s="8">
        <f>IF(OR(B779="",N(G779)=0),"",ABS(F779-G779)*E779)</f>
        <v/>
      </c>
      <c r="U779" s="8">
        <f>IF(OR(B779="",P779=""),"",IF(D779="Venda",-1,1)*((N(J779)*N(K779)+N(L779)*N(M779)+N(N779)*N(O779))-(N(J779)+N(L779)+N(N779))*F779)-N(Q779))</f>
        <v/>
      </c>
      <c r="V779" s="9">
        <f>IF(OR(B779="",P779=""),"",U779/S779)</f>
        <v/>
      </c>
      <c r="W779">
        <f>IF(OR(B779="",P779=""),"",P779-C779)</f>
        <v/>
      </c>
      <c r="X779">
        <f>IF(B779="","",IF(P779="","Aberto","Fechado"))</f>
        <v/>
      </c>
    </row>
    <row r="780">
      <c r="C780" s="6" t="n"/>
      <c r="E780" s="10" t="n"/>
      <c r="F780" s="11" t="n"/>
      <c r="G780" s="11" t="n"/>
      <c r="H780" s="11" t="n"/>
      <c r="J780" s="10" t="n"/>
      <c r="K780" s="11" t="n"/>
      <c r="L780" s="10" t="n"/>
      <c r="M780" s="11" t="n"/>
      <c r="N780" s="10" t="n"/>
      <c r="O780" s="11" t="n"/>
      <c r="P780" s="6" t="n"/>
      <c r="Q780" s="11" t="n"/>
      <c r="S780" s="8">
        <f>IF(B780="","",E780*F780)</f>
        <v/>
      </c>
      <c r="T780" s="8">
        <f>IF(OR(B780="",N(G780)=0),"",ABS(F780-G780)*E780)</f>
        <v/>
      </c>
      <c r="U780" s="8">
        <f>IF(OR(B780="",P780=""),"",IF(D780="Venda",-1,1)*((N(J780)*N(K780)+N(L780)*N(M780)+N(N780)*N(O780))-(N(J780)+N(L780)+N(N780))*F780)-N(Q780))</f>
        <v/>
      </c>
      <c r="V780" s="9">
        <f>IF(OR(B780="",P780=""),"",U780/S780)</f>
        <v/>
      </c>
      <c r="W780">
        <f>IF(OR(B780="",P780=""),"",P780-C780)</f>
        <v/>
      </c>
      <c r="X780">
        <f>IF(B780="","",IF(P780="","Aberto","Fechado"))</f>
        <v/>
      </c>
    </row>
    <row r="781">
      <c r="C781" s="6" t="n"/>
      <c r="E781" s="10" t="n"/>
      <c r="F781" s="11" t="n"/>
      <c r="G781" s="11" t="n"/>
      <c r="H781" s="11" t="n"/>
      <c r="J781" s="10" t="n"/>
      <c r="K781" s="11" t="n"/>
      <c r="L781" s="10" t="n"/>
      <c r="M781" s="11" t="n"/>
      <c r="N781" s="10" t="n"/>
      <c r="O781" s="11" t="n"/>
      <c r="P781" s="6" t="n"/>
      <c r="Q781" s="11" t="n"/>
      <c r="S781" s="8">
        <f>IF(B781="","",E781*F781)</f>
        <v/>
      </c>
      <c r="T781" s="8">
        <f>IF(OR(B781="",N(G781)=0),"",ABS(F781-G781)*E781)</f>
        <v/>
      </c>
      <c r="U781" s="8">
        <f>IF(OR(B781="",P781=""),"",IF(D781="Venda",-1,1)*((N(J781)*N(K781)+N(L781)*N(M781)+N(N781)*N(O781))-(N(J781)+N(L781)+N(N781))*F781)-N(Q781))</f>
        <v/>
      </c>
      <c r="V781" s="9">
        <f>IF(OR(B781="",P781=""),"",U781/S781)</f>
        <v/>
      </c>
      <c r="W781">
        <f>IF(OR(B781="",P781=""),"",P781-C781)</f>
        <v/>
      </c>
      <c r="X781">
        <f>IF(B781="","",IF(P781="","Aberto","Fechado"))</f>
        <v/>
      </c>
    </row>
    <row r="782">
      <c r="C782" s="6" t="n"/>
      <c r="E782" s="10" t="n"/>
      <c r="F782" s="11" t="n"/>
      <c r="G782" s="11" t="n"/>
      <c r="H782" s="11" t="n"/>
      <c r="J782" s="10" t="n"/>
      <c r="K782" s="11" t="n"/>
      <c r="L782" s="10" t="n"/>
      <c r="M782" s="11" t="n"/>
      <c r="N782" s="10" t="n"/>
      <c r="O782" s="11" t="n"/>
      <c r="P782" s="6" t="n"/>
      <c r="Q782" s="11" t="n"/>
      <c r="S782" s="8">
        <f>IF(B782="","",E782*F782)</f>
        <v/>
      </c>
      <c r="T782" s="8">
        <f>IF(OR(B782="",N(G782)=0),"",ABS(F782-G782)*E782)</f>
        <v/>
      </c>
      <c r="U782" s="8">
        <f>IF(OR(B782="",P782=""),"",IF(D782="Venda",-1,1)*((N(J782)*N(K782)+N(L782)*N(M782)+N(N782)*N(O782))-(N(J782)+N(L782)+N(N782))*F782)-N(Q782))</f>
        <v/>
      </c>
      <c r="V782" s="9">
        <f>IF(OR(B782="",P782=""),"",U782/S782)</f>
        <v/>
      </c>
      <c r="W782">
        <f>IF(OR(B782="",P782=""),"",P782-C782)</f>
        <v/>
      </c>
      <c r="X782">
        <f>IF(B782="","",IF(P782="","Aberto","Fechado"))</f>
        <v/>
      </c>
    </row>
    <row r="783">
      <c r="C783" s="6" t="n"/>
      <c r="E783" s="10" t="n"/>
      <c r="F783" s="11" t="n"/>
      <c r="G783" s="11" t="n"/>
      <c r="H783" s="11" t="n"/>
      <c r="J783" s="10" t="n"/>
      <c r="K783" s="11" t="n"/>
      <c r="L783" s="10" t="n"/>
      <c r="M783" s="11" t="n"/>
      <c r="N783" s="10" t="n"/>
      <c r="O783" s="11" t="n"/>
      <c r="P783" s="6" t="n"/>
      <c r="Q783" s="11" t="n"/>
      <c r="S783" s="8">
        <f>IF(B783="","",E783*F783)</f>
        <v/>
      </c>
      <c r="T783" s="8">
        <f>IF(OR(B783="",N(G783)=0),"",ABS(F783-G783)*E783)</f>
        <v/>
      </c>
      <c r="U783" s="8">
        <f>IF(OR(B783="",P783=""),"",IF(D783="Venda",-1,1)*((N(J783)*N(K783)+N(L783)*N(M783)+N(N783)*N(O783))-(N(J783)+N(L783)+N(N783))*F783)-N(Q783))</f>
        <v/>
      </c>
      <c r="V783" s="9">
        <f>IF(OR(B783="",P783=""),"",U783/S783)</f>
        <v/>
      </c>
      <c r="W783">
        <f>IF(OR(B783="",P783=""),"",P783-C783)</f>
        <v/>
      </c>
      <c r="X783">
        <f>IF(B783="","",IF(P783="","Aberto","Fechado"))</f>
        <v/>
      </c>
    </row>
    <row r="784">
      <c r="C784" s="6" t="n"/>
      <c r="E784" s="10" t="n"/>
      <c r="F784" s="11" t="n"/>
      <c r="G784" s="11" t="n"/>
      <c r="H784" s="11" t="n"/>
      <c r="J784" s="10" t="n"/>
      <c r="K784" s="11" t="n"/>
      <c r="L784" s="10" t="n"/>
      <c r="M784" s="11" t="n"/>
      <c r="N784" s="10" t="n"/>
      <c r="O784" s="11" t="n"/>
      <c r="P784" s="6" t="n"/>
      <c r="Q784" s="11" t="n"/>
      <c r="S784" s="8">
        <f>IF(B784="","",E784*F784)</f>
        <v/>
      </c>
      <c r="T784" s="8">
        <f>IF(OR(B784="",N(G784)=0),"",ABS(F784-G784)*E784)</f>
        <v/>
      </c>
      <c r="U784" s="8">
        <f>IF(OR(B784="",P784=""),"",IF(D784="Venda",-1,1)*((N(J784)*N(K784)+N(L784)*N(M784)+N(N784)*N(O784))-(N(J784)+N(L784)+N(N784))*F784)-N(Q784))</f>
        <v/>
      </c>
      <c r="V784" s="9">
        <f>IF(OR(B784="",P784=""),"",U784/S784)</f>
        <v/>
      </c>
      <c r="W784">
        <f>IF(OR(B784="",P784=""),"",P784-C784)</f>
        <v/>
      </c>
      <c r="X784">
        <f>IF(B784="","",IF(P784="","Aberto","Fechado"))</f>
        <v/>
      </c>
    </row>
    <row r="785">
      <c r="C785" s="6" t="n"/>
      <c r="E785" s="10" t="n"/>
      <c r="F785" s="11" t="n"/>
      <c r="G785" s="11" t="n"/>
      <c r="H785" s="11" t="n"/>
      <c r="J785" s="10" t="n"/>
      <c r="K785" s="11" t="n"/>
      <c r="L785" s="10" t="n"/>
      <c r="M785" s="11" t="n"/>
      <c r="N785" s="10" t="n"/>
      <c r="O785" s="11" t="n"/>
      <c r="P785" s="6" t="n"/>
      <c r="Q785" s="11" t="n"/>
      <c r="S785" s="8">
        <f>IF(B785="","",E785*F785)</f>
        <v/>
      </c>
      <c r="T785" s="8">
        <f>IF(OR(B785="",N(G785)=0),"",ABS(F785-G785)*E785)</f>
        <v/>
      </c>
      <c r="U785" s="8">
        <f>IF(OR(B785="",P785=""),"",IF(D785="Venda",-1,1)*((N(J785)*N(K785)+N(L785)*N(M785)+N(N785)*N(O785))-(N(J785)+N(L785)+N(N785))*F785)-N(Q785))</f>
        <v/>
      </c>
      <c r="V785" s="9">
        <f>IF(OR(B785="",P785=""),"",U785/S785)</f>
        <v/>
      </c>
      <c r="W785">
        <f>IF(OR(B785="",P785=""),"",P785-C785)</f>
        <v/>
      </c>
      <c r="X785">
        <f>IF(B785="","",IF(P785="","Aberto","Fechado"))</f>
        <v/>
      </c>
    </row>
    <row r="786">
      <c r="C786" s="6" t="n"/>
      <c r="E786" s="10" t="n"/>
      <c r="F786" s="11" t="n"/>
      <c r="G786" s="11" t="n"/>
      <c r="H786" s="11" t="n"/>
      <c r="J786" s="10" t="n"/>
      <c r="K786" s="11" t="n"/>
      <c r="L786" s="10" t="n"/>
      <c r="M786" s="11" t="n"/>
      <c r="N786" s="10" t="n"/>
      <c r="O786" s="11" t="n"/>
      <c r="P786" s="6" t="n"/>
      <c r="Q786" s="11" t="n"/>
      <c r="S786" s="8">
        <f>IF(B786="","",E786*F786)</f>
        <v/>
      </c>
      <c r="T786" s="8">
        <f>IF(OR(B786="",N(G786)=0),"",ABS(F786-G786)*E786)</f>
        <v/>
      </c>
      <c r="U786" s="8">
        <f>IF(OR(B786="",P786=""),"",IF(D786="Venda",-1,1)*((N(J786)*N(K786)+N(L786)*N(M786)+N(N786)*N(O786))-(N(J786)+N(L786)+N(N786))*F786)-N(Q786))</f>
        <v/>
      </c>
      <c r="V786" s="9">
        <f>IF(OR(B786="",P786=""),"",U786/S786)</f>
        <v/>
      </c>
      <c r="W786">
        <f>IF(OR(B786="",P786=""),"",P786-C786)</f>
        <v/>
      </c>
      <c r="X786">
        <f>IF(B786="","",IF(P786="","Aberto","Fechado"))</f>
        <v/>
      </c>
    </row>
    <row r="787">
      <c r="C787" s="6" t="n"/>
      <c r="E787" s="10" t="n"/>
      <c r="F787" s="11" t="n"/>
      <c r="G787" s="11" t="n"/>
      <c r="H787" s="11" t="n"/>
      <c r="J787" s="10" t="n"/>
      <c r="K787" s="11" t="n"/>
      <c r="L787" s="10" t="n"/>
      <c r="M787" s="11" t="n"/>
      <c r="N787" s="10" t="n"/>
      <c r="O787" s="11" t="n"/>
      <c r="P787" s="6" t="n"/>
      <c r="Q787" s="11" t="n"/>
      <c r="S787" s="8">
        <f>IF(B787="","",E787*F787)</f>
        <v/>
      </c>
      <c r="T787" s="8">
        <f>IF(OR(B787="",N(G787)=0),"",ABS(F787-G787)*E787)</f>
        <v/>
      </c>
      <c r="U787" s="8">
        <f>IF(OR(B787="",P787=""),"",IF(D787="Venda",-1,1)*((N(J787)*N(K787)+N(L787)*N(M787)+N(N787)*N(O787))-(N(J787)+N(L787)+N(N787))*F787)-N(Q787))</f>
        <v/>
      </c>
      <c r="V787" s="9">
        <f>IF(OR(B787="",P787=""),"",U787/S787)</f>
        <v/>
      </c>
      <c r="W787">
        <f>IF(OR(B787="",P787=""),"",P787-C787)</f>
        <v/>
      </c>
      <c r="X787">
        <f>IF(B787="","",IF(P787="","Aberto","Fechado"))</f>
        <v/>
      </c>
    </row>
    <row r="788">
      <c r="C788" s="6" t="n"/>
      <c r="E788" s="10" t="n"/>
      <c r="F788" s="11" t="n"/>
      <c r="G788" s="11" t="n"/>
      <c r="H788" s="11" t="n"/>
      <c r="J788" s="10" t="n"/>
      <c r="K788" s="11" t="n"/>
      <c r="L788" s="10" t="n"/>
      <c r="M788" s="11" t="n"/>
      <c r="N788" s="10" t="n"/>
      <c r="O788" s="11" t="n"/>
      <c r="P788" s="6" t="n"/>
      <c r="Q788" s="11" t="n"/>
      <c r="S788" s="8">
        <f>IF(B788="","",E788*F788)</f>
        <v/>
      </c>
      <c r="T788" s="8">
        <f>IF(OR(B788="",N(G788)=0),"",ABS(F788-G788)*E788)</f>
        <v/>
      </c>
      <c r="U788" s="8">
        <f>IF(OR(B788="",P788=""),"",IF(D788="Venda",-1,1)*((N(J788)*N(K788)+N(L788)*N(M788)+N(N788)*N(O788))-(N(J788)+N(L788)+N(N788))*F788)-N(Q788))</f>
        <v/>
      </c>
      <c r="V788" s="9">
        <f>IF(OR(B788="",P788=""),"",U788/S788)</f>
        <v/>
      </c>
      <c r="W788">
        <f>IF(OR(B788="",P788=""),"",P788-C788)</f>
        <v/>
      </c>
      <c r="X788">
        <f>IF(B788="","",IF(P788="","Aberto","Fechado"))</f>
        <v/>
      </c>
    </row>
    <row r="789">
      <c r="C789" s="6" t="n"/>
      <c r="E789" s="10" t="n"/>
      <c r="F789" s="11" t="n"/>
      <c r="G789" s="11" t="n"/>
      <c r="H789" s="11" t="n"/>
      <c r="J789" s="10" t="n"/>
      <c r="K789" s="11" t="n"/>
      <c r="L789" s="10" t="n"/>
      <c r="M789" s="11" t="n"/>
      <c r="N789" s="10" t="n"/>
      <c r="O789" s="11" t="n"/>
      <c r="P789" s="6" t="n"/>
      <c r="Q789" s="11" t="n"/>
      <c r="S789" s="8">
        <f>IF(B789="","",E789*F789)</f>
        <v/>
      </c>
      <c r="T789" s="8">
        <f>IF(OR(B789="",N(G789)=0),"",ABS(F789-G789)*E789)</f>
        <v/>
      </c>
      <c r="U789" s="8">
        <f>IF(OR(B789="",P789=""),"",IF(D789="Venda",-1,1)*((N(J789)*N(K789)+N(L789)*N(M789)+N(N789)*N(O789))-(N(J789)+N(L789)+N(N789))*F789)-N(Q789))</f>
        <v/>
      </c>
      <c r="V789" s="9">
        <f>IF(OR(B789="",P789=""),"",U789/S789)</f>
        <v/>
      </c>
      <c r="W789">
        <f>IF(OR(B789="",P789=""),"",P789-C789)</f>
        <v/>
      </c>
      <c r="X789">
        <f>IF(B789="","",IF(P789="","Aberto","Fechado"))</f>
        <v/>
      </c>
    </row>
    <row r="790">
      <c r="C790" s="6" t="n"/>
      <c r="E790" s="10" t="n"/>
      <c r="F790" s="11" t="n"/>
      <c r="G790" s="11" t="n"/>
      <c r="H790" s="11" t="n"/>
      <c r="J790" s="10" t="n"/>
      <c r="K790" s="11" t="n"/>
      <c r="L790" s="10" t="n"/>
      <c r="M790" s="11" t="n"/>
      <c r="N790" s="10" t="n"/>
      <c r="O790" s="11" t="n"/>
      <c r="P790" s="6" t="n"/>
      <c r="Q790" s="11" t="n"/>
      <c r="S790" s="8">
        <f>IF(B790="","",E790*F790)</f>
        <v/>
      </c>
      <c r="T790" s="8">
        <f>IF(OR(B790="",N(G790)=0),"",ABS(F790-G790)*E790)</f>
        <v/>
      </c>
      <c r="U790" s="8">
        <f>IF(OR(B790="",P790=""),"",IF(D790="Venda",-1,1)*((N(J790)*N(K790)+N(L790)*N(M790)+N(N790)*N(O790))-(N(J790)+N(L790)+N(N790))*F790)-N(Q790))</f>
        <v/>
      </c>
      <c r="V790" s="9">
        <f>IF(OR(B790="",P790=""),"",U790/S790)</f>
        <v/>
      </c>
      <c r="W790">
        <f>IF(OR(B790="",P790=""),"",P790-C790)</f>
        <v/>
      </c>
      <c r="X790">
        <f>IF(B790="","",IF(P790="","Aberto","Fechado"))</f>
        <v/>
      </c>
    </row>
    <row r="791">
      <c r="C791" s="6" t="n"/>
      <c r="E791" s="10" t="n"/>
      <c r="F791" s="11" t="n"/>
      <c r="G791" s="11" t="n"/>
      <c r="H791" s="11" t="n"/>
      <c r="J791" s="10" t="n"/>
      <c r="K791" s="11" t="n"/>
      <c r="L791" s="10" t="n"/>
      <c r="M791" s="11" t="n"/>
      <c r="N791" s="10" t="n"/>
      <c r="O791" s="11" t="n"/>
      <c r="P791" s="6" t="n"/>
      <c r="Q791" s="11" t="n"/>
      <c r="S791" s="8">
        <f>IF(B791="","",E791*F791)</f>
        <v/>
      </c>
      <c r="T791" s="8">
        <f>IF(OR(B791="",N(G791)=0),"",ABS(F791-G791)*E791)</f>
        <v/>
      </c>
      <c r="U791" s="8">
        <f>IF(OR(B791="",P791=""),"",IF(D791="Venda",-1,1)*((N(J791)*N(K791)+N(L791)*N(M791)+N(N791)*N(O791))-(N(J791)+N(L791)+N(N791))*F791)-N(Q791))</f>
        <v/>
      </c>
      <c r="V791" s="9">
        <f>IF(OR(B791="",P791=""),"",U791/S791)</f>
        <v/>
      </c>
      <c r="W791">
        <f>IF(OR(B791="",P791=""),"",P791-C791)</f>
        <v/>
      </c>
      <c r="X791">
        <f>IF(B791="","",IF(P791="","Aberto","Fechado"))</f>
        <v/>
      </c>
    </row>
    <row r="792">
      <c r="C792" s="6" t="n"/>
      <c r="E792" s="10" t="n"/>
      <c r="F792" s="11" t="n"/>
      <c r="G792" s="11" t="n"/>
      <c r="H792" s="11" t="n"/>
      <c r="J792" s="10" t="n"/>
      <c r="K792" s="11" t="n"/>
      <c r="L792" s="10" t="n"/>
      <c r="M792" s="11" t="n"/>
      <c r="N792" s="10" t="n"/>
      <c r="O792" s="11" t="n"/>
      <c r="P792" s="6" t="n"/>
      <c r="Q792" s="11" t="n"/>
      <c r="S792" s="8">
        <f>IF(B792="","",E792*F792)</f>
        <v/>
      </c>
      <c r="T792" s="8">
        <f>IF(OR(B792="",N(G792)=0),"",ABS(F792-G792)*E792)</f>
        <v/>
      </c>
      <c r="U792" s="8">
        <f>IF(OR(B792="",P792=""),"",IF(D792="Venda",-1,1)*((N(J792)*N(K792)+N(L792)*N(M792)+N(N792)*N(O792))-(N(J792)+N(L792)+N(N792))*F792)-N(Q792))</f>
        <v/>
      </c>
      <c r="V792" s="9">
        <f>IF(OR(B792="",P792=""),"",U792/S792)</f>
        <v/>
      </c>
      <c r="W792">
        <f>IF(OR(B792="",P792=""),"",P792-C792)</f>
        <v/>
      </c>
      <c r="X792">
        <f>IF(B792="","",IF(P792="","Aberto","Fechado"))</f>
        <v/>
      </c>
    </row>
    <row r="793">
      <c r="C793" s="6" t="n"/>
      <c r="E793" s="10" t="n"/>
      <c r="F793" s="11" t="n"/>
      <c r="G793" s="11" t="n"/>
      <c r="H793" s="11" t="n"/>
      <c r="J793" s="10" t="n"/>
      <c r="K793" s="11" t="n"/>
      <c r="L793" s="10" t="n"/>
      <c r="M793" s="11" t="n"/>
      <c r="N793" s="10" t="n"/>
      <c r="O793" s="11" t="n"/>
      <c r="P793" s="6" t="n"/>
      <c r="Q793" s="11" t="n"/>
      <c r="S793" s="8">
        <f>IF(B793="","",E793*F793)</f>
        <v/>
      </c>
      <c r="T793" s="8">
        <f>IF(OR(B793="",N(G793)=0),"",ABS(F793-G793)*E793)</f>
        <v/>
      </c>
      <c r="U793" s="8">
        <f>IF(OR(B793="",P793=""),"",IF(D793="Venda",-1,1)*((N(J793)*N(K793)+N(L793)*N(M793)+N(N793)*N(O793))-(N(J793)+N(L793)+N(N793))*F793)-N(Q793))</f>
        <v/>
      </c>
      <c r="V793" s="9">
        <f>IF(OR(B793="",P793=""),"",U793/S793)</f>
        <v/>
      </c>
      <c r="W793">
        <f>IF(OR(B793="",P793=""),"",P793-C793)</f>
        <v/>
      </c>
      <c r="X793">
        <f>IF(B793="","",IF(P793="","Aberto","Fechado"))</f>
        <v/>
      </c>
    </row>
    <row r="794">
      <c r="C794" s="6" t="n"/>
      <c r="E794" s="10" t="n"/>
      <c r="F794" s="11" t="n"/>
      <c r="G794" s="11" t="n"/>
      <c r="H794" s="11" t="n"/>
      <c r="J794" s="10" t="n"/>
      <c r="K794" s="11" t="n"/>
      <c r="L794" s="10" t="n"/>
      <c r="M794" s="11" t="n"/>
      <c r="N794" s="10" t="n"/>
      <c r="O794" s="11" t="n"/>
      <c r="P794" s="6" t="n"/>
      <c r="Q794" s="11" t="n"/>
      <c r="S794" s="8">
        <f>IF(B794="","",E794*F794)</f>
        <v/>
      </c>
      <c r="T794" s="8">
        <f>IF(OR(B794="",N(G794)=0),"",ABS(F794-G794)*E794)</f>
        <v/>
      </c>
      <c r="U794" s="8">
        <f>IF(OR(B794="",P794=""),"",IF(D794="Venda",-1,1)*((N(J794)*N(K794)+N(L794)*N(M794)+N(N794)*N(O794))-(N(J794)+N(L794)+N(N794))*F794)-N(Q794))</f>
        <v/>
      </c>
      <c r="V794" s="9">
        <f>IF(OR(B794="",P794=""),"",U794/S794)</f>
        <v/>
      </c>
      <c r="W794">
        <f>IF(OR(B794="",P794=""),"",P794-C794)</f>
        <v/>
      </c>
      <c r="X794">
        <f>IF(B794="","",IF(P794="","Aberto","Fechado"))</f>
        <v/>
      </c>
    </row>
    <row r="795">
      <c r="C795" s="6" t="n"/>
      <c r="E795" s="10" t="n"/>
      <c r="F795" s="11" t="n"/>
      <c r="G795" s="11" t="n"/>
      <c r="H795" s="11" t="n"/>
      <c r="J795" s="10" t="n"/>
      <c r="K795" s="11" t="n"/>
      <c r="L795" s="10" t="n"/>
      <c r="M795" s="11" t="n"/>
      <c r="N795" s="10" t="n"/>
      <c r="O795" s="11" t="n"/>
      <c r="P795" s="6" t="n"/>
      <c r="Q795" s="11" t="n"/>
      <c r="S795" s="8">
        <f>IF(B795="","",E795*F795)</f>
        <v/>
      </c>
      <c r="T795" s="8">
        <f>IF(OR(B795="",N(G795)=0),"",ABS(F795-G795)*E795)</f>
        <v/>
      </c>
      <c r="U795" s="8">
        <f>IF(OR(B795="",P795=""),"",IF(D795="Venda",-1,1)*((N(J795)*N(K795)+N(L795)*N(M795)+N(N795)*N(O795))-(N(J795)+N(L795)+N(N795))*F795)-N(Q795))</f>
        <v/>
      </c>
      <c r="V795" s="9">
        <f>IF(OR(B795="",P795=""),"",U795/S795)</f>
        <v/>
      </c>
      <c r="W795">
        <f>IF(OR(B795="",P795=""),"",P795-C795)</f>
        <v/>
      </c>
      <c r="X795">
        <f>IF(B795="","",IF(P795="","Aberto","Fechado"))</f>
        <v/>
      </c>
    </row>
    <row r="796">
      <c r="C796" s="6" t="n"/>
      <c r="E796" s="10" t="n"/>
      <c r="F796" s="11" t="n"/>
      <c r="G796" s="11" t="n"/>
      <c r="H796" s="11" t="n"/>
      <c r="J796" s="10" t="n"/>
      <c r="K796" s="11" t="n"/>
      <c r="L796" s="10" t="n"/>
      <c r="M796" s="11" t="n"/>
      <c r="N796" s="10" t="n"/>
      <c r="O796" s="11" t="n"/>
      <c r="P796" s="6" t="n"/>
      <c r="Q796" s="11" t="n"/>
      <c r="S796" s="8">
        <f>IF(B796="","",E796*F796)</f>
        <v/>
      </c>
      <c r="T796" s="8">
        <f>IF(OR(B796="",N(G796)=0),"",ABS(F796-G796)*E796)</f>
        <v/>
      </c>
      <c r="U796" s="8">
        <f>IF(OR(B796="",P796=""),"",IF(D796="Venda",-1,1)*((N(J796)*N(K796)+N(L796)*N(M796)+N(N796)*N(O796))-(N(J796)+N(L796)+N(N796))*F796)-N(Q796))</f>
        <v/>
      </c>
      <c r="V796" s="9">
        <f>IF(OR(B796="",P796=""),"",U796/S796)</f>
        <v/>
      </c>
      <c r="W796">
        <f>IF(OR(B796="",P796=""),"",P796-C796)</f>
        <v/>
      </c>
      <c r="X796">
        <f>IF(B796="","",IF(P796="","Aberto","Fechado"))</f>
        <v/>
      </c>
    </row>
    <row r="797">
      <c r="C797" s="6" t="n"/>
      <c r="E797" s="10" t="n"/>
      <c r="F797" s="11" t="n"/>
      <c r="G797" s="11" t="n"/>
      <c r="H797" s="11" t="n"/>
      <c r="J797" s="10" t="n"/>
      <c r="K797" s="11" t="n"/>
      <c r="L797" s="10" t="n"/>
      <c r="M797" s="11" t="n"/>
      <c r="N797" s="10" t="n"/>
      <c r="O797" s="11" t="n"/>
      <c r="P797" s="6" t="n"/>
      <c r="Q797" s="11" t="n"/>
      <c r="S797" s="8">
        <f>IF(B797="","",E797*F797)</f>
        <v/>
      </c>
      <c r="T797" s="8">
        <f>IF(OR(B797="",N(G797)=0),"",ABS(F797-G797)*E797)</f>
        <v/>
      </c>
      <c r="U797" s="8">
        <f>IF(OR(B797="",P797=""),"",IF(D797="Venda",-1,1)*((N(J797)*N(K797)+N(L797)*N(M797)+N(N797)*N(O797))-(N(J797)+N(L797)+N(N797))*F797)-N(Q797))</f>
        <v/>
      </c>
      <c r="V797" s="9">
        <f>IF(OR(B797="",P797=""),"",U797/S797)</f>
        <v/>
      </c>
      <c r="W797">
        <f>IF(OR(B797="",P797=""),"",P797-C797)</f>
        <v/>
      </c>
      <c r="X797">
        <f>IF(B797="","",IF(P797="","Aberto","Fechado"))</f>
        <v/>
      </c>
    </row>
    <row r="798">
      <c r="C798" s="6" t="n"/>
      <c r="E798" s="10" t="n"/>
      <c r="F798" s="11" t="n"/>
      <c r="G798" s="11" t="n"/>
      <c r="H798" s="11" t="n"/>
      <c r="J798" s="10" t="n"/>
      <c r="K798" s="11" t="n"/>
      <c r="L798" s="10" t="n"/>
      <c r="M798" s="11" t="n"/>
      <c r="N798" s="10" t="n"/>
      <c r="O798" s="11" t="n"/>
      <c r="P798" s="6" t="n"/>
      <c r="Q798" s="11" t="n"/>
      <c r="S798" s="8">
        <f>IF(B798="","",E798*F798)</f>
        <v/>
      </c>
      <c r="T798" s="8">
        <f>IF(OR(B798="",N(G798)=0),"",ABS(F798-G798)*E798)</f>
        <v/>
      </c>
      <c r="U798" s="8">
        <f>IF(OR(B798="",P798=""),"",IF(D798="Venda",-1,1)*((N(J798)*N(K798)+N(L798)*N(M798)+N(N798)*N(O798))-(N(J798)+N(L798)+N(N798))*F798)-N(Q798))</f>
        <v/>
      </c>
      <c r="V798" s="9">
        <f>IF(OR(B798="",P798=""),"",U798/S798)</f>
        <v/>
      </c>
      <c r="W798">
        <f>IF(OR(B798="",P798=""),"",P798-C798)</f>
        <v/>
      </c>
      <c r="X798">
        <f>IF(B798="","",IF(P798="","Aberto","Fechado"))</f>
        <v/>
      </c>
    </row>
    <row r="799">
      <c r="C799" s="6" t="n"/>
      <c r="E799" s="10" t="n"/>
      <c r="F799" s="11" t="n"/>
      <c r="G799" s="11" t="n"/>
      <c r="H799" s="11" t="n"/>
      <c r="J799" s="10" t="n"/>
      <c r="K799" s="11" t="n"/>
      <c r="L799" s="10" t="n"/>
      <c r="M799" s="11" t="n"/>
      <c r="N799" s="10" t="n"/>
      <c r="O799" s="11" t="n"/>
      <c r="P799" s="6" t="n"/>
      <c r="Q799" s="11" t="n"/>
      <c r="S799" s="8">
        <f>IF(B799="","",E799*F799)</f>
        <v/>
      </c>
      <c r="T799" s="8">
        <f>IF(OR(B799="",N(G799)=0),"",ABS(F799-G799)*E799)</f>
        <v/>
      </c>
      <c r="U799" s="8">
        <f>IF(OR(B799="",P799=""),"",IF(D799="Venda",-1,1)*((N(J799)*N(K799)+N(L799)*N(M799)+N(N799)*N(O799))-(N(J799)+N(L799)+N(N799))*F799)-N(Q799))</f>
        <v/>
      </c>
      <c r="V799" s="9">
        <f>IF(OR(B799="",P799=""),"",U799/S799)</f>
        <v/>
      </c>
      <c r="W799">
        <f>IF(OR(B799="",P799=""),"",P799-C799)</f>
        <v/>
      </c>
      <c r="X799">
        <f>IF(B799="","",IF(P799="","Aberto","Fechado"))</f>
        <v/>
      </c>
    </row>
    <row r="800">
      <c r="C800" s="6" t="n"/>
      <c r="E800" s="10" t="n"/>
      <c r="F800" s="11" t="n"/>
      <c r="G800" s="11" t="n"/>
      <c r="H800" s="11" t="n"/>
      <c r="J800" s="10" t="n"/>
      <c r="K800" s="11" t="n"/>
      <c r="L800" s="10" t="n"/>
      <c r="M800" s="11" t="n"/>
      <c r="N800" s="10" t="n"/>
      <c r="O800" s="11" t="n"/>
      <c r="P800" s="6" t="n"/>
      <c r="Q800" s="11" t="n"/>
      <c r="S800" s="8">
        <f>IF(B800="","",E800*F800)</f>
        <v/>
      </c>
      <c r="T800" s="8">
        <f>IF(OR(B800="",N(G800)=0),"",ABS(F800-G800)*E800)</f>
        <v/>
      </c>
      <c r="U800" s="8">
        <f>IF(OR(B800="",P800=""),"",IF(D800="Venda",-1,1)*((N(J800)*N(K800)+N(L800)*N(M800)+N(N800)*N(O800))-(N(J800)+N(L800)+N(N800))*F800)-N(Q800))</f>
        <v/>
      </c>
      <c r="V800" s="9">
        <f>IF(OR(B800="",P800=""),"",U800/S800)</f>
        <v/>
      </c>
      <c r="W800">
        <f>IF(OR(B800="",P800=""),"",P800-C800)</f>
        <v/>
      </c>
      <c r="X800">
        <f>IF(B800="","",IF(P800="","Aberto","Fechado"))</f>
        <v/>
      </c>
    </row>
    <row r="801">
      <c r="C801" s="6" t="n"/>
      <c r="E801" s="10" t="n"/>
      <c r="F801" s="11" t="n"/>
      <c r="G801" s="11" t="n"/>
      <c r="H801" s="11" t="n"/>
      <c r="J801" s="10" t="n"/>
      <c r="K801" s="11" t="n"/>
      <c r="L801" s="10" t="n"/>
      <c r="M801" s="11" t="n"/>
      <c r="N801" s="10" t="n"/>
      <c r="O801" s="11" t="n"/>
      <c r="P801" s="6" t="n"/>
      <c r="Q801" s="11" t="n"/>
      <c r="S801" s="8">
        <f>IF(B801="","",E801*F801)</f>
        <v/>
      </c>
      <c r="T801" s="8">
        <f>IF(OR(B801="",N(G801)=0),"",ABS(F801-G801)*E801)</f>
        <v/>
      </c>
      <c r="U801" s="8">
        <f>IF(OR(B801="",P801=""),"",IF(D801="Venda",-1,1)*((N(J801)*N(K801)+N(L801)*N(M801)+N(N801)*N(O801))-(N(J801)+N(L801)+N(N801))*F801)-N(Q801))</f>
        <v/>
      </c>
      <c r="V801" s="9">
        <f>IF(OR(B801="",P801=""),"",U801/S801)</f>
        <v/>
      </c>
      <c r="W801">
        <f>IF(OR(B801="",P801=""),"",P801-C801)</f>
        <v/>
      </c>
      <c r="X801">
        <f>IF(B801="","",IF(P801="","Aberto","Fechado"))</f>
        <v/>
      </c>
    </row>
    <row r="802">
      <c r="C802" s="6" t="n"/>
      <c r="E802" s="10" t="n"/>
      <c r="F802" s="11" t="n"/>
      <c r="G802" s="11" t="n"/>
      <c r="H802" s="11" t="n"/>
      <c r="J802" s="10" t="n"/>
      <c r="K802" s="11" t="n"/>
      <c r="L802" s="10" t="n"/>
      <c r="M802" s="11" t="n"/>
      <c r="N802" s="10" t="n"/>
      <c r="O802" s="11" t="n"/>
      <c r="P802" s="6" t="n"/>
      <c r="Q802" s="11" t="n"/>
      <c r="S802" s="8">
        <f>IF(B802="","",E802*F802)</f>
        <v/>
      </c>
      <c r="T802" s="8">
        <f>IF(OR(B802="",N(G802)=0),"",ABS(F802-G802)*E802)</f>
        <v/>
      </c>
      <c r="U802" s="8">
        <f>IF(OR(B802="",P802=""),"",IF(D802="Venda",-1,1)*((N(J802)*N(K802)+N(L802)*N(M802)+N(N802)*N(O802))-(N(J802)+N(L802)+N(N802))*F802)-N(Q802))</f>
        <v/>
      </c>
      <c r="V802" s="9">
        <f>IF(OR(B802="",P802=""),"",U802/S802)</f>
        <v/>
      </c>
      <c r="W802">
        <f>IF(OR(B802="",P802=""),"",P802-C802)</f>
        <v/>
      </c>
      <c r="X802">
        <f>IF(B802="","",IF(P802="","Aberto","Fechado"))</f>
        <v/>
      </c>
    </row>
    <row r="803">
      <c r="C803" s="6" t="n"/>
      <c r="E803" s="10" t="n"/>
      <c r="F803" s="11" t="n"/>
      <c r="G803" s="11" t="n"/>
      <c r="H803" s="11" t="n"/>
      <c r="J803" s="10" t="n"/>
      <c r="K803" s="11" t="n"/>
      <c r="L803" s="10" t="n"/>
      <c r="M803" s="11" t="n"/>
      <c r="N803" s="10" t="n"/>
      <c r="O803" s="11" t="n"/>
      <c r="P803" s="6" t="n"/>
      <c r="Q803" s="11" t="n"/>
      <c r="S803" s="8">
        <f>IF(B803="","",E803*F803)</f>
        <v/>
      </c>
      <c r="T803" s="8">
        <f>IF(OR(B803="",N(G803)=0),"",ABS(F803-G803)*E803)</f>
        <v/>
      </c>
      <c r="U803" s="8">
        <f>IF(OR(B803="",P803=""),"",IF(D803="Venda",-1,1)*((N(J803)*N(K803)+N(L803)*N(M803)+N(N803)*N(O803))-(N(J803)+N(L803)+N(N803))*F803)-N(Q803))</f>
        <v/>
      </c>
      <c r="V803" s="9">
        <f>IF(OR(B803="",P803=""),"",U803/S803)</f>
        <v/>
      </c>
      <c r="W803">
        <f>IF(OR(B803="",P803=""),"",P803-C803)</f>
        <v/>
      </c>
      <c r="X803">
        <f>IF(B803="","",IF(P803="","Aberto","Fechado"))</f>
        <v/>
      </c>
    </row>
    <row r="804">
      <c r="C804" s="6" t="n"/>
      <c r="E804" s="10" t="n"/>
      <c r="F804" s="11" t="n"/>
      <c r="G804" s="11" t="n"/>
      <c r="H804" s="11" t="n"/>
      <c r="J804" s="10" t="n"/>
      <c r="K804" s="11" t="n"/>
      <c r="L804" s="10" t="n"/>
      <c r="M804" s="11" t="n"/>
      <c r="N804" s="10" t="n"/>
      <c r="O804" s="11" t="n"/>
      <c r="P804" s="6" t="n"/>
      <c r="Q804" s="11" t="n"/>
      <c r="S804" s="8">
        <f>IF(B804="","",E804*F804)</f>
        <v/>
      </c>
      <c r="T804" s="8">
        <f>IF(OR(B804="",N(G804)=0),"",ABS(F804-G804)*E804)</f>
        <v/>
      </c>
      <c r="U804" s="8">
        <f>IF(OR(B804="",P804=""),"",IF(D804="Venda",-1,1)*((N(J804)*N(K804)+N(L804)*N(M804)+N(N804)*N(O804))-(N(J804)+N(L804)+N(N804))*F804)-N(Q804))</f>
        <v/>
      </c>
      <c r="V804" s="9">
        <f>IF(OR(B804="",P804=""),"",U804/S804)</f>
        <v/>
      </c>
      <c r="W804">
        <f>IF(OR(B804="",P804=""),"",P804-C804)</f>
        <v/>
      </c>
      <c r="X804">
        <f>IF(B804="","",IF(P804="","Aberto","Fechado"))</f>
        <v/>
      </c>
    </row>
    <row r="805">
      <c r="C805" s="6" t="n"/>
      <c r="E805" s="10" t="n"/>
      <c r="F805" s="11" t="n"/>
      <c r="G805" s="11" t="n"/>
      <c r="H805" s="11" t="n"/>
      <c r="J805" s="10" t="n"/>
      <c r="K805" s="11" t="n"/>
      <c r="L805" s="10" t="n"/>
      <c r="M805" s="11" t="n"/>
      <c r="N805" s="10" t="n"/>
      <c r="O805" s="11" t="n"/>
      <c r="P805" s="6" t="n"/>
      <c r="Q805" s="11" t="n"/>
      <c r="S805" s="8">
        <f>IF(B805="","",E805*F805)</f>
        <v/>
      </c>
      <c r="T805" s="8">
        <f>IF(OR(B805="",N(G805)=0),"",ABS(F805-G805)*E805)</f>
        <v/>
      </c>
      <c r="U805" s="8">
        <f>IF(OR(B805="",P805=""),"",IF(D805="Venda",-1,1)*((N(J805)*N(K805)+N(L805)*N(M805)+N(N805)*N(O805))-(N(J805)+N(L805)+N(N805))*F805)-N(Q805))</f>
        <v/>
      </c>
      <c r="V805" s="9">
        <f>IF(OR(B805="",P805=""),"",U805/S805)</f>
        <v/>
      </c>
      <c r="W805">
        <f>IF(OR(B805="",P805=""),"",P805-C805)</f>
        <v/>
      </c>
      <c r="X805">
        <f>IF(B805="","",IF(P805="","Aberto","Fechado"))</f>
        <v/>
      </c>
    </row>
    <row r="806">
      <c r="C806" s="6" t="n"/>
      <c r="E806" s="10" t="n"/>
      <c r="F806" s="11" t="n"/>
      <c r="G806" s="11" t="n"/>
      <c r="H806" s="11" t="n"/>
      <c r="J806" s="10" t="n"/>
      <c r="K806" s="11" t="n"/>
      <c r="L806" s="10" t="n"/>
      <c r="M806" s="11" t="n"/>
      <c r="N806" s="10" t="n"/>
      <c r="O806" s="11" t="n"/>
      <c r="P806" s="6" t="n"/>
      <c r="Q806" s="11" t="n"/>
      <c r="S806" s="8">
        <f>IF(B806="","",E806*F806)</f>
        <v/>
      </c>
      <c r="T806" s="8">
        <f>IF(OR(B806="",N(G806)=0),"",ABS(F806-G806)*E806)</f>
        <v/>
      </c>
      <c r="U806" s="8">
        <f>IF(OR(B806="",P806=""),"",IF(D806="Venda",-1,1)*((N(J806)*N(K806)+N(L806)*N(M806)+N(N806)*N(O806))-(N(J806)+N(L806)+N(N806))*F806)-N(Q806))</f>
        <v/>
      </c>
      <c r="V806" s="9">
        <f>IF(OR(B806="",P806=""),"",U806/S806)</f>
        <v/>
      </c>
      <c r="W806">
        <f>IF(OR(B806="",P806=""),"",P806-C806)</f>
        <v/>
      </c>
      <c r="X806">
        <f>IF(B806="","",IF(P806="","Aberto","Fechado"))</f>
        <v/>
      </c>
    </row>
    <row r="807">
      <c r="C807" s="6" t="n"/>
      <c r="E807" s="10" t="n"/>
      <c r="F807" s="11" t="n"/>
      <c r="G807" s="11" t="n"/>
      <c r="H807" s="11" t="n"/>
      <c r="J807" s="10" t="n"/>
      <c r="K807" s="11" t="n"/>
      <c r="L807" s="10" t="n"/>
      <c r="M807" s="11" t="n"/>
      <c r="N807" s="10" t="n"/>
      <c r="O807" s="11" t="n"/>
      <c r="P807" s="6" t="n"/>
      <c r="Q807" s="11" t="n"/>
      <c r="S807" s="8">
        <f>IF(B807="","",E807*F807)</f>
        <v/>
      </c>
      <c r="T807" s="8">
        <f>IF(OR(B807="",N(G807)=0),"",ABS(F807-G807)*E807)</f>
        <v/>
      </c>
      <c r="U807" s="8">
        <f>IF(OR(B807="",P807=""),"",IF(D807="Venda",-1,1)*((N(J807)*N(K807)+N(L807)*N(M807)+N(N807)*N(O807))-(N(J807)+N(L807)+N(N807))*F807)-N(Q807))</f>
        <v/>
      </c>
      <c r="V807" s="9">
        <f>IF(OR(B807="",P807=""),"",U807/S807)</f>
        <v/>
      </c>
      <c r="W807">
        <f>IF(OR(B807="",P807=""),"",P807-C807)</f>
        <v/>
      </c>
      <c r="X807">
        <f>IF(B807="","",IF(P807="","Aberto","Fechado"))</f>
        <v/>
      </c>
    </row>
    <row r="808">
      <c r="C808" s="6" t="n"/>
      <c r="E808" s="10" t="n"/>
      <c r="F808" s="11" t="n"/>
      <c r="G808" s="11" t="n"/>
      <c r="H808" s="11" t="n"/>
      <c r="J808" s="10" t="n"/>
      <c r="K808" s="11" t="n"/>
      <c r="L808" s="10" t="n"/>
      <c r="M808" s="11" t="n"/>
      <c r="N808" s="10" t="n"/>
      <c r="O808" s="11" t="n"/>
      <c r="P808" s="6" t="n"/>
      <c r="Q808" s="11" t="n"/>
      <c r="S808" s="8">
        <f>IF(B808="","",E808*F808)</f>
        <v/>
      </c>
      <c r="T808" s="8">
        <f>IF(OR(B808="",N(G808)=0),"",ABS(F808-G808)*E808)</f>
        <v/>
      </c>
      <c r="U808" s="8">
        <f>IF(OR(B808="",P808=""),"",IF(D808="Venda",-1,1)*((N(J808)*N(K808)+N(L808)*N(M808)+N(N808)*N(O808))-(N(J808)+N(L808)+N(N808))*F808)-N(Q808))</f>
        <v/>
      </c>
      <c r="V808" s="9">
        <f>IF(OR(B808="",P808=""),"",U808/S808)</f>
        <v/>
      </c>
      <c r="W808">
        <f>IF(OR(B808="",P808=""),"",P808-C808)</f>
        <v/>
      </c>
      <c r="X808">
        <f>IF(B808="","",IF(P808="","Aberto","Fechado"))</f>
        <v/>
      </c>
    </row>
    <row r="809">
      <c r="C809" s="6" t="n"/>
      <c r="E809" s="10" t="n"/>
      <c r="F809" s="11" t="n"/>
      <c r="G809" s="11" t="n"/>
      <c r="H809" s="11" t="n"/>
      <c r="J809" s="10" t="n"/>
      <c r="K809" s="11" t="n"/>
      <c r="L809" s="10" t="n"/>
      <c r="M809" s="11" t="n"/>
      <c r="N809" s="10" t="n"/>
      <c r="O809" s="11" t="n"/>
      <c r="P809" s="6" t="n"/>
      <c r="Q809" s="11" t="n"/>
      <c r="S809" s="8">
        <f>IF(B809="","",E809*F809)</f>
        <v/>
      </c>
      <c r="T809" s="8">
        <f>IF(OR(B809="",N(G809)=0),"",ABS(F809-G809)*E809)</f>
        <v/>
      </c>
      <c r="U809" s="8">
        <f>IF(OR(B809="",P809=""),"",IF(D809="Venda",-1,1)*((N(J809)*N(K809)+N(L809)*N(M809)+N(N809)*N(O809))-(N(J809)+N(L809)+N(N809))*F809)-N(Q809))</f>
        <v/>
      </c>
      <c r="V809" s="9">
        <f>IF(OR(B809="",P809=""),"",U809/S809)</f>
        <v/>
      </c>
      <c r="W809">
        <f>IF(OR(B809="",P809=""),"",P809-C809)</f>
        <v/>
      </c>
      <c r="X809">
        <f>IF(B809="","",IF(P809="","Aberto","Fechado"))</f>
        <v/>
      </c>
    </row>
    <row r="810">
      <c r="C810" s="6" t="n"/>
      <c r="E810" s="10" t="n"/>
      <c r="F810" s="11" t="n"/>
      <c r="G810" s="11" t="n"/>
      <c r="H810" s="11" t="n"/>
      <c r="J810" s="10" t="n"/>
      <c r="K810" s="11" t="n"/>
      <c r="L810" s="10" t="n"/>
      <c r="M810" s="11" t="n"/>
      <c r="N810" s="10" t="n"/>
      <c r="O810" s="11" t="n"/>
      <c r="P810" s="6" t="n"/>
      <c r="Q810" s="11" t="n"/>
      <c r="S810" s="8">
        <f>IF(B810="","",E810*F810)</f>
        <v/>
      </c>
      <c r="T810" s="8">
        <f>IF(OR(B810="",N(G810)=0),"",ABS(F810-G810)*E810)</f>
        <v/>
      </c>
      <c r="U810" s="8">
        <f>IF(OR(B810="",P810=""),"",IF(D810="Venda",-1,1)*((N(J810)*N(K810)+N(L810)*N(M810)+N(N810)*N(O810))-(N(J810)+N(L810)+N(N810))*F810)-N(Q810))</f>
        <v/>
      </c>
      <c r="V810" s="9">
        <f>IF(OR(B810="",P810=""),"",U810/S810)</f>
        <v/>
      </c>
      <c r="W810">
        <f>IF(OR(B810="",P810=""),"",P810-C810)</f>
        <v/>
      </c>
      <c r="X810">
        <f>IF(B810="","",IF(P810="","Aberto","Fechado"))</f>
        <v/>
      </c>
    </row>
    <row r="811">
      <c r="C811" s="6" t="n"/>
      <c r="E811" s="10" t="n"/>
      <c r="F811" s="11" t="n"/>
      <c r="G811" s="11" t="n"/>
      <c r="H811" s="11" t="n"/>
      <c r="J811" s="10" t="n"/>
      <c r="K811" s="11" t="n"/>
      <c r="L811" s="10" t="n"/>
      <c r="M811" s="11" t="n"/>
      <c r="N811" s="10" t="n"/>
      <c r="O811" s="11" t="n"/>
      <c r="P811" s="6" t="n"/>
      <c r="Q811" s="11" t="n"/>
      <c r="S811" s="8">
        <f>IF(B811="","",E811*F811)</f>
        <v/>
      </c>
      <c r="T811" s="8">
        <f>IF(OR(B811="",N(G811)=0),"",ABS(F811-G811)*E811)</f>
        <v/>
      </c>
      <c r="U811" s="8">
        <f>IF(OR(B811="",P811=""),"",IF(D811="Venda",-1,1)*((N(J811)*N(K811)+N(L811)*N(M811)+N(N811)*N(O811))-(N(J811)+N(L811)+N(N811))*F811)-N(Q811))</f>
        <v/>
      </c>
      <c r="V811" s="9">
        <f>IF(OR(B811="",P811=""),"",U811/S811)</f>
        <v/>
      </c>
      <c r="W811">
        <f>IF(OR(B811="",P811=""),"",P811-C811)</f>
        <v/>
      </c>
      <c r="X811">
        <f>IF(B811="","",IF(P811="","Aberto","Fechado"))</f>
        <v/>
      </c>
    </row>
    <row r="812">
      <c r="C812" s="6" t="n"/>
      <c r="E812" s="10" t="n"/>
      <c r="F812" s="11" t="n"/>
      <c r="G812" s="11" t="n"/>
      <c r="H812" s="11" t="n"/>
      <c r="J812" s="10" t="n"/>
      <c r="K812" s="11" t="n"/>
      <c r="L812" s="10" t="n"/>
      <c r="M812" s="11" t="n"/>
      <c r="N812" s="10" t="n"/>
      <c r="O812" s="11" t="n"/>
      <c r="P812" s="6" t="n"/>
      <c r="Q812" s="11" t="n"/>
      <c r="S812" s="8">
        <f>IF(B812="","",E812*F812)</f>
        <v/>
      </c>
      <c r="T812" s="8">
        <f>IF(OR(B812="",N(G812)=0),"",ABS(F812-G812)*E812)</f>
        <v/>
      </c>
      <c r="U812" s="8">
        <f>IF(OR(B812="",P812=""),"",IF(D812="Venda",-1,1)*((N(J812)*N(K812)+N(L812)*N(M812)+N(N812)*N(O812))-(N(J812)+N(L812)+N(N812))*F812)-N(Q812))</f>
        <v/>
      </c>
      <c r="V812" s="9">
        <f>IF(OR(B812="",P812=""),"",U812/S812)</f>
        <v/>
      </c>
      <c r="W812">
        <f>IF(OR(B812="",P812=""),"",P812-C812)</f>
        <v/>
      </c>
      <c r="X812">
        <f>IF(B812="","",IF(P812="","Aberto","Fechado"))</f>
        <v/>
      </c>
    </row>
    <row r="813">
      <c r="C813" s="6" t="n"/>
      <c r="E813" s="10" t="n"/>
      <c r="F813" s="11" t="n"/>
      <c r="G813" s="11" t="n"/>
      <c r="H813" s="11" t="n"/>
      <c r="J813" s="10" t="n"/>
      <c r="K813" s="11" t="n"/>
      <c r="L813" s="10" t="n"/>
      <c r="M813" s="11" t="n"/>
      <c r="N813" s="10" t="n"/>
      <c r="O813" s="11" t="n"/>
      <c r="P813" s="6" t="n"/>
      <c r="Q813" s="11" t="n"/>
      <c r="S813" s="8">
        <f>IF(B813="","",E813*F813)</f>
        <v/>
      </c>
      <c r="T813" s="8">
        <f>IF(OR(B813="",N(G813)=0),"",ABS(F813-G813)*E813)</f>
        <v/>
      </c>
      <c r="U813" s="8">
        <f>IF(OR(B813="",P813=""),"",IF(D813="Venda",-1,1)*((N(J813)*N(K813)+N(L813)*N(M813)+N(N813)*N(O813))-(N(J813)+N(L813)+N(N813))*F813)-N(Q813))</f>
        <v/>
      </c>
      <c r="V813" s="9">
        <f>IF(OR(B813="",P813=""),"",U813/S813)</f>
        <v/>
      </c>
      <c r="W813">
        <f>IF(OR(B813="",P813=""),"",P813-C813)</f>
        <v/>
      </c>
      <c r="X813">
        <f>IF(B813="","",IF(P813="","Aberto","Fechado"))</f>
        <v/>
      </c>
    </row>
    <row r="814">
      <c r="C814" s="6" t="n"/>
      <c r="E814" s="10" t="n"/>
      <c r="F814" s="11" t="n"/>
      <c r="G814" s="11" t="n"/>
      <c r="H814" s="11" t="n"/>
      <c r="J814" s="10" t="n"/>
      <c r="K814" s="11" t="n"/>
      <c r="L814" s="10" t="n"/>
      <c r="M814" s="11" t="n"/>
      <c r="N814" s="10" t="n"/>
      <c r="O814" s="11" t="n"/>
      <c r="P814" s="6" t="n"/>
      <c r="Q814" s="11" t="n"/>
      <c r="S814" s="8">
        <f>IF(B814="","",E814*F814)</f>
        <v/>
      </c>
      <c r="T814" s="8">
        <f>IF(OR(B814="",N(G814)=0),"",ABS(F814-G814)*E814)</f>
        <v/>
      </c>
      <c r="U814" s="8">
        <f>IF(OR(B814="",P814=""),"",IF(D814="Venda",-1,1)*((N(J814)*N(K814)+N(L814)*N(M814)+N(N814)*N(O814))-(N(J814)+N(L814)+N(N814))*F814)-N(Q814))</f>
        <v/>
      </c>
      <c r="V814" s="9">
        <f>IF(OR(B814="",P814=""),"",U814/S814)</f>
        <v/>
      </c>
      <c r="W814">
        <f>IF(OR(B814="",P814=""),"",P814-C814)</f>
        <v/>
      </c>
      <c r="X814">
        <f>IF(B814="","",IF(P814="","Aberto","Fechado"))</f>
        <v/>
      </c>
    </row>
    <row r="815">
      <c r="C815" s="6" t="n"/>
      <c r="E815" s="10" t="n"/>
      <c r="F815" s="11" t="n"/>
      <c r="G815" s="11" t="n"/>
      <c r="H815" s="11" t="n"/>
      <c r="J815" s="10" t="n"/>
      <c r="K815" s="11" t="n"/>
      <c r="L815" s="10" t="n"/>
      <c r="M815" s="11" t="n"/>
      <c r="N815" s="10" t="n"/>
      <c r="O815" s="11" t="n"/>
      <c r="P815" s="6" t="n"/>
      <c r="Q815" s="11" t="n"/>
      <c r="S815" s="8">
        <f>IF(B815="","",E815*F815)</f>
        <v/>
      </c>
      <c r="T815" s="8">
        <f>IF(OR(B815="",N(G815)=0),"",ABS(F815-G815)*E815)</f>
        <v/>
      </c>
      <c r="U815" s="8">
        <f>IF(OR(B815="",P815=""),"",IF(D815="Venda",-1,1)*((N(J815)*N(K815)+N(L815)*N(M815)+N(N815)*N(O815))-(N(J815)+N(L815)+N(N815))*F815)-N(Q815))</f>
        <v/>
      </c>
      <c r="V815" s="9">
        <f>IF(OR(B815="",P815=""),"",U815/S815)</f>
        <v/>
      </c>
      <c r="W815">
        <f>IF(OR(B815="",P815=""),"",P815-C815)</f>
        <v/>
      </c>
      <c r="X815">
        <f>IF(B815="","",IF(P815="","Aberto","Fechado"))</f>
        <v/>
      </c>
    </row>
    <row r="816">
      <c r="C816" s="6" t="n"/>
      <c r="E816" s="10" t="n"/>
      <c r="F816" s="11" t="n"/>
      <c r="G816" s="11" t="n"/>
      <c r="H816" s="11" t="n"/>
      <c r="J816" s="10" t="n"/>
      <c r="K816" s="11" t="n"/>
      <c r="L816" s="10" t="n"/>
      <c r="M816" s="11" t="n"/>
      <c r="N816" s="10" t="n"/>
      <c r="O816" s="11" t="n"/>
      <c r="P816" s="6" t="n"/>
      <c r="Q816" s="11" t="n"/>
      <c r="S816" s="8">
        <f>IF(B816="","",E816*F816)</f>
        <v/>
      </c>
      <c r="T816" s="8">
        <f>IF(OR(B816="",N(G816)=0),"",ABS(F816-G816)*E816)</f>
        <v/>
      </c>
      <c r="U816" s="8">
        <f>IF(OR(B816="",P816=""),"",IF(D816="Venda",-1,1)*((N(J816)*N(K816)+N(L816)*N(M816)+N(N816)*N(O816))-(N(J816)+N(L816)+N(N816))*F816)-N(Q816))</f>
        <v/>
      </c>
      <c r="V816" s="9">
        <f>IF(OR(B816="",P816=""),"",U816/S816)</f>
        <v/>
      </c>
      <c r="W816">
        <f>IF(OR(B816="",P816=""),"",P816-C816)</f>
        <v/>
      </c>
      <c r="X816">
        <f>IF(B816="","",IF(P816="","Aberto","Fechado"))</f>
        <v/>
      </c>
    </row>
    <row r="817">
      <c r="C817" s="6" t="n"/>
      <c r="E817" s="10" t="n"/>
      <c r="F817" s="11" t="n"/>
      <c r="G817" s="11" t="n"/>
      <c r="H817" s="11" t="n"/>
      <c r="J817" s="10" t="n"/>
      <c r="K817" s="11" t="n"/>
      <c r="L817" s="10" t="n"/>
      <c r="M817" s="11" t="n"/>
      <c r="N817" s="10" t="n"/>
      <c r="O817" s="11" t="n"/>
      <c r="P817" s="6" t="n"/>
      <c r="Q817" s="11" t="n"/>
      <c r="S817" s="8">
        <f>IF(B817="","",E817*F817)</f>
        <v/>
      </c>
      <c r="T817" s="8">
        <f>IF(OR(B817="",N(G817)=0),"",ABS(F817-G817)*E817)</f>
        <v/>
      </c>
      <c r="U817" s="8">
        <f>IF(OR(B817="",P817=""),"",IF(D817="Venda",-1,1)*((N(J817)*N(K817)+N(L817)*N(M817)+N(N817)*N(O817))-(N(J817)+N(L817)+N(N817))*F817)-N(Q817))</f>
        <v/>
      </c>
      <c r="V817" s="9">
        <f>IF(OR(B817="",P817=""),"",U817/S817)</f>
        <v/>
      </c>
      <c r="W817">
        <f>IF(OR(B817="",P817=""),"",P817-C817)</f>
        <v/>
      </c>
      <c r="X817">
        <f>IF(B817="","",IF(P817="","Aberto","Fechado"))</f>
        <v/>
      </c>
    </row>
    <row r="818">
      <c r="C818" s="6" t="n"/>
      <c r="E818" s="10" t="n"/>
      <c r="F818" s="11" t="n"/>
      <c r="G818" s="11" t="n"/>
      <c r="H818" s="11" t="n"/>
      <c r="J818" s="10" t="n"/>
      <c r="K818" s="11" t="n"/>
      <c r="L818" s="10" t="n"/>
      <c r="M818" s="11" t="n"/>
      <c r="N818" s="10" t="n"/>
      <c r="O818" s="11" t="n"/>
      <c r="P818" s="6" t="n"/>
      <c r="Q818" s="11" t="n"/>
      <c r="S818" s="8">
        <f>IF(B818="","",E818*F818)</f>
        <v/>
      </c>
      <c r="T818" s="8">
        <f>IF(OR(B818="",N(G818)=0),"",ABS(F818-G818)*E818)</f>
        <v/>
      </c>
      <c r="U818" s="8">
        <f>IF(OR(B818="",P818=""),"",IF(D818="Venda",-1,1)*((N(J818)*N(K818)+N(L818)*N(M818)+N(N818)*N(O818))-(N(J818)+N(L818)+N(N818))*F818)-N(Q818))</f>
        <v/>
      </c>
      <c r="V818" s="9">
        <f>IF(OR(B818="",P818=""),"",U818/S818)</f>
        <v/>
      </c>
      <c r="W818">
        <f>IF(OR(B818="",P818=""),"",P818-C818)</f>
        <v/>
      </c>
      <c r="X818">
        <f>IF(B818="","",IF(P818="","Aberto","Fechado"))</f>
        <v/>
      </c>
    </row>
    <row r="819">
      <c r="C819" s="6" t="n"/>
      <c r="E819" s="10" t="n"/>
      <c r="F819" s="11" t="n"/>
      <c r="G819" s="11" t="n"/>
      <c r="H819" s="11" t="n"/>
      <c r="J819" s="10" t="n"/>
      <c r="K819" s="11" t="n"/>
      <c r="L819" s="10" t="n"/>
      <c r="M819" s="11" t="n"/>
      <c r="N819" s="10" t="n"/>
      <c r="O819" s="11" t="n"/>
      <c r="P819" s="6" t="n"/>
      <c r="Q819" s="11" t="n"/>
      <c r="S819" s="8">
        <f>IF(B819="","",E819*F819)</f>
        <v/>
      </c>
      <c r="T819" s="8">
        <f>IF(OR(B819="",N(G819)=0),"",ABS(F819-G819)*E819)</f>
        <v/>
      </c>
      <c r="U819" s="8">
        <f>IF(OR(B819="",P819=""),"",IF(D819="Venda",-1,1)*((N(J819)*N(K819)+N(L819)*N(M819)+N(N819)*N(O819))-(N(J819)+N(L819)+N(N819))*F819)-N(Q819))</f>
        <v/>
      </c>
      <c r="V819" s="9">
        <f>IF(OR(B819="",P819=""),"",U819/S819)</f>
        <v/>
      </c>
      <c r="W819">
        <f>IF(OR(B819="",P819=""),"",P819-C819)</f>
        <v/>
      </c>
      <c r="X819">
        <f>IF(B819="","",IF(P819="","Aberto","Fechado"))</f>
        <v/>
      </c>
    </row>
    <row r="820">
      <c r="C820" s="6" t="n"/>
      <c r="E820" s="10" t="n"/>
      <c r="F820" s="11" t="n"/>
      <c r="G820" s="11" t="n"/>
      <c r="H820" s="11" t="n"/>
      <c r="J820" s="10" t="n"/>
      <c r="K820" s="11" t="n"/>
      <c r="L820" s="10" t="n"/>
      <c r="M820" s="11" t="n"/>
      <c r="N820" s="10" t="n"/>
      <c r="O820" s="11" t="n"/>
      <c r="P820" s="6" t="n"/>
      <c r="Q820" s="11" t="n"/>
      <c r="S820" s="8">
        <f>IF(B820="","",E820*F820)</f>
        <v/>
      </c>
      <c r="T820" s="8">
        <f>IF(OR(B820="",N(G820)=0),"",ABS(F820-G820)*E820)</f>
        <v/>
      </c>
      <c r="U820" s="8">
        <f>IF(OR(B820="",P820=""),"",IF(D820="Venda",-1,1)*((N(J820)*N(K820)+N(L820)*N(M820)+N(N820)*N(O820))-(N(J820)+N(L820)+N(N820))*F820)-N(Q820))</f>
        <v/>
      </c>
      <c r="V820" s="9">
        <f>IF(OR(B820="",P820=""),"",U820/S820)</f>
        <v/>
      </c>
      <c r="W820">
        <f>IF(OR(B820="",P820=""),"",P820-C820)</f>
        <v/>
      </c>
      <c r="X820">
        <f>IF(B820="","",IF(P820="","Aberto","Fechado"))</f>
        <v/>
      </c>
    </row>
    <row r="821">
      <c r="C821" s="6" t="n"/>
      <c r="E821" s="10" t="n"/>
      <c r="F821" s="11" t="n"/>
      <c r="G821" s="11" t="n"/>
      <c r="H821" s="11" t="n"/>
      <c r="J821" s="10" t="n"/>
      <c r="K821" s="11" t="n"/>
      <c r="L821" s="10" t="n"/>
      <c r="M821" s="11" t="n"/>
      <c r="N821" s="10" t="n"/>
      <c r="O821" s="11" t="n"/>
      <c r="P821" s="6" t="n"/>
      <c r="Q821" s="11" t="n"/>
      <c r="S821" s="8">
        <f>IF(B821="","",E821*F821)</f>
        <v/>
      </c>
      <c r="T821" s="8">
        <f>IF(OR(B821="",N(G821)=0),"",ABS(F821-G821)*E821)</f>
        <v/>
      </c>
      <c r="U821" s="8">
        <f>IF(OR(B821="",P821=""),"",IF(D821="Venda",-1,1)*((N(J821)*N(K821)+N(L821)*N(M821)+N(N821)*N(O821))-(N(J821)+N(L821)+N(N821))*F821)-N(Q821))</f>
        <v/>
      </c>
      <c r="V821" s="9">
        <f>IF(OR(B821="",P821=""),"",U821/S821)</f>
        <v/>
      </c>
      <c r="W821">
        <f>IF(OR(B821="",P821=""),"",P821-C821)</f>
        <v/>
      </c>
      <c r="X821">
        <f>IF(B821="","",IF(P821="","Aberto","Fechado"))</f>
        <v/>
      </c>
    </row>
    <row r="822">
      <c r="C822" s="6" t="n"/>
      <c r="E822" s="10" t="n"/>
      <c r="F822" s="11" t="n"/>
      <c r="G822" s="11" t="n"/>
      <c r="H822" s="11" t="n"/>
      <c r="J822" s="10" t="n"/>
      <c r="K822" s="11" t="n"/>
      <c r="L822" s="10" t="n"/>
      <c r="M822" s="11" t="n"/>
      <c r="N822" s="10" t="n"/>
      <c r="O822" s="11" t="n"/>
      <c r="P822" s="6" t="n"/>
      <c r="Q822" s="11" t="n"/>
      <c r="S822" s="8">
        <f>IF(B822="","",E822*F822)</f>
        <v/>
      </c>
      <c r="T822" s="8">
        <f>IF(OR(B822="",N(G822)=0),"",ABS(F822-G822)*E822)</f>
        <v/>
      </c>
      <c r="U822" s="8">
        <f>IF(OR(B822="",P822=""),"",IF(D822="Venda",-1,1)*((N(J822)*N(K822)+N(L822)*N(M822)+N(N822)*N(O822))-(N(J822)+N(L822)+N(N822))*F822)-N(Q822))</f>
        <v/>
      </c>
      <c r="V822" s="9">
        <f>IF(OR(B822="",P822=""),"",U822/S822)</f>
        <v/>
      </c>
      <c r="W822">
        <f>IF(OR(B822="",P822=""),"",P822-C822)</f>
        <v/>
      </c>
      <c r="X822">
        <f>IF(B822="","",IF(P822="","Aberto","Fechado"))</f>
        <v/>
      </c>
    </row>
    <row r="823">
      <c r="C823" s="6" t="n"/>
      <c r="E823" s="10" t="n"/>
      <c r="F823" s="11" t="n"/>
      <c r="G823" s="11" t="n"/>
      <c r="H823" s="11" t="n"/>
      <c r="J823" s="10" t="n"/>
      <c r="K823" s="11" t="n"/>
      <c r="L823" s="10" t="n"/>
      <c r="M823" s="11" t="n"/>
      <c r="N823" s="10" t="n"/>
      <c r="O823" s="11" t="n"/>
      <c r="P823" s="6" t="n"/>
      <c r="Q823" s="11" t="n"/>
      <c r="S823" s="8">
        <f>IF(B823="","",E823*F823)</f>
        <v/>
      </c>
      <c r="T823" s="8">
        <f>IF(OR(B823="",N(G823)=0),"",ABS(F823-G823)*E823)</f>
        <v/>
      </c>
      <c r="U823" s="8">
        <f>IF(OR(B823="",P823=""),"",IF(D823="Venda",-1,1)*((N(J823)*N(K823)+N(L823)*N(M823)+N(N823)*N(O823))-(N(J823)+N(L823)+N(N823))*F823)-N(Q823))</f>
        <v/>
      </c>
      <c r="V823" s="9">
        <f>IF(OR(B823="",P823=""),"",U823/S823)</f>
        <v/>
      </c>
      <c r="W823">
        <f>IF(OR(B823="",P823=""),"",P823-C823)</f>
        <v/>
      </c>
      <c r="X823">
        <f>IF(B823="","",IF(P823="","Aberto","Fechado"))</f>
        <v/>
      </c>
    </row>
    <row r="824">
      <c r="C824" s="6" t="n"/>
      <c r="E824" s="10" t="n"/>
      <c r="F824" s="11" t="n"/>
      <c r="G824" s="11" t="n"/>
      <c r="H824" s="11" t="n"/>
      <c r="J824" s="10" t="n"/>
      <c r="K824" s="11" t="n"/>
      <c r="L824" s="10" t="n"/>
      <c r="M824" s="11" t="n"/>
      <c r="N824" s="10" t="n"/>
      <c r="O824" s="11" t="n"/>
      <c r="P824" s="6" t="n"/>
      <c r="Q824" s="11" t="n"/>
      <c r="S824" s="8">
        <f>IF(B824="","",E824*F824)</f>
        <v/>
      </c>
      <c r="T824" s="8">
        <f>IF(OR(B824="",N(G824)=0),"",ABS(F824-G824)*E824)</f>
        <v/>
      </c>
      <c r="U824" s="8">
        <f>IF(OR(B824="",P824=""),"",IF(D824="Venda",-1,1)*((N(J824)*N(K824)+N(L824)*N(M824)+N(N824)*N(O824))-(N(J824)+N(L824)+N(N824))*F824)-N(Q824))</f>
        <v/>
      </c>
      <c r="V824" s="9">
        <f>IF(OR(B824="",P824=""),"",U824/S824)</f>
        <v/>
      </c>
      <c r="W824">
        <f>IF(OR(B824="",P824=""),"",P824-C824)</f>
        <v/>
      </c>
      <c r="X824">
        <f>IF(B824="","",IF(P824="","Aberto","Fechado"))</f>
        <v/>
      </c>
    </row>
    <row r="825">
      <c r="C825" s="6" t="n"/>
      <c r="E825" s="10" t="n"/>
      <c r="F825" s="11" t="n"/>
      <c r="G825" s="11" t="n"/>
      <c r="H825" s="11" t="n"/>
      <c r="J825" s="10" t="n"/>
      <c r="K825" s="11" t="n"/>
      <c r="L825" s="10" t="n"/>
      <c r="M825" s="11" t="n"/>
      <c r="N825" s="10" t="n"/>
      <c r="O825" s="11" t="n"/>
      <c r="P825" s="6" t="n"/>
      <c r="Q825" s="11" t="n"/>
      <c r="S825" s="8">
        <f>IF(B825="","",E825*F825)</f>
        <v/>
      </c>
      <c r="T825" s="8">
        <f>IF(OR(B825="",N(G825)=0),"",ABS(F825-G825)*E825)</f>
        <v/>
      </c>
      <c r="U825" s="8">
        <f>IF(OR(B825="",P825=""),"",IF(D825="Venda",-1,1)*((N(J825)*N(K825)+N(L825)*N(M825)+N(N825)*N(O825))-(N(J825)+N(L825)+N(N825))*F825)-N(Q825))</f>
        <v/>
      </c>
      <c r="V825" s="9">
        <f>IF(OR(B825="",P825=""),"",U825/S825)</f>
        <v/>
      </c>
      <c r="W825">
        <f>IF(OR(B825="",P825=""),"",P825-C825)</f>
        <v/>
      </c>
      <c r="X825">
        <f>IF(B825="","",IF(P825="","Aberto","Fechado"))</f>
        <v/>
      </c>
    </row>
    <row r="826">
      <c r="C826" s="6" t="n"/>
      <c r="E826" s="10" t="n"/>
      <c r="F826" s="11" t="n"/>
      <c r="G826" s="11" t="n"/>
      <c r="H826" s="11" t="n"/>
      <c r="J826" s="10" t="n"/>
      <c r="K826" s="11" t="n"/>
      <c r="L826" s="10" t="n"/>
      <c r="M826" s="11" t="n"/>
      <c r="N826" s="10" t="n"/>
      <c r="O826" s="11" t="n"/>
      <c r="P826" s="6" t="n"/>
      <c r="Q826" s="11" t="n"/>
      <c r="S826" s="8">
        <f>IF(B826="","",E826*F826)</f>
        <v/>
      </c>
      <c r="T826" s="8">
        <f>IF(OR(B826="",N(G826)=0),"",ABS(F826-G826)*E826)</f>
        <v/>
      </c>
      <c r="U826" s="8">
        <f>IF(OR(B826="",P826=""),"",IF(D826="Venda",-1,1)*((N(J826)*N(K826)+N(L826)*N(M826)+N(N826)*N(O826))-(N(J826)+N(L826)+N(N826))*F826)-N(Q826))</f>
        <v/>
      </c>
      <c r="V826" s="9">
        <f>IF(OR(B826="",P826=""),"",U826/S826)</f>
        <v/>
      </c>
      <c r="W826">
        <f>IF(OR(B826="",P826=""),"",P826-C826)</f>
        <v/>
      </c>
      <c r="X826">
        <f>IF(B826="","",IF(P826="","Aberto","Fechado"))</f>
        <v/>
      </c>
    </row>
    <row r="827">
      <c r="C827" s="6" t="n"/>
      <c r="E827" s="10" t="n"/>
      <c r="F827" s="11" t="n"/>
      <c r="G827" s="11" t="n"/>
      <c r="H827" s="11" t="n"/>
      <c r="J827" s="10" t="n"/>
      <c r="K827" s="11" t="n"/>
      <c r="L827" s="10" t="n"/>
      <c r="M827" s="11" t="n"/>
      <c r="N827" s="10" t="n"/>
      <c r="O827" s="11" t="n"/>
      <c r="P827" s="6" t="n"/>
      <c r="Q827" s="11" t="n"/>
      <c r="S827" s="8">
        <f>IF(B827="","",E827*F827)</f>
        <v/>
      </c>
      <c r="T827" s="8">
        <f>IF(OR(B827="",N(G827)=0),"",ABS(F827-G827)*E827)</f>
        <v/>
      </c>
      <c r="U827" s="8">
        <f>IF(OR(B827="",P827=""),"",IF(D827="Venda",-1,1)*((N(J827)*N(K827)+N(L827)*N(M827)+N(N827)*N(O827))-(N(J827)+N(L827)+N(N827))*F827)-N(Q827))</f>
        <v/>
      </c>
      <c r="V827" s="9">
        <f>IF(OR(B827="",P827=""),"",U827/S827)</f>
        <v/>
      </c>
      <c r="W827">
        <f>IF(OR(B827="",P827=""),"",P827-C827)</f>
        <v/>
      </c>
      <c r="X827">
        <f>IF(B827="","",IF(P827="","Aberto","Fechado"))</f>
        <v/>
      </c>
    </row>
    <row r="828">
      <c r="C828" s="6" t="n"/>
      <c r="E828" s="10" t="n"/>
      <c r="F828" s="11" t="n"/>
      <c r="G828" s="11" t="n"/>
      <c r="H828" s="11" t="n"/>
      <c r="J828" s="10" t="n"/>
      <c r="K828" s="11" t="n"/>
      <c r="L828" s="10" t="n"/>
      <c r="M828" s="11" t="n"/>
      <c r="N828" s="10" t="n"/>
      <c r="O828" s="11" t="n"/>
      <c r="P828" s="6" t="n"/>
      <c r="Q828" s="11" t="n"/>
      <c r="S828" s="8">
        <f>IF(B828="","",E828*F828)</f>
        <v/>
      </c>
      <c r="T828" s="8">
        <f>IF(OR(B828="",N(G828)=0),"",ABS(F828-G828)*E828)</f>
        <v/>
      </c>
      <c r="U828" s="8">
        <f>IF(OR(B828="",P828=""),"",IF(D828="Venda",-1,1)*((N(J828)*N(K828)+N(L828)*N(M828)+N(N828)*N(O828))-(N(J828)+N(L828)+N(N828))*F828)-N(Q828))</f>
        <v/>
      </c>
      <c r="V828" s="9">
        <f>IF(OR(B828="",P828=""),"",U828/S828)</f>
        <v/>
      </c>
      <c r="W828">
        <f>IF(OR(B828="",P828=""),"",P828-C828)</f>
        <v/>
      </c>
      <c r="X828">
        <f>IF(B828="","",IF(P828="","Aberto","Fechado"))</f>
        <v/>
      </c>
    </row>
    <row r="829">
      <c r="C829" s="6" t="n"/>
      <c r="E829" s="10" t="n"/>
      <c r="F829" s="11" t="n"/>
      <c r="G829" s="11" t="n"/>
      <c r="H829" s="11" t="n"/>
      <c r="J829" s="10" t="n"/>
      <c r="K829" s="11" t="n"/>
      <c r="L829" s="10" t="n"/>
      <c r="M829" s="11" t="n"/>
      <c r="N829" s="10" t="n"/>
      <c r="O829" s="11" t="n"/>
      <c r="P829" s="6" t="n"/>
      <c r="Q829" s="11" t="n"/>
      <c r="S829" s="8">
        <f>IF(B829="","",E829*F829)</f>
        <v/>
      </c>
      <c r="T829" s="8">
        <f>IF(OR(B829="",N(G829)=0),"",ABS(F829-G829)*E829)</f>
        <v/>
      </c>
      <c r="U829" s="8">
        <f>IF(OR(B829="",P829=""),"",IF(D829="Venda",-1,1)*((N(J829)*N(K829)+N(L829)*N(M829)+N(N829)*N(O829))-(N(J829)+N(L829)+N(N829))*F829)-N(Q829))</f>
        <v/>
      </c>
      <c r="V829" s="9">
        <f>IF(OR(B829="",P829=""),"",U829/S829)</f>
        <v/>
      </c>
      <c r="W829">
        <f>IF(OR(B829="",P829=""),"",P829-C829)</f>
        <v/>
      </c>
      <c r="X829">
        <f>IF(B829="","",IF(P829="","Aberto","Fechado"))</f>
        <v/>
      </c>
    </row>
    <row r="830">
      <c r="C830" s="6" t="n"/>
      <c r="E830" s="10" t="n"/>
      <c r="F830" s="11" t="n"/>
      <c r="G830" s="11" t="n"/>
      <c r="H830" s="11" t="n"/>
      <c r="J830" s="10" t="n"/>
      <c r="K830" s="11" t="n"/>
      <c r="L830" s="10" t="n"/>
      <c r="M830" s="11" t="n"/>
      <c r="N830" s="10" t="n"/>
      <c r="O830" s="11" t="n"/>
      <c r="P830" s="6" t="n"/>
      <c r="Q830" s="11" t="n"/>
      <c r="S830" s="8">
        <f>IF(B830="","",E830*F830)</f>
        <v/>
      </c>
      <c r="T830" s="8">
        <f>IF(OR(B830="",N(G830)=0),"",ABS(F830-G830)*E830)</f>
        <v/>
      </c>
      <c r="U830" s="8">
        <f>IF(OR(B830="",P830=""),"",IF(D830="Venda",-1,1)*((N(J830)*N(K830)+N(L830)*N(M830)+N(N830)*N(O830))-(N(J830)+N(L830)+N(N830))*F830)-N(Q830))</f>
        <v/>
      </c>
      <c r="V830" s="9">
        <f>IF(OR(B830="",P830=""),"",U830/S830)</f>
        <v/>
      </c>
      <c r="W830">
        <f>IF(OR(B830="",P830=""),"",P830-C830)</f>
        <v/>
      </c>
      <c r="X830">
        <f>IF(B830="","",IF(P830="","Aberto","Fechado"))</f>
        <v/>
      </c>
    </row>
    <row r="831">
      <c r="C831" s="6" t="n"/>
      <c r="E831" s="10" t="n"/>
      <c r="F831" s="11" t="n"/>
      <c r="G831" s="11" t="n"/>
      <c r="H831" s="11" t="n"/>
      <c r="J831" s="10" t="n"/>
      <c r="K831" s="11" t="n"/>
      <c r="L831" s="10" t="n"/>
      <c r="M831" s="11" t="n"/>
      <c r="N831" s="10" t="n"/>
      <c r="O831" s="11" t="n"/>
      <c r="P831" s="6" t="n"/>
      <c r="Q831" s="11" t="n"/>
      <c r="S831" s="8">
        <f>IF(B831="","",E831*F831)</f>
        <v/>
      </c>
      <c r="T831" s="8">
        <f>IF(OR(B831="",N(G831)=0),"",ABS(F831-G831)*E831)</f>
        <v/>
      </c>
      <c r="U831" s="8">
        <f>IF(OR(B831="",P831=""),"",IF(D831="Venda",-1,1)*((N(J831)*N(K831)+N(L831)*N(M831)+N(N831)*N(O831))-(N(J831)+N(L831)+N(N831))*F831)-N(Q831))</f>
        <v/>
      </c>
      <c r="V831" s="9">
        <f>IF(OR(B831="",P831=""),"",U831/S831)</f>
        <v/>
      </c>
      <c r="W831">
        <f>IF(OR(B831="",P831=""),"",P831-C831)</f>
        <v/>
      </c>
      <c r="X831">
        <f>IF(B831="","",IF(P831="","Aberto","Fechado"))</f>
        <v/>
      </c>
    </row>
    <row r="832">
      <c r="C832" s="6" t="n"/>
      <c r="E832" s="10" t="n"/>
      <c r="F832" s="11" t="n"/>
      <c r="G832" s="11" t="n"/>
      <c r="H832" s="11" t="n"/>
      <c r="J832" s="10" t="n"/>
      <c r="K832" s="11" t="n"/>
      <c r="L832" s="10" t="n"/>
      <c r="M832" s="11" t="n"/>
      <c r="N832" s="10" t="n"/>
      <c r="O832" s="11" t="n"/>
      <c r="P832" s="6" t="n"/>
      <c r="Q832" s="11" t="n"/>
      <c r="S832" s="8">
        <f>IF(B832="","",E832*F832)</f>
        <v/>
      </c>
      <c r="T832" s="8">
        <f>IF(OR(B832="",N(G832)=0),"",ABS(F832-G832)*E832)</f>
        <v/>
      </c>
      <c r="U832" s="8">
        <f>IF(OR(B832="",P832=""),"",IF(D832="Venda",-1,1)*((N(J832)*N(K832)+N(L832)*N(M832)+N(N832)*N(O832))-(N(J832)+N(L832)+N(N832))*F832)-N(Q832))</f>
        <v/>
      </c>
      <c r="V832" s="9">
        <f>IF(OR(B832="",P832=""),"",U832/S832)</f>
        <v/>
      </c>
      <c r="W832">
        <f>IF(OR(B832="",P832=""),"",P832-C832)</f>
        <v/>
      </c>
      <c r="X832">
        <f>IF(B832="","",IF(P832="","Aberto","Fechado"))</f>
        <v/>
      </c>
    </row>
    <row r="833">
      <c r="C833" s="6" t="n"/>
      <c r="E833" s="10" t="n"/>
      <c r="F833" s="11" t="n"/>
      <c r="G833" s="11" t="n"/>
      <c r="H833" s="11" t="n"/>
      <c r="J833" s="10" t="n"/>
      <c r="K833" s="11" t="n"/>
      <c r="L833" s="10" t="n"/>
      <c r="M833" s="11" t="n"/>
      <c r="N833" s="10" t="n"/>
      <c r="O833" s="11" t="n"/>
      <c r="P833" s="6" t="n"/>
      <c r="Q833" s="11" t="n"/>
      <c r="S833" s="8">
        <f>IF(B833="","",E833*F833)</f>
        <v/>
      </c>
      <c r="T833" s="8">
        <f>IF(OR(B833="",N(G833)=0),"",ABS(F833-G833)*E833)</f>
        <v/>
      </c>
      <c r="U833" s="8">
        <f>IF(OR(B833="",P833=""),"",IF(D833="Venda",-1,1)*((N(J833)*N(K833)+N(L833)*N(M833)+N(N833)*N(O833))-(N(J833)+N(L833)+N(N833))*F833)-N(Q833))</f>
        <v/>
      </c>
      <c r="V833" s="9">
        <f>IF(OR(B833="",P833=""),"",U833/S833)</f>
        <v/>
      </c>
      <c r="W833">
        <f>IF(OR(B833="",P833=""),"",P833-C833)</f>
        <v/>
      </c>
      <c r="X833">
        <f>IF(B833="","",IF(P833="","Aberto","Fechado"))</f>
        <v/>
      </c>
    </row>
    <row r="834">
      <c r="C834" s="6" t="n"/>
      <c r="E834" s="10" t="n"/>
      <c r="F834" s="11" t="n"/>
      <c r="G834" s="11" t="n"/>
      <c r="H834" s="11" t="n"/>
      <c r="J834" s="10" t="n"/>
      <c r="K834" s="11" t="n"/>
      <c r="L834" s="10" t="n"/>
      <c r="M834" s="11" t="n"/>
      <c r="N834" s="10" t="n"/>
      <c r="O834" s="11" t="n"/>
      <c r="P834" s="6" t="n"/>
      <c r="Q834" s="11" t="n"/>
      <c r="S834" s="8">
        <f>IF(B834="","",E834*F834)</f>
        <v/>
      </c>
      <c r="T834" s="8">
        <f>IF(OR(B834="",N(G834)=0),"",ABS(F834-G834)*E834)</f>
        <v/>
      </c>
      <c r="U834" s="8">
        <f>IF(OR(B834="",P834=""),"",IF(D834="Venda",-1,1)*((N(J834)*N(K834)+N(L834)*N(M834)+N(N834)*N(O834))-(N(J834)+N(L834)+N(N834))*F834)-N(Q834))</f>
        <v/>
      </c>
      <c r="V834" s="9">
        <f>IF(OR(B834="",P834=""),"",U834/S834)</f>
        <v/>
      </c>
      <c r="W834">
        <f>IF(OR(B834="",P834=""),"",P834-C834)</f>
        <v/>
      </c>
      <c r="X834">
        <f>IF(B834="","",IF(P834="","Aberto","Fechado"))</f>
        <v/>
      </c>
    </row>
    <row r="835">
      <c r="C835" s="6" t="n"/>
      <c r="E835" s="10" t="n"/>
      <c r="F835" s="11" t="n"/>
      <c r="G835" s="11" t="n"/>
      <c r="H835" s="11" t="n"/>
      <c r="J835" s="10" t="n"/>
      <c r="K835" s="11" t="n"/>
      <c r="L835" s="10" t="n"/>
      <c r="M835" s="11" t="n"/>
      <c r="N835" s="10" t="n"/>
      <c r="O835" s="11" t="n"/>
      <c r="P835" s="6" t="n"/>
      <c r="Q835" s="11" t="n"/>
      <c r="S835" s="8">
        <f>IF(B835="","",E835*F835)</f>
        <v/>
      </c>
      <c r="T835" s="8">
        <f>IF(OR(B835="",N(G835)=0),"",ABS(F835-G835)*E835)</f>
        <v/>
      </c>
      <c r="U835" s="8">
        <f>IF(OR(B835="",P835=""),"",IF(D835="Venda",-1,1)*((N(J835)*N(K835)+N(L835)*N(M835)+N(N835)*N(O835))-(N(J835)+N(L835)+N(N835))*F835)-N(Q835))</f>
        <v/>
      </c>
      <c r="V835" s="9">
        <f>IF(OR(B835="",P835=""),"",U835/S835)</f>
        <v/>
      </c>
      <c r="W835">
        <f>IF(OR(B835="",P835=""),"",P835-C835)</f>
        <v/>
      </c>
      <c r="X835">
        <f>IF(B835="","",IF(P835="","Aberto","Fechado"))</f>
        <v/>
      </c>
    </row>
    <row r="836">
      <c r="C836" s="6" t="n"/>
      <c r="E836" s="10" t="n"/>
      <c r="F836" s="11" t="n"/>
      <c r="G836" s="11" t="n"/>
      <c r="H836" s="11" t="n"/>
      <c r="J836" s="10" t="n"/>
      <c r="K836" s="11" t="n"/>
      <c r="L836" s="10" t="n"/>
      <c r="M836" s="11" t="n"/>
      <c r="N836" s="10" t="n"/>
      <c r="O836" s="11" t="n"/>
      <c r="P836" s="6" t="n"/>
      <c r="Q836" s="11" t="n"/>
      <c r="S836" s="8">
        <f>IF(B836="","",E836*F836)</f>
        <v/>
      </c>
      <c r="T836" s="8">
        <f>IF(OR(B836="",N(G836)=0),"",ABS(F836-G836)*E836)</f>
        <v/>
      </c>
      <c r="U836" s="8">
        <f>IF(OR(B836="",P836=""),"",IF(D836="Venda",-1,1)*((N(J836)*N(K836)+N(L836)*N(M836)+N(N836)*N(O836))-(N(J836)+N(L836)+N(N836))*F836)-N(Q836))</f>
        <v/>
      </c>
      <c r="V836" s="9">
        <f>IF(OR(B836="",P836=""),"",U836/S836)</f>
        <v/>
      </c>
      <c r="W836">
        <f>IF(OR(B836="",P836=""),"",P836-C836)</f>
        <v/>
      </c>
      <c r="X836">
        <f>IF(B836="","",IF(P836="","Aberto","Fechado"))</f>
        <v/>
      </c>
    </row>
    <row r="837">
      <c r="C837" s="6" t="n"/>
      <c r="E837" s="10" t="n"/>
      <c r="F837" s="11" t="n"/>
      <c r="G837" s="11" t="n"/>
      <c r="H837" s="11" t="n"/>
      <c r="J837" s="10" t="n"/>
      <c r="K837" s="11" t="n"/>
      <c r="L837" s="10" t="n"/>
      <c r="M837" s="11" t="n"/>
      <c r="N837" s="10" t="n"/>
      <c r="O837" s="11" t="n"/>
      <c r="P837" s="6" t="n"/>
      <c r="Q837" s="11" t="n"/>
      <c r="S837" s="8">
        <f>IF(B837="","",E837*F837)</f>
        <v/>
      </c>
      <c r="T837" s="8">
        <f>IF(OR(B837="",N(G837)=0),"",ABS(F837-G837)*E837)</f>
        <v/>
      </c>
      <c r="U837" s="8">
        <f>IF(OR(B837="",P837=""),"",IF(D837="Venda",-1,1)*((N(J837)*N(K837)+N(L837)*N(M837)+N(N837)*N(O837))-(N(J837)+N(L837)+N(N837))*F837)-N(Q837))</f>
        <v/>
      </c>
      <c r="V837" s="9">
        <f>IF(OR(B837="",P837=""),"",U837/S837)</f>
        <v/>
      </c>
      <c r="W837">
        <f>IF(OR(B837="",P837=""),"",P837-C837)</f>
        <v/>
      </c>
      <c r="X837">
        <f>IF(B837="","",IF(P837="","Aberto","Fechado"))</f>
        <v/>
      </c>
    </row>
    <row r="838">
      <c r="C838" s="6" t="n"/>
      <c r="E838" s="10" t="n"/>
      <c r="F838" s="11" t="n"/>
      <c r="G838" s="11" t="n"/>
      <c r="H838" s="11" t="n"/>
      <c r="J838" s="10" t="n"/>
      <c r="K838" s="11" t="n"/>
      <c r="L838" s="10" t="n"/>
      <c r="M838" s="11" t="n"/>
      <c r="N838" s="10" t="n"/>
      <c r="O838" s="11" t="n"/>
      <c r="P838" s="6" t="n"/>
      <c r="Q838" s="11" t="n"/>
      <c r="S838" s="8">
        <f>IF(B838="","",E838*F838)</f>
        <v/>
      </c>
      <c r="T838" s="8">
        <f>IF(OR(B838="",N(G838)=0),"",ABS(F838-G838)*E838)</f>
        <v/>
      </c>
      <c r="U838" s="8">
        <f>IF(OR(B838="",P838=""),"",IF(D838="Venda",-1,1)*((N(J838)*N(K838)+N(L838)*N(M838)+N(N838)*N(O838))-(N(J838)+N(L838)+N(N838))*F838)-N(Q838))</f>
        <v/>
      </c>
      <c r="V838" s="9">
        <f>IF(OR(B838="",P838=""),"",U838/S838)</f>
        <v/>
      </c>
      <c r="W838">
        <f>IF(OR(B838="",P838=""),"",P838-C838)</f>
        <v/>
      </c>
      <c r="X838">
        <f>IF(B838="","",IF(P838="","Aberto","Fechado"))</f>
        <v/>
      </c>
    </row>
    <row r="839">
      <c r="C839" s="6" t="n"/>
      <c r="E839" s="10" t="n"/>
      <c r="F839" s="11" t="n"/>
      <c r="G839" s="11" t="n"/>
      <c r="H839" s="11" t="n"/>
      <c r="J839" s="10" t="n"/>
      <c r="K839" s="11" t="n"/>
      <c r="L839" s="10" t="n"/>
      <c r="M839" s="11" t="n"/>
      <c r="N839" s="10" t="n"/>
      <c r="O839" s="11" t="n"/>
      <c r="P839" s="6" t="n"/>
      <c r="Q839" s="11" t="n"/>
      <c r="S839" s="8">
        <f>IF(B839="","",E839*F839)</f>
        <v/>
      </c>
      <c r="T839" s="8">
        <f>IF(OR(B839="",N(G839)=0),"",ABS(F839-G839)*E839)</f>
        <v/>
      </c>
      <c r="U839" s="8">
        <f>IF(OR(B839="",P839=""),"",IF(D839="Venda",-1,1)*((N(J839)*N(K839)+N(L839)*N(M839)+N(N839)*N(O839))-(N(J839)+N(L839)+N(N839))*F839)-N(Q839))</f>
        <v/>
      </c>
      <c r="V839" s="9">
        <f>IF(OR(B839="",P839=""),"",U839/S839)</f>
        <v/>
      </c>
      <c r="W839">
        <f>IF(OR(B839="",P839=""),"",P839-C839)</f>
        <v/>
      </c>
      <c r="X839">
        <f>IF(B839="","",IF(P839="","Aberto","Fechado"))</f>
        <v/>
      </c>
    </row>
    <row r="840">
      <c r="C840" s="6" t="n"/>
      <c r="E840" s="10" t="n"/>
      <c r="F840" s="11" t="n"/>
      <c r="G840" s="11" t="n"/>
      <c r="H840" s="11" t="n"/>
      <c r="J840" s="10" t="n"/>
      <c r="K840" s="11" t="n"/>
      <c r="L840" s="10" t="n"/>
      <c r="M840" s="11" t="n"/>
      <c r="N840" s="10" t="n"/>
      <c r="O840" s="11" t="n"/>
      <c r="P840" s="6" t="n"/>
      <c r="Q840" s="11" t="n"/>
      <c r="S840" s="8">
        <f>IF(B840="","",E840*F840)</f>
        <v/>
      </c>
      <c r="T840" s="8">
        <f>IF(OR(B840="",N(G840)=0),"",ABS(F840-G840)*E840)</f>
        <v/>
      </c>
      <c r="U840" s="8">
        <f>IF(OR(B840="",P840=""),"",IF(D840="Venda",-1,1)*((N(J840)*N(K840)+N(L840)*N(M840)+N(N840)*N(O840))-(N(J840)+N(L840)+N(N840))*F840)-N(Q840))</f>
        <v/>
      </c>
      <c r="V840" s="9">
        <f>IF(OR(B840="",P840=""),"",U840/S840)</f>
        <v/>
      </c>
      <c r="W840">
        <f>IF(OR(B840="",P840=""),"",P840-C840)</f>
        <v/>
      </c>
      <c r="X840">
        <f>IF(B840="","",IF(P840="","Aberto","Fechado"))</f>
        <v/>
      </c>
    </row>
    <row r="841">
      <c r="C841" s="6" t="n"/>
      <c r="E841" s="10" t="n"/>
      <c r="F841" s="11" t="n"/>
      <c r="G841" s="11" t="n"/>
      <c r="H841" s="11" t="n"/>
      <c r="J841" s="10" t="n"/>
      <c r="K841" s="11" t="n"/>
      <c r="L841" s="10" t="n"/>
      <c r="M841" s="11" t="n"/>
      <c r="N841" s="10" t="n"/>
      <c r="O841" s="11" t="n"/>
      <c r="P841" s="6" t="n"/>
      <c r="Q841" s="11" t="n"/>
      <c r="S841" s="8">
        <f>IF(B841="","",E841*F841)</f>
        <v/>
      </c>
      <c r="T841" s="8">
        <f>IF(OR(B841="",N(G841)=0),"",ABS(F841-G841)*E841)</f>
        <v/>
      </c>
      <c r="U841" s="8">
        <f>IF(OR(B841="",P841=""),"",IF(D841="Venda",-1,1)*((N(J841)*N(K841)+N(L841)*N(M841)+N(N841)*N(O841))-(N(J841)+N(L841)+N(N841))*F841)-N(Q841))</f>
        <v/>
      </c>
      <c r="V841" s="9">
        <f>IF(OR(B841="",P841=""),"",U841/S841)</f>
        <v/>
      </c>
      <c r="W841">
        <f>IF(OR(B841="",P841=""),"",P841-C841)</f>
        <v/>
      </c>
      <c r="X841">
        <f>IF(B841="","",IF(P841="","Aberto","Fechado"))</f>
        <v/>
      </c>
    </row>
    <row r="842">
      <c r="C842" s="6" t="n"/>
      <c r="E842" s="10" t="n"/>
      <c r="F842" s="11" t="n"/>
      <c r="G842" s="11" t="n"/>
      <c r="H842" s="11" t="n"/>
      <c r="J842" s="10" t="n"/>
      <c r="K842" s="11" t="n"/>
      <c r="L842" s="10" t="n"/>
      <c r="M842" s="11" t="n"/>
      <c r="N842" s="10" t="n"/>
      <c r="O842" s="11" t="n"/>
      <c r="P842" s="6" t="n"/>
      <c r="Q842" s="11" t="n"/>
      <c r="S842" s="8">
        <f>IF(B842="","",E842*F842)</f>
        <v/>
      </c>
      <c r="T842" s="8">
        <f>IF(OR(B842="",N(G842)=0),"",ABS(F842-G842)*E842)</f>
        <v/>
      </c>
      <c r="U842" s="8">
        <f>IF(OR(B842="",P842=""),"",IF(D842="Venda",-1,1)*((N(J842)*N(K842)+N(L842)*N(M842)+N(N842)*N(O842))-(N(J842)+N(L842)+N(N842))*F842)-N(Q842))</f>
        <v/>
      </c>
      <c r="V842" s="9">
        <f>IF(OR(B842="",P842=""),"",U842/S842)</f>
        <v/>
      </c>
      <c r="W842">
        <f>IF(OR(B842="",P842=""),"",P842-C842)</f>
        <v/>
      </c>
      <c r="X842">
        <f>IF(B842="","",IF(P842="","Aberto","Fechado"))</f>
        <v/>
      </c>
    </row>
    <row r="843">
      <c r="C843" s="6" t="n"/>
      <c r="E843" s="10" t="n"/>
      <c r="F843" s="11" t="n"/>
      <c r="G843" s="11" t="n"/>
      <c r="H843" s="11" t="n"/>
      <c r="J843" s="10" t="n"/>
      <c r="K843" s="11" t="n"/>
      <c r="L843" s="10" t="n"/>
      <c r="M843" s="11" t="n"/>
      <c r="N843" s="10" t="n"/>
      <c r="O843" s="11" t="n"/>
      <c r="P843" s="6" t="n"/>
      <c r="Q843" s="11" t="n"/>
      <c r="S843" s="8">
        <f>IF(B843="","",E843*F843)</f>
        <v/>
      </c>
      <c r="T843" s="8">
        <f>IF(OR(B843="",N(G843)=0),"",ABS(F843-G843)*E843)</f>
        <v/>
      </c>
      <c r="U843" s="8">
        <f>IF(OR(B843="",P843=""),"",IF(D843="Venda",-1,1)*((N(J843)*N(K843)+N(L843)*N(M843)+N(N843)*N(O843))-(N(J843)+N(L843)+N(N843))*F843)-N(Q843))</f>
        <v/>
      </c>
      <c r="V843" s="9">
        <f>IF(OR(B843="",P843=""),"",U843/S843)</f>
        <v/>
      </c>
      <c r="W843">
        <f>IF(OR(B843="",P843=""),"",P843-C843)</f>
        <v/>
      </c>
      <c r="X843">
        <f>IF(B843="","",IF(P843="","Aberto","Fechado"))</f>
        <v/>
      </c>
    </row>
    <row r="844">
      <c r="C844" s="6" t="n"/>
      <c r="E844" s="10" t="n"/>
      <c r="F844" s="11" t="n"/>
      <c r="G844" s="11" t="n"/>
      <c r="H844" s="11" t="n"/>
      <c r="J844" s="10" t="n"/>
      <c r="K844" s="11" t="n"/>
      <c r="L844" s="10" t="n"/>
      <c r="M844" s="11" t="n"/>
      <c r="N844" s="10" t="n"/>
      <c r="O844" s="11" t="n"/>
      <c r="P844" s="6" t="n"/>
      <c r="Q844" s="11" t="n"/>
      <c r="S844" s="8">
        <f>IF(B844="","",E844*F844)</f>
        <v/>
      </c>
      <c r="T844" s="8">
        <f>IF(OR(B844="",N(G844)=0),"",ABS(F844-G844)*E844)</f>
        <v/>
      </c>
      <c r="U844" s="8">
        <f>IF(OR(B844="",P844=""),"",IF(D844="Venda",-1,1)*((N(J844)*N(K844)+N(L844)*N(M844)+N(N844)*N(O844))-(N(J844)+N(L844)+N(N844))*F844)-N(Q844))</f>
        <v/>
      </c>
      <c r="V844" s="9">
        <f>IF(OR(B844="",P844=""),"",U844/S844)</f>
        <v/>
      </c>
      <c r="W844">
        <f>IF(OR(B844="",P844=""),"",P844-C844)</f>
        <v/>
      </c>
      <c r="X844">
        <f>IF(B844="","",IF(P844="","Aberto","Fechado"))</f>
        <v/>
      </c>
    </row>
    <row r="845">
      <c r="C845" s="6" t="n"/>
      <c r="E845" s="10" t="n"/>
      <c r="F845" s="11" t="n"/>
      <c r="G845" s="11" t="n"/>
      <c r="H845" s="11" t="n"/>
      <c r="J845" s="10" t="n"/>
      <c r="K845" s="11" t="n"/>
      <c r="L845" s="10" t="n"/>
      <c r="M845" s="11" t="n"/>
      <c r="N845" s="10" t="n"/>
      <c r="O845" s="11" t="n"/>
      <c r="P845" s="6" t="n"/>
      <c r="Q845" s="11" t="n"/>
      <c r="S845" s="8">
        <f>IF(B845="","",E845*F845)</f>
        <v/>
      </c>
      <c r="T845" s="8">
        <f>IF(OR(B845="",N(G845)=0),"",ABS(F845-G845)*E845)</f>
        <v/>
      </c>
      <c r="U845" s="8">
        <f>IF(OR(B845="",P845=""),"",IF(D845="Venda",-1,1)*((N(J845)*N(K845)+N(L845)*N(M845)+N(N845)*N(O845))-(N(J845)+N(L845)+N(N845))*F845)-N(Q845))</f>
        <v/>
      </c>
      <c r="V845" s="9">
        <f>IF(OR(B845="",P845=""),"",U845/S845)</f>
        <v/>
      </c>
      <c r="W845">
        <f>IF(OR(B845="",P845=""),"",P845-C845)</f>
        <v/>
      </c>
      <c r="X845">
        <f>IF(B845="","",IF(P845="","Aberto","Fechado"))</f>
        <v/>
      </c>
    </row>
    <row r="846">
      <c r="C846" s="6" t="n"/>
      <c r="E846" s="10" t="n"/>
      <c r="F846" s="11" t="n"/>
      <c r="G846" s="11" t="n"/>
      <c r="H846" s="11" t="n"/>
      <c r="J846" s="10" t="n"/>
      <c r="K846" s="11" t="n"/>
      <c r="L846" s="10" t="n"/>
      <c r="M846" s="11" t="n"/>
      <c r="N846" s="10" t="n"/>
      <c r="O846" s="11" t="n"/>
      <c r="P846" s="6" t="n"/>
      <c r="Q846" s="11" t="n"/>
      <c r="S846" s="8">
        <f>IF(B846="","",E846*F846)</f>
        <v/>
      </c>
      <c r="T846" s="8">
        <f>IF(OR(B846="",N(G846)=0),"",ABS(F846-G846)*E846)</f>
        <v/>
      </c>
      <c r="U846" s="8">
        <f>IF(OR(B846="",P846=""),"",IF(D846="Venda",-1,1)*((N(J846)*N(K846)+N(L846)*N(M846)+N(N846)*N(O846))-(N(J846)+N(L846)+N(N846))*F846)-N(Q846))</f>
        <v/>
      </c>
      <c r="V846" s="9">
        <f>IF(OR(B846="",P846=""),"",U846/S846)</f>
        <v/>
      </c>
      <c r="W846">
        <f>IF(OR(B846="",P846=""),"",P846-C846)</f>
        <v/>
      </c>
      <c r="X846">
        <f>IF(B846="","",IF(P846="","Aberto","Fechado"))</f>
        <v/>
      </c>
    </row>
    <row r="847">
      <c r="C847" s="6" t="n"/>
      <c r="E847" s="10" t="n"/>
      <c r="F847" s="11" t="n"/>
      <c r="G847" s="11" t="n"/>
      <c r="H847" s="11" t="n"/>
      <c r="J847" s="10" t="n"/>
      <c r="K847" s="11" t="n"/>
      <c r="L847" s="10" t="n"/>
      <c r="M847" s="11" t="n"/>
      <c r="N847" s="10" t="n"/>
      <c r="O847" s="11" t="n"/>
      <c r="P847" s="6" t="n"/>
      <c r="Q847" s="11" t="n"/>
      <c r="S847" s="8">
        <f>IF(B847="","",E847*F847)</f>
        <v/>
      </c>
      <c r="T847" s="8">
        <f>IF(OR(B847="",N(G847)=0),"",ABS(F847-G847)*E847)</f>
        <v/>
      </c>
      <c r="U847" s="8">
        <f>IF(OR(B847="",P847=""),"",IF(D847="Venda",-1,1)*((N(J847)*N(K847)+N(L847)*N(M847)+N(N847)*N(O847))-(N(J847)+N(L847)+N(N847))*F847)-N(Q847))</f>
        <v/>
      </c>
      <c r="V847" s="9">
        <f>IF(OR(B847="",P847=""),"",U847/S847)</f>
        <v/>
      </c>
      <c r="W847">
        <f>IF(OR(B847="",P847=""),"",P847-C847)</f>
        <v/>
      </c>
      <c r="X847">
        <f>IF(B847="","",IF(P847="","Aberto","Fechado"))</f>
        <v/>
      </c>
    </row>
    <row r="848">
      <c r="C848" s="6" t="n"/>
      <c r="E848" s="10" t="n"/>
      <c r="F848" s="11" t="n"/>
      <c r="G848" s="11" t="n"/>
      <c r="H848" s="11" t="n"/>
      <c r="J848" s="10" t="n"/>
      <c r="K848" s="11" t="n"/>
      <c r="L848" s="10" t="n"/>
      <c r="M848" s="11" t="n"/>
      <c r="N848" s="10" t="n"/>
      <c r="O848" s="11" t="n"/>
      <c r="P848" s="6" t="n"/>
      <c r="Q848" s="11" t="n"/>
      <c r="S848" s="8">
        <f>IF(B848="","",E848*F848)</f>
        <v/>
      </c>
      <c r="T848" s="8">
        <f>IF(OR(B848="",N(G848)=0),"",ABS(F848-G848)*E848)</f>
        <v/>
      </c>
      <c r="U848" s="8">
        <f>IF(OR(B848="",P848=""),"",IF(D848="Venda",-1,1)*((N(J848)*N(K848)+N(L848)*N(M848)+N(N848)*N(O848))-(N(J848)+N(L848)+N(N848))*F848)-N(Q848))</f>
        <v/>
      </c>
      <c r="V848" s="9">
        <f>IF(OR(B848="",P848=""),"",U848/S848)</f>
        <v/>
      </c>
      <c r="W848">
        <f>IF(OR(B848="",P848=""),"",P848-C848)</f>
        <v/>
      </c>
      <c r="X848">
        <f>IF(B848="","",IF(P848="","Aberto","Fechado"))</f>
        <v/>
      </c>
    </row>
    <row r="849">
      <c r="C849" s="6" t="n"/>
      <c r="E849" s="10" t="n"/>
      <c r="F849" s="11" t="n"/>
      <c r="G849" s="11" t="n"/>
      <c r="H849" s="11" t="n"/>
      <c r="J849" s="10" t="n"/>
      <c r="K849" s="11" t="n"/>
      <c r="L849" s="10" t="n"/>
      <c r="M849" s="11" t="n"/>
      <c r="N849" s="10" t="n"/>
      <c r="O849" s="11" t="n"/>
      <c r="P849" s="6" t="n"/>
      <c r="Q849" s="11" t="n"/>
      <c r="S849" s="8">
        <f>IF(B849="","",E849*F849)</f>
        <v/>
      </c>
      <c r="T849" s="8">
        <f>IF(OR(B849="",N(G849)=0),"",ABS(F849-G849)*E849)</f>
        <v/>
      </c>
      <c r="U849" s="8">
        <f>IF(OR(B849="",P849=""),"",IF(D849="Venda",-1,1)*((N(J849)*N(K849)+N(L849)*N(M849)+N(N849)*N(O849))-(N(J849)+N(L849)+N(N849))*F849)-N(Q849))</f>
        <v/>
      </c>
      <c r="V849" s="9">
        <f>IF(OR(B849="",P849=""),"",U849/S849)</f>
        <v/>
      </c>
      <c r="W849">
        <f>IF(OR(B849="",P849=""),"",P849-C849)</f>
        <v/>
      </c>
      <c r="X849">
        <f>IF(B849="","",IF(P849="","Aberto","Fechado"))</f>
        <v/>
      </c>
    </row>
    <row r="850">
      <c r="C850" s="6" t="n"/>
      <c r="E850" s="10" t="n"/>
      <c r="F850" s="11" t="n"/>
      <c r="G850" s="11" t="n"/>
      <c r="H850" s="11" t="n"/>
      <c r="J850" s="10" t="n"/>
      <c r="K850" s="11" t="n"/>
      <c r="L850" s="10" t="n"/>
      <c r="M850" s="11" t="n"/>
      <c r="N850" s="10" t="n"/>
      <c r="O850" s="11" t="n"/>
      <c r="P850" s="6" t="n"/>
      <c r="Q850" s="11" t="n"/>
      <c r="S850" s="8">
        <f>IF(B850="","",E850*F850)</f>
        <v/>
      </c>
      <c r="T850" s="8">
        <f>IF(OR(B850="",N(G850)=0),"",ABS(F850-G850)*E850)</f>
        <v/>
      </c>
      <c r="U850" s="8">
        <f>IF(OR(B850="",P850=""),"",IF(D850="Venda",-1,1)*((N(J850)*N(K850)+N(L850)*N(M850)+N(N850)*N(O850))-(N(J850)+N(L850)+N(N850))*F850)-N(Q850))</f>
        <v/>
      </c>
      <c r="V850" s="9">
        <f>IF(OR(B850="",P850=""),"",U850/S850)</f>
        <v/>
      </c>
      <c r="W850">
        <f>IF(OR(B850="",P850=""),"",P850-C850)</f>
        <v/>
      </c>
      <c r="X850">
        <f>IF(B850="","",IF(P850="","Aberto","Fechado"))</f>
        <v/>
      </c>
    </row>
    <row r="851">
      <c r="C851" s="6" t="n"/>
      <c r="E851" s="10" t="n"/>
      <c r="F851" s="11" t="n"/>
      <c r="G851" s="11" t="n"/>
      <c r="H851" s="11" t="n"/>
      <c r="J851" s="10" t="n"/>
      <c r="K851" s="11" t="n"/>
      <c r="L851" s="10" t="n"/>
      <c r="M851" s="11" t="n"/>
      <c r="N851" s="10" t="n"/>
      <c r="O851" s="11" t="n"/>
      <c r="P851" s="6" t="n"/>
      <c r="Q851" s="11" t="n"/>
      <c r="S851" s="8">
        <f>IF(B851="","",E851*F851)</f>
        <v/>
      </c>
      <c r="T851" s="8">
        <f>IF(OR(B851="",N(G851)=0),"",ABS(F851-G851)*E851)</f>
        <v/>
      </c>
      <c r="U851" s="8">
        <f>IF(OR(B851="",P851=""),"",IF(D851="Venda",-1,1)*((N(J851)*N(K851)+N(L851)*N(M851)+N(N851)*N(O851))-(N(J851)+N(L851)+N(N851))*F851)-N(Q851))</f>
        <v/>
      </c>
      <c r="V851" s="9">
        <f>IF(OR(B851="",P851=""),"",U851/S851)</f>
        <v/>
      </c>
      <c r="W851">
        <f>IF(OR(B851="",P851=""),"",P851-C851)</f>
        <v/>
      </c>
      <c r="X851">
        <f>IF(B851="","",IF(P851="","Aberto","Fechado"))</f>
        <v/>
      </c>
    </row>
    <row r="852">
      <c r="C852" s="6" t="n"/>
      <c r="E852" s="10" t="n"/>
      <c r="F852" s="11" t="n"/>
      <c r="G852" s="11" t="n"/>
      <c r="H852" s="11" t="n"/>
      <c r="J852" s="10" t="n"/>
      <c r="K852" s="11" t="n"/>
      <c r="L852" s="10" t="n"/>
      <c r="M852" s="11" t="n"/>
      <c r="N852" s="10" t="n"/>
      <c r="O852" s="11" t="n"/>
      <c r="P852" s="6" t="n"/>
      <c r="Q852" s="11" t="n"/>
      <c r="S852" s="8">
        <f>IF(B852="","",E852*F852)</f>
        <v/>
      </c>
      <c r="T852" s="8">
        <f>IF(OR(B852="",N(G852)=0),"",ABS(F852-G852)*E852)</f>
        <v/>
      </c>
      <c r="U852" s="8">
        <f>IF(OR(B852="",P852=""),"",IF(D852="Venda",-1,1)*((N(J852)*N(K852)+N(L852)*N(M852)+N(N852)*N(O852))-(N(J852)+N(L852)+N(N852))*F852)-N(Q852))</f>
        <v/>
      </c>
      <c r="V852" s="9">
        <f>IF(OR(B852="",P852=""),"",U852/S852)</f>
        <v/>
      </c>
      <c r="W852">
        <f>IF(OR(B852="",P852=""),"",P852-C852)</f>
        <v/>
      </c>
      <c r="X852">
        <f>IF(B852="","",IF(P852="","Aberto","Fechado"))</f>
        <v/>
      </c>
    </row>
    <row r="853">
      <c r="C853" s="6" t="n"/>
      <c r="E853" s="10" t="n"/>
      <c r="F853" s="11" t="n"/>
      <c r="G853" s="11" t="n"/>
      <c r="H853" s="11" t="n"/>
      <c r="J853" s="10" t="n"/>
      <c r="K853" s="11" t="n"/>
      <c r="L853" s="10" t="n"/>
      <c r="M853" s="11" t="n"/>
      <c r="N853" s="10" t="n"/>
      <c r="O853" s="11" t="n"/>
      <c r="P853" s="6" t="n"/>
      <c r="Q853" s="11" t="n"/>
      <c r="S853" s="8">
        <f>IF(B853="","",E853*F853)</f>
        <v/>
      </c>
      <c r="T853" s="8">
        <f>IF(OR(B853="",N(G853)=0),"",ABS(F853-G853)*E853)</f>
        <v/>
      </c>
      <c r="U853" s="8">
        <f>IF(OR(B853="",P853=""),"",IF(D853="Venda",-1,1)*((N(J853)*N(K853)+N(L853)*N(M853)+N(N853)*N(O853))-(N(J853)+N(L853)+N(N853))*F853)-N(Q853))</f>
        <v/>
      </c>
      <c r="V853" s="9">
        <f>IF(OR(B853="",P853=""),"",U853/S853)</f>
        <v/>
      </c>
      <c r="W853">
        <f>IF(OR(B853="",P853=""),"",P853-C853)</f>
        <v/>
      </c>
      <c r="X853">
        <f>IF(B853="","",IF(P853="","Aberto","Fechado"))</f>
        <v/>
      </c>
    </row>
    <row r="854">
      <c r="C854" s="6" t="n"/>
      <c r="E854" s="10" t="n"/>
      <c r="F854" s="11" t="n"/>
      <c r="G854" s="11" t="n"/>
      <c r="H854" s="11" t="n"/>
      <c r="J854" s="10" t="n"/>
      <c r="K854" s="11" t="n"/>
      <c r="L854" s="10" t="n"/>
      <c r="M854" s="11" t="n"/>
      <c r="N854" s="10" t="n"/>
      <c r="O854" s="11" t="n"/>
      <c r="P854" s="6" t="n"/>
      <c r="Q854" s="11" t="n"/>
      <c r="S854" s="8">
        <f>IF(B854="","",E854*F854)</f>
        <v/>
      </c>
      <c r="T854" s="8">
        <f>IF(OR(B854="",N(G854)=0),"",ABS(F854-G854)*E854)</f>
        <v/>
      </c>
      <c r="U854" s="8">
        <f>IF(OR(B854="",P854=""),"",IF(D854="Venda",-1,1)*((N(J854)*N(K854)+N(L854)*N(M854)+N(N854)*N(O854))-(N(J854)+N(L854)+N(N854))*F854)-N(Q854))</f>
        <v/>
      </c>
      <c r="V854" s="9">
        <f>IF(OR(B854="",P854=""),"",U854/S854)</f>
        <v/>
      </c>
      <c r="W854">
        <f>IF(OR(B854="",P854=""),"",P854-C854)</f>
        <v/>
      </c>
      <c r="X854">
        <f>IF(B854="","",IF(P854="","Aberto","Fechado"))</f>
        <v/>
      </c>
    </row>
    <row r="855">
      <c r="C855" s="6" t="n"/>
      <c r="E855" s="10" t="n"/>
      <c r="F855" s="11" t="n"/>
      <c r="G855" s="11" t="n"/>
      <c r="H855" s="11" t="n"/>
      <c r="J855" s="10" t="n"/>
      <c r="K855" s="11" t="n"/>
      <c r="L855" s="10" t="n"/>
      <c r="M855" s="11" t="n"/>
      <c r="N855" s="10" t="n"/>
      <c r="O855" s="11" t="n"/>
      <c r="P855" s="6" t="n"/>
      <c r="Q855" s="11" t="n"/>
      <c r="S855" s="8">
        <f>IF(B855="","",E855*F855)</f>
        <v/>
      </c>
      <c r="T855" s="8">
        <f>IF(OR(B855="",N(G855)=0),"",ABS(F855-G855)*E855)</f>
        <v/>
      </c>
      <c r="U855" s="8">
        <f>IF(OR(B855="",P855=""),"",IF(D855="Venda",-1,1)*((N(J855)*N(K855)+N(L855)*N(M855)+N(N855)*N(O855))-(N(J855)+N(L855)+N(N855))*F855)-N(Q855))</f>
        <v/>
      </c>
      <c r="V855" s="9">
        <f>IF(OR(B855="",P855=""),"",U855/S855)</f>
        <v/>
      </c>
      <c r="W855">
        <f>IF(OR(B855="",P855=""),"",P855-C855)</f>
        <v/>
      </c>
      <c r="X855">
        <f>IF(B855="","",IF(P855="","Aberto","Fechado"))</f>
        <v/>
      </c>
    </row>
    <row r="856">
      <c r="C856" s="6" t="n"/>
      <c r="E856" s="10" t="n"/>
      <c r="F856" s="11" t="n"/>
      <c r="G856" s="11" t="n"/>
      <c r="H856" s="11" t="n"/>
      <c r="J856" s="10" t="n"/>
      <c r="K856" s="11" t="n"/>
      <c r="L856" s="10" t="n"/>
      <c r="M856" s="11" t="n"/>
      <c r="N856" s="10" t="n"/>
      <c r="O856" s="11" t="n"/>
      <c r="P856" s="6" t="n"/>
      <c r="Q856" s="11" t="n"/>
      <c r="S856" s="8">
        <f>IF(B856="","",E856*F856)</f>
        <v/>
      </c>
      <c r="T856" s="8">
        <f>IF(OR(B856="",N(G856)=0),"",ABS(F856-G856)*E856)</f>
        <v/>
      </c>
      <c r="U856" s="8">
        <f>IF(OR(B856="",P856=""),"",IF(D856="Venda",-1,1)*((N(J856)*N(K856)+N(L856)*N(M856)+N(N856)*N(O856))-(N(J856)+N(L856)+N(N856))*F856)-N(Q856))</f>
        <v/>
      </c>
      <c r="V856" s="9">
        <f>IF(OR(B856="",P856=""),"",U856/S856)</f>
        <v/>
      </c>
      <c r="W856">
        <f>IF(OR(B856="",P856=""),"",P856-C856)</f>
        <v/>
      </c>
      <c r="X856">
        <f>IF(B856="","",IF(P856="","Aberto","Fechado"))</f>
        <v/>
      </c>
    </row>
    <row r="857">
      <c r="C857" s="6" t="n"/>
      <c r="E857" s="10" t="n"/>
      <c r="F857" s="11" t="n"/>
      <c r="G857" s="11" t="n"/>
      <c r="H857" s="11" t="n"/>
      <c r="J857" s="10" t="n"/>
      <c r="K857" s="11" t="n"/>
      <c r="L857" s="10" t="n"/>
      <c r="M857" s="11" t="n"/>
      <c r="N857" s="10" t="n"/>
      <c r="O857" s="11" t="n"/>
      <c r="P857" s="6" t="n"/>
      <c r="Q857" s="11" t="n"/>
      <c r="S857" s="8">
        <f>IF(B857="","",E857*F857)</f>
        <v/>
      </c>
      <c r="T857" s="8">
        <f>IF(OR(B857="",N(G857)=0),"",ABS(F857-G857)*E857)</f>
        <v/>
      </c>
      <c r="U857" s="8">
        <f>IF(OR(B857="",P857=""),"",IF(D857="Venda",-1,1)*((N(J857)*N(K857)+N(L857)*N(M857)+N(N857)*N(O857))-(N(J857)+N(L857)+N(N857))*F857)-N(Q857))</f>
        <v/>
      </c>
      <c r="V857" s="9">
        <f>IF(OR(B857="",P857=""),"",U857/S857)</f>
        <v/>
      </c>
      <c r="W857">
        <f>IF(OR(B857="",P857=""),"",P857-C857)</f>
        <v/>
      </c>
      <c r="X857">
        <f>IF(B857="","",IF(P857="","Aberto","Fechado"))</f>
        <v/>
      </c>
    </row>
    <row r="858">
      <c r="C858" s="6" t="n"/>
      <c r="E858" s="10" t="n"/>
      <c r="F858" s="11" t="n"/>
      <c r="G858" s="11" t="n"/>
      <c r="H858" s="11" t="n"/>
      <c r="J858" s="10" t="n"/>
      <c r="K858" s="11" t="n"/>
      <c r="L858" s="10" t="n"/>
      <c r="M858" s="11" t="n"/>
      <c r="N858" s="10" t="n"/>
      <c r="O858" s="11" t="n"/>
      <c r="P858" s="6" t="n"/>
      <c r="Q858" s="11" t="n"/>
      <c r="S858" s="8">
        <f>IF(B858="","",E858*F858)</f>
        <v/>
      </c>
      <c r="T858" s="8">
        <f>IF(OR(B858="",N(G858)=0),"",ABS(F858-G858)*E858)</f>
        <v/>
      </c>
      <c r="U858" s="8">
        <f>IF(OR(B858="",P858=""),"",IF(D858="Venda",-1,1)*((N(J858)*N(K858)+N(L858)*N(M858)+N(N858)*N(O858))-(N(J858)+N(L858)+N(N858))*F858)-N(Q858))</f>
        <v/>
      </c>
      <c r="V858" s="9">
        <f>IF(OR(B858="",P858=""),"",U858/S858)</f>
        <v/>
      </c>
      <c r="W858">
        <f>IF(OR(B858="",P858=""),"",P858-C858)</f>
        <v/>
      </c>
      <c r="X858">
        <f>IF(B858="","",IF(P858="","Aberto","Fechado"))</f>
        <v/>
      </c>
    </row>
    <row r="859">
      <c r="C859" s="6" t="n"/>
      <c r="E859" s="10" t="n"/>
      <c r="F859" s="11" t="n"/>
      <c r="G859" s="11" t="n"/>
      <c r="H859" s="11" t="n"/>
      <c r="J859" s="10" t="n"/>
      <c r="K859" s="11" t="n"/>
      <c r="L859" s="10" t="n"/>
      <c r="M859" s="11" t="n"/>
      <c r="N859" s="10" t="n"/>
      <c r="O859" s="11" t="n"/>
      <c r="P859" s="6" t="n"/>
      <c r="Q859" s="11" t="n"/>
      <c r="S859" s="8">
        <f>IF(B859="","",E859*F859)</f>
        <v/>
      </c>
      <c r="T859" s="8">
        <f>IF(OR(B859="",N(G859)=0),"",ABS(F859-G859)*E859)</f>
        <v/>
      </c>
      <c r="U859" s="8">
        <f>IF(OR(B859="",P859=""),"",IF(D859="Venda",-1,1)*((N(J859)*N(K859)+N(L859)*N(M859)+N(N859)*N(O859))-(N(J859)+N(L859)+N(N859))*F859)-N(Q859))</f>
        <v/>
      </c>
      <c r="V859" s="9">
        <f>IF(OR(B859="",P859=""),"",U859/S859)</f>
        <v/>
      </c>
      <c r="W859">
        <f>IF(OR(B859="",P859=""),"",P859-C859)</f>
        <v/>
      </c>
      <c r="X859">
        <f>IF(B859="","",IF(P859="","Aberto","Fechado"))</f>
        <v/>
      </c>
    </row>
    <row r="860">
      <c r="C860" s="6" t="n"/>
      <c r="E860" s="10" t="n"/>
      <c r="F860" s="11" t="n"/>
      <c r="G860" s="11" t="n"/>
      <c r="H860" s="11" t="n"/>
      <c r="J860" s="10" t="n"/>
      <c r="K860" s="11" t="n"/>
      <c r="L860" s="10" t="n"/>
      <c r="M860" s="11" t="n"/>
      <c r="N860" s="10" t="n"/>
      <c r="O860" s="11" t="n"/>
      <c r="P860" s="6" t="n"/>
      <c r="Q860" s="11" t="n"/>
      <c r="S860" s="8">
        <f>IF(B860="","",E860*F860)</f>
        <v/>
      </c>
      <c r="T860" s="8">
        <f>IF(OR(B860="",N(G860)=0),"",ABS(F860-G860)*E860)</f>
        <v/>
      </c>
      <c r="U860" s="8">
        <f>IF(OR(B860="",P860=""),"",IF(D860="Venda",-1,1)*((N(J860)*N(K860)+N(L860)*N(M860)+N(N860)*N(O860))-(N(J860)+N(L860)+N(N860))*F860)-N(Q860))</f>
        <v/>
      </c>
      <c r="V860" s="9">
        <f>IF(OR(B860="",P860=""),"",U860/S860)</f>
        <v/>
      </c>
      <c r="W860">
        <f>IF(OR(B860="",P860=""),"",P860-C860)</f>
        <v/>
      </c>
      <c r="X860">
        <f>IF(B860="","",IF(P860="","Aberto","Fechado"))</f>
        <v/>
      </c>
    </row>
    <row r="861">
      <c r="C861" s="6" t="n"/>
      <c r="E861" s="10" t="n"/>
      <c r="F861" s="11" t="n"/>
      <c r="G861" s="11" t="n"/>
      <c r="H861" s="11" t="n"/>
      <c r="J861" s="10" t="n"/>
      <c r="K861" s="11" t="n"/>
      <c r="L861" s="10" t="n"/>
      <c r="M861" s="11" t="n"/>
      <c r="N861" s="10" t="n"/>
      <c r="O861" s="11" t="n"/>
      <c r="P861" s="6" t="n"/>
      <c r="Q861" s="11" t="n"/>
      <c r="S861" s="8">
        <f>IF(B861="","",E861*F861)</f>
        <v/>
      </c>
      <c r="T861" s="8">
        <f>IF(OR(B861="",N(G861)=0),"",ABS(F861-G861)*E861)</f>
        <v/>
      </c>
      <c r="U861" s="8">
        <f>IF(OR(B861="",P861=""),"",IF(D861="Venda",-1,1)*((N(J861)*N(K861)+N(L861)*N(M861)+N(N861)*N(O861))-(N(J861)+N(L861)+N(N861))*F861)-N(Q861))</f>
        <v/>
      </c>
      <c r="V861" s="9">
        <f>IF(OR(B861="",P861=""),"",U861/S861)</f>
        <v/>
      </c>
      <c r="W861">
        <f>IF(OR(B861="",P861=""),"",P861-C861)</f>
        <v/>
      </c>
      <c r="X861">
        <f>IF(B861="","",IF(P861="","Aberto","Fechado"))</f>
        <v/>
      </c>
    </row>
    <row r="862">
      <c r="C862" s="6" t="n"/>
      <c r="E862" s="10" t="n"/>
      <c r="F862" s="11" t="n"/>
      <c r="G862" s="11" t="n"/>
      <c r="H862" s="11" t="n"/>
      <c r="J862" s="10" t="n"/>
      <c r="K862" s="11" t="n"/>
      <c r="L862" s="10" t="n"/>
      <c r="M862" s="11" t="n"/>
      <c r="N862" s="10" t="n"/>
      <c r="O862" s="11" t="n"/>
      <c r="P862" s="6" t="n"/>
      <c r="Q862" s="11" t="n"/>
      <c r="S862" s="8">
        <f>IF(B862="","",E862*F862)</f>
        <v/>
      </c>
      <c r="T862" s="8">
        <f>IF(OR(B862="",N(G862)=0),"",ABS(F862-G862)*E862)</f>
        <v/>
      </c>
      <c r="U862" s="8">
        <f>IF(OR(B862="",P862=""),"",IF(D862="Venda",-1,1)*((N(J862)*N(K862)+N(L862)*N(M862)+N(N862)*N(O862))-(N(J862)+N(L862)+N(N862))*F862)-N(Q862))</f>
        <v/>
      </c>
      <c r="V862" s="9">
        <f>IF(OR(B862="",P862=""),"",U862/S862)</f>
        <v/>
      </c>
      <c r="W862">
        <f>IF(OR(B862="",P862=""),"",P862-C862)</f>
        <v/>
      </c>
      <c r="X862">
        <f>IF(B862="","",IF(P862="","Aberto","Fechado"))</f>
        <v/>
      </c>
    </row>
    <row r="863">
      <c r="C863" s="6" t="n"/>
      <c r="E863" s="10" t="n"/>
      <c r="F863" s="11" t="n"/>
      <c r="G863" s="11" t="n"/>
      <c r="H863" s="11" t="n"/>
      <c r="J863" s="10" t="n"/>
      <c r="K863" s="11" t="n"/>
      <c r="L863" s="10" t="n"/>
      <c r="M863" s="11" t="n"/>
      <c r="N863" s="10" t="n"/>
      <c r="O863" s="11" t="n"/>
      <c r="P863" s="6" t="n"/>
      <c r="Q863" s="11" t="n"/>
      <c r="S863" s="8">
        <f>IF(B863="","",E863*F863)</f>
        <v/>
      </c>
      <c r="T863" s="8">
        <f>IF(OR(B863="",N(G863)=0),"",ABS(F863-G863)*E863)</f>
        <v/>
      </c>
      <c r="U863" s="8">
        <f>IF(OR(B863="",P863=""),"",IF(D863="Venda",-1,1)*((N(J863)*N(K863)+N(L863)*N(M863)+N(N863)*N(O863))-(N(J863)+N(L863)+N(N863))*F863)-N(Q863))</f>
        <v/>
      </c>
      <c r="V863" s="9">
        <f>IF(OR(B863="",P863=""),"",U863/S863)</f>
        <v/>
      </c>
      <c r="W863">
        <f>IF(OR(B863="",P863=""),"",P863-C863)</f>
        <v/>
      </c>
      <c r="X863">
        <f>IF(B863="","",IF(P863="","Aberto","Fechado"))</f>
        <v/>
      </c>
    </row>
    <row r="864">
      <c r="C864" s="6" t="n"/>
      <c r="E864" s="10" t="n"/>
      <c r="F864" s="11" t="n"/>
      <c r="G864" s="11" t="n"/>
      <c r="H864" s="11" t="n"/>
      <c r="J864" s="10" t="n"/>
      <c r="K864" s="11" t="n"/>
      <c r="L864" s="10" t="n"/>
      <c r="M864" s="11" t="n"/>
      <c r="N864" s="10" t="n"/>
      <c r="O864" s="11" t="n"/>
      <c r="P864" s="6" t="n"/>
      <c r="Q864" s="11" t="n"/>
      <c r="S864" s="8">
        <f>IF(B864="","",E864*F864)</f>
        <v/>
      </c>
      <c r="T864" s="8">
        <f>IF(OR(B864="",N(G864)=0),"",ABS(F864-G864)*E864)</f>
        <v/>
      </c>
      <c r="U864" s="8">
        <f>IF(OR(B864="",P864=""),"",IF(D864="Venda",-1,1)*((N(J864)*N(K864)+N(L864)*N(M864)+N(N864)*N(O864))-(N(J864)+N(L864)+N(N864))*F864)-N(Q864))</f>
        <v/>
      </c>
      <c r="V864" s="9">
        <f>IF(OR(B864="",P864=""),"",U864/S864)</f>
        <v/>
      </c>
      <c r="W864">
        <f>IF(OR(B864="",P864=""),"",P864-C864)</f>
        <v/>
      </c>
      <c r="X864">
        <f>IF(B864="","",IF(P864="","Aberto","Fechado"))</f>
        <v/>
      </c>
    </row>
    <row r="865">
      <c r="C865" s="6" t="n"/>
      <c r="E865" s="10" t="n"/>
      <c r="F865" s="11" t="n"/>
      <c r="G865" s="11" t="n"/>
      <c r="H865" s="11" t="n"/>
      <c r="J865" s="10" t="n"/>
      <c r="K865" s="11" t="n"/>
      <c r="L865" s="10" t="n"/>
      <c r="M865" s="11" t="n"/>
      <c r="N865" s="10" t="n"/>
      <c r="O865" s="11" t="n"/>
      <c r="P865" s="6" t="n"/>
      <c r="Q865" s="11" t="n"/>
      <c r="S865" s="8">
        <f>IF(B865="","",E865*F865)</f>
        <v/>
      </c>
      <c r="T865" s="8">
        <f>IF(OR(B865="",N(G865)=0),"",ABS(F865-G865)*E865)</f>
        <v/>
      </c>
      <c r="U865" s="8">
        <f>IF(OR(B865="",P865=""),"",IF(D865="Venda",-1,1)*((N(J865)*N(K865)+N(L865)*N(M865)+N(N865)*N(O865))-(N(J865)+N(L865)+N(N865))*F865)-N(Q865))</f>
        <v/>
      </c>
      <c r="V865" s="9">
        <f>IF(OR(B865="",P865=""),"",U865/S865)</f>
        <v/>
      </c>
      <c r="W865">
        <f>IF(OR(B865="",P865=""),"",P865-C865)</f>
        <v/>
      </c>
      <c r="X865">
        <f>IF(B865="","",IF(P865="","Aberto","Fechado"))</f>
        <v/>
      </c>
    </row>
    <row r="866">
      <c r="C866" s="6" t="n"/>
      <c r="E866" s="10" t="n"/>
      <c r="F866" s="11" t="n"/>
      <c r="G866" s="11" t="n"/>
      <c r="H866" s="11" t="n"/>
      <c r="J866" s="10" t="n"/>
      <c r="K866" s="11" t="n"/>
      <c r="L866" s="10" t="n"/>
      <c r="M866" s="11" t="n"/>
      <c r="N866" s="10" t="n"/>
      <c r="O866" s="11" t="n"/>
      <c r="P866" s="6" t="n"/>
      <c r="Q866" s="11" t="n"/>
      <c r="S866" s="8">
        <f>IF(B866="","",E866*F866)</f>
        <v/>
      </c>
      <c r="T866" s="8">
        <f>IF(OR(B866="",N(G866)=0),"",ABS(F866-G866)*E866)</f>
        <v/>
      </c>
      <c r="U866" s="8">
        <f>IF(OR(B866="",P866=""),"",IF(D866="Venda",-1,1)*((N(J866)*N(K866)+N(L866)*N(M866)+N(N866)*N(O866))-(N(J866)+N(L866)+N(N866))*F866)-N(Q866))</f>
        <v/>
      </c>
      <c r="V866" s="9">
        <f>IF(OR(B866="",P866=""),"",U866/S866)</f>
        <v/>
      </c>
      <c r="W866">
        <f>IF(OR(B866="",P866=""),"",P866-C866)</f>
        <v/>
      </c>
      <c r="X866">
        <f>IF(B866="","",IF(P866="","Aberto","Fechado"))</f>
        <v/>
      </c>
    </row>
    <row r="867">
      <c r="C867" s="6" t="n"/>
      <c r="E867" s="10" t="n"/>
      <c r="F867" s="11" t="n"/>
      <c r="G867" s="11" t="n"/>
      <c r="H867" s="11" t="n"/>
      <c r="J867" s="10" t="n"/>
      <c r="K867" s="11" t="n"/>
      <c r="L867" s="10" t="n"/>
      <c r="M867" s="11" t="n"/>
      <c r="N867" s="10" t="n"/>
      <c r="O867" s="11" t="n"/>
      <c r="P867" s="6" t="n"/>
      <c r="Q867" s="11" t="n"/>
      <c r="S867" s="8">
        <f>IF(B867="","",E867*F867)</f>
        <v/>
      </c>
      <c r="T867" s="8">
        <f>IF(OR(B867="",N(G867)=0),"",ABS(F867-G867)*E867)</f>
        <v/>
      </c>
      <c r="U867" s="8">
        <f>IF(OR(B867="",P867=""),"",IF(D867="Venda",-1,1)*((N(J867)*N(K867)+N(L867)*N(M867)+N(N867)*N(O867))-(N(J867)+N(L867)+N(N867))*F867)-N(Q867))</f>
        <v/>
      </c>
      <c r="V867" s="9">
        <f>IF(OR(B867="",P867=""),"",U867/S867)</f>
        <v/>
      </c>
      <c r="W867">
        <f>IF(OR(B867="",P867=""),"",P867-C867)</f>
        <v/>
      </c>
      <c r="X867">
        <f>IF(B867="","",IF(P867="","Aberto","Fechado"))</f>
        <v/>
      </c>
    </row>
    <row r="868">
      <c r="C868" s="6" t="n"/>
      <c r="E868" s="10" t="n"/>
      <c r="F868" s="11" t="n"/>
      <c r="G868" s="11" t="n"/>
      <c r="H868" s="11" t="n"/>
      <c r="J868" s="10" t="n"/>
      <c r="K868" s="11" t="n"/>
      <c r="L868" s="10" t="n"/>
      <c r="M868" s="11" t="n"/>
      <c r="N868" s="10" t="n"/>
      <c r="O868" s="11" t="n"/>
      <c r="P868" s="6" t="n"/>
      <c r="Q868" s="11" t="n"/>
      <c r="S868" s="8">
        <f>IF(B868="","",E868*F868)</f>
        <v/>
      </c>
      <c r="T868" s="8">
        <f>IF(OR(B868="",N(G868)=0),"",ABS(F868-G868)*E868)</f>
        <v/>
      </c>
      <c r="U868" s="8">
        <f>IF(OR(B868="",P868=""),"",IF(D868="Venda",-1,1)*((N(J868)*N(K868)+N(L868)*N(M868)+N(N868)*N(O868))-(N(J868)+N(L868)+N(N868))*F868)-N(Q868))</f>
        <v/>
      </c>
      <c r="V868" s="9">
        <f>IF(OR(B868="",P868=""),"",U868/S868)</f>
        <v/>
      </c>
      <c r="W868">
        <f>IF(OR(B868="",P868=""),"",P868-C868)</f>
        <v/>
      </c>
      <c r="X868">
        <f>IF(B868="","",IF(P868="","Aberto","Fechado"))</f>
        <v/>
      </c>
    </row>
    <row r="869">
      <c r="C869" s="6" t="n"/>
      <c r="E869" s="10" t="n"/>
      <c r="F869" s="11" t="n"/>
      <c r="G869" s="11" t="n"/>
      <c r="H869" s="11" t="n"/>
      <c r="J869" s="10" t="n"/>
      <c r="K869" s="11" t="n"/>
      <c r="L869" s="10" t="n"/>
      <c r="M869" s="11" t="n"/>
      <c r="N869" s="10" t="n"/>
      <c r="O869" s="11" t="n"/>
      <c r="P869" s="6" t="n"/>
      <c r="Q869" s="11" t="n"/>
      <c r="S869" s="8">
        <f>IF(B869="","",E869*F869)</f>
        <v/>
      </c>
      <c r="T869" s="8">
        <f>IF(OR(B869="",N(G869)=0),"",ABS(F869-G869)*E869)</f>
        <v/>
      </c>
      <c r="U869" s="8">
        <f>IF(OR(B869="",P869=""),"",IF(D869="Venda",-1,1)*((N(J869)*N(K869)+N(L869)*N(M869)+N(N869)*N(O869))-(N(J869)+N(L869)+N(N869))*F869)-N(Q869))</f>
        <v/>
      </c>
      <c r="V869" s="9">
        <f>IF(OR(B869="",P869=""),"",U869/S869)</f>
        <v/>
      </c>
      <c r="W869">
        <f>IF(OR(B869="",P869=""),"",P869-C869)</f>
        <v/>
      </c>
      <c r="X869">
        <f>IF(B869="","",IF(P869="","Aberto","Fechado"))</f>
        <v/>
      </c>
    </row>
    <row r="870">
      <c r="C870" s="6" t="n"/>
      <c r="E870" s="10" t="n"/>
      <c r="F870" s="11" t="n"/>
      <c r="G870" s="11" t="n"/>
      <c r="H870" s="11" t="n"/>
      <c r="J870" s="10" t="n"/>
      <c r="K870" s="11" t="n"/>
      <c r="L870" s="10" t="n"/>
      <c r="M870" s="11" t="n"/>
      <c r="N870" s="10" t="n"/>
      <c r="O870" s="11" t="n"/>
      <c r="P870" s="6" t="n"/>
      <c r="Q870" s="11" t="n"/>
      <c r="S870" s="8">
        <f>IF(B870="","",E870*F870)</f>
        <v/>
      </c>
      <c r="T870" s="8">
        <f>IF(OR(B870="",N(G870)=0),"",ABS(F870-G870)*E870)</f>
        <v/>
      </c>
      <c r="U870" s="8">
        <f>IF(OR(B870="",P870=""),"",IF(D870="Venda",-1,1)*((N(J870)*N(K870)+N(L870)*N(M870)+N(N870)*N(O870))-(N(J870)+N(L870)+N(N870))*F870)-N(Q870))</f>
        <v/>
      </c>
      <c r="V870" s="9">
        <f>IF(OR(B870="",P870=""),"",U870/S870)</f>
        <v/>
      </c>
      <c r="W870">
        <f>IF(OR(B870="",P870=""),"",P870-C870)</f>
        <v/>
      </c>
      <c r="X870">
        <f>IF(B870="","",IF(P870="","Aberto","Fechado"))</f>
        <v/>
      </c>
    </row>
    <row r="871">
      <c r="C871" s="6" t="n"/>
      <c r="E871" s="10" t="n"/>
      <c r="F871" s="11" t="n"/>
      <c r="G871" s="11" t="n"/>
      <c r="H871" s="11" t="n"/>
      <c r="J871" s="10" t="n"/>
      <c r="K871" s="11" t="n"/>
      <c r="L871" s="10" t="n"/>
      <c r="M871" s="11" t="n"/>
      <c r="N871" s="10" t="n"/>
      <c r="O871" s="11" t="n"/>
      <c r="P871" s="6" t="n"/>
      <c r="Q871" s="11" t="n"/>
      <c r="S871" s="8">
        <f>IF(B871="","",E871*F871)</f>
        <v/>
      </c>
      <c r="T871" s="8">
        <f>IF(OR(B871="",N(G871)=0),"",ABS(F871-G871)*E871)</f>
        <v/>
      </c>
      <c r="U871" s="8">
        <f>IF(OR(B871="",P871=""),"",IF(D871="Venda",-1,1)*((N(J871)*N(K871)+N(L871)*N(M871)+N(N871)*N(O871))-(N(J871)+N(L871)+N(N871))*F871)-N(Q871))</f>
        <v/>
      </c>
      <c r="V871" s="9">
        <f>IF(OR(B871="",P871=""),"",U871/S871)</f>
        <v/>
      </c>
      <c r="W871">
        <f>IF(OR(B871="",P871=""),"",P871-C871)</f>
        <v/>
      </c>
      <c r="X871">
        <f>IF(B871="","",IF(P871="","Aberto","Fechado"))</f>
        <v/>
      </c>
    </row>
    <row r="872">
      <c r="C872" s="6" t="n"/>
      <c r="E872" s="10" t="n"/>
      <c r="F872" s="11" t="n"/>
      <c r="G872" s="11" t="n"/>
      <c r="H872" s="11" t="n"/>
      <c r="J872" s="10" t="n"/>
      <c r="K872" s="11" t="n"/>
      <c r="L872" s="10" t="n"/>
      <c r="M872" s="11" t="n"/>
      <c r="N872" s="10" t="n"/>
      <c r="O872" s="11" t="n"/>
      <c r="P872" s="6" t="n"/>
      <c r="Q872" s="11" t="n"/>
      <c r="S872" s="8">
        <f>IF(B872="","",E872*F872)</f>
        <v/>
      </c>
      <c r="T872" s="8">
        <f>IF(OR(B872="",N(G872)=0),"",ABS(F872-G872)*E872)</f>
        <v/>
      </c>
      <c r="U872" s="8">
        <f>IF(OR(B872="",P872=""),"",IF(D872="Venda",-1,1)*((N(J872)*N(K872)+N(L872)*N(M872)+N(N872)*N(O872))-(N(J872)+N(L872)+N(N872))*F872)-N(Q872))</f>
        <v/>
      </c>
      <c r="V872" s="9">
        <f>IF(OR(B872="",P872=""),"",U872/S872)</f>
        <v/>
      </c>
      <c r="W872">
        <f>IF(OR(B872="",P872=""),"",P872-C872)</f>
        <v/>
      </c>
      <c r="X872">
        <f>IF(B872="","",IF(P872="","Aberto","Fechado"))</f>
        <v/>
      </c>
    </row>
    <row r="873">
      <c r="C873" s="6" t="n"/>
      <c r="E873" s="10" t="n"/>
      <c r="F873" s="11" t="n"/>
      <c r="G873" s="11" t="n"/>
      <c r="H873" s="11" t="n"/>
      <c r="J873" s="10" t="n"/>
      <c r="K873" s="11" t="n"/>
      <c r="L873" s="10" t="n"/>
      <c r="M873" s="11" t="n"/>
      <c r="N873" s="10" t="n"/>
      <c r="O873" s="11" t="n"/>
      <c r="P873" s="6" t="n"/>
      <c r="Q873" s="11" t="n"/>
      <c r="S873" s="8">
        <f>IF(B873="","",E873*F873)</f>
        <v/>
      </c>
      <c r="T873" s="8">
        <f>IF(OR(B873="",N(G873)=0),"",ABS(F873-G873)*E873)</f>
        <v/>
      </c>
      <c r="U873" s="8">
        <f>IF(OR(B873="",P873=""),"",IF(D873="Venda",-1,1)*((N(J873)*N(K873)+N(L873)*N(M873)+N(N873)*N(O873))-(N(J873)+N(L873)+N(N873))*F873)-N(Q873))</f>
        <v/>
      </c>
      <c r="V873" s="9">
        <f>IF(OR(B873="",P873=""),"",U873/S873)</f>
        <v/>
      </c>
      <c r="W873">
        <f>IF(OR(B873="",P873=""),"",P873-C873)</f>
        <v/>
      </c>
      <c r="X873">
        <f>IF(B873="","",IF(P873="","Aberto","Fechado"))</f>
        <v/>
      </c>
    </row>
    <row r="874">
      <c r="C874" s="6" t="n"/>
      <c r="E874" s="10" t="n"/>
      <c r="F874" s="11" t="n"/>
      <c r="G874" s="11" t="n"/>
      <c r="H874" s="11" t="n"/>
      <c r="J874" s="10" t="n"/>
      <c r="K874" s="11" t="n"/>
      <c r="L874" s="10" t="n"/>
      <c r="M874" s="11" t="n"/>
      <c r="N874" s="10" t="n"/>
      <c r="O874" s="11" t="n"/>
      <c r="P874" s="6" t="n"/>
      <c r="Q874" s="11" t="n"/>
      <c r="S874" s="8">
        <f>IF(B874="","",E874*F874)</f>
        <v/>
      </c>
      <c r="T874" s="8">
        <f>IF(OR(B874="",N(G874)=0),"",ABS(F874-G874)*E874)</f>
        <v/>
      </c>
      <c r="U874" s="8">
        <f>IF(OR(B874="",P874=""),"",IF(D874="Venda",-1,1)*((N(J874)*N(K874)+N(L874)*N(M874)+N(N874)*N(O874))-(N(J874)+N(L874)+N(N874))*F874)-N(Q874))</f>
        <v/>
      </c>
      <c r="V874" s="9">
        <f>IF(OR(B874="",P874=""),"",U874/S874)</f>
        <v/>
      </c>
      <c r="W874">
        <f>IF(OR(B874="",P874=""),"",P874-C874)</f>
        <v/>
      </c>
      <c r="X874">
        <f>IF(B874="","",IF(P874="","Aberto","Fechado"))</f>
        <v/>
      </c>
    </row>
    <row r="875">
      <c r="C875" s="6" t="n"/>
      <c r="E875" s="10" t="n"/>
      <c r="F875" s="11" t="n"/>
      <c r="G875" s="11" t="n"/>
      <c r="H875" s="11" t="n"/>
      <c r="J875" s="10" t="n"/>
      <c r="K875" s="11" t="n"/>
      <c r="L875" s="10" t="n"/>
      <c r="M875" s="11" t="n"/>
      <c r="N875" s="10" t="n"/>
      <c r="O875" s="11" t="n"/>
      <c r="P875" s="6" t="n"/>
      <c r="Q875" s="11" t="n"/>
      <c r="S875" s="8">
        <f>IF(B875="","",E875*F875)</f>
        <v/>
      </c>
      <c r="T875" s="8">
        <f>IF(OR(B875="",N(G875)=0),"",ABS(F875-G875)*E875)</f>
        <v/>
      </c>
      <c r="U875" s="8">
        <f>IF(OR(B875="",P875=""),"",IF(D875="Venda",-1,1)*((N(J875)*N(K875)+N(L875)*N(M875)+N(N875)*N(O875))-(N(J875)+N(L875)+N(N875))*F875)-N(Q875))</f>
        <v/>
      </c>
      <c r="V875" s="9">
        <f>IF(OR(B875="",P875=""),"",U875/S875)</f>
        <v/>
      </c>
      <c r="W875">
        <f>IF(OR(B875="",P875=""),"",P875-C875)</f>
        <v/>
      </c>
      <c r="X875">
        <f>IF(B875="","",IF(P875="","Aberto","Fechado"))</f>
        <v/>
      </c>
    </row>
    <row r="876">
      <c r="C876" s="6" t="n"/>
      <c r="E876" s="10" t="n"/>
      <c r="F876" s="11" t="n"/>
      <c r="G876" s="11" t="n"/>
      <c r="H876" s="11" t="n"/>
      <c r="J876" s="10" t="n"/>
      <c r="K876" s="11" t="n"/>
      <c r="L876" s="10" t="n"/>
      <c r="M876" s="11" t="n"/>
      <c r="N876" s="10" t="n"/>
      <c r="O876" s="11" t="n"/>
      <c r="P876" s="6" t="n"/>
      <c r="Q876" s="11" t="n"/>
      <c r="S876" s="8">
        <f>IF(B876="","",E876*F876)</f>
        <v/>
      </c>
      <c r="T876" s="8">
        <f>IF(OR(B876="",N(G876)=0),"",ABS(F876-G876)*E876)</f>
        <v/>
      </c>
      <c r="U876" s="8">
        <f>IF(OR(B876="",P876=""),"",IF(D876="Venda",-1,1)*((N(J876)*N(K876)+N(L876)*N(M876)+N(N876)*N(O876))-(N(J876)+N(L876)+N(N876))*F876)-N(Q876))</f>
        <v/>
      </c>
      <c r="V876" s="9">
        <f>IF(OR(B876="",P876=""),"",U876/S876)</f>
        <v/>
      </c>
      <c r="W876">
        <f>IF(OR(B876="",P876=""),"",P876-C876)</f>
        <v/>
      </c>
      <c r="X876">
        <f>IF(B876="","",IF(P876="","Aberto","Fechado"))</f>
        <v/>
      </c>
    </row>
    <row r="877">
      <c r="C877" s="6" t="n"/>
      <c r="E877" s="10" t="n"/>
      <c r="F877" s="11" t="n"/>
      <c r="G877" s="11" t="n"/>
      <c r="H877" s="11" t="n"/>
      <c r="J877" s="10" t="n"/>
      <c r="K877" s="11" t="n"/>
      <c r="L877" s="10" t="n"/>
      <c r="M877" s="11" t="n"/>
      <c r="N877" s="10" t="n"/>
      <c r="O877" s="11" t="n"/>
      <c r="P877" s="6" t="n"/>
      <c r="Q877" s="11" t="n"/>
      <c r="S877" s="8">
        <f>IF(B877="","",E877*F877)</f>
        <v/>
      </c>
      <c r="T877" s="8">
        <f>IF(OR(B877="",N(G877)=0),"",ABS(F877-G877)*E877)</f>
        <v/>
      </c>
      <c r="U877" s="8">
        <f>IF(OR(B877="",P877=""),"",IF(D877="Venda",-1,1)*((N(J877)*N(K877)+N(L877)*N(M877)+N(N877)*N(O877))-(N(J877)+N(L877)+N(N877))*F877)-N(Q877))</f>
        <v/>
      </c>
      <c r="V877" s="9">
        <f>IF(OR(B877="",P877=""),"",U877/S877)</f>
        <v/>
      </c>
      <c r="W877">
        <f>IF(OR(B877="",P877=""),"",P877-C877)</f>
        <v/>
      </c>
      <c r="X877">
        <f>IF(B877="","",IF(P877="","Aberto","Fechado"))</f>
        <v/>
      </c>
    </row>
    <row r="878">
      <c r="C878" s="6" t="n"/>
      <c r="E878" s="10" t="n"/>
      <c r="F878" s="11" t="n"/>
      <c r="G878" s="11" t="n"/>
      <c r="H878" s="11" t="n"/>
      <c r="J878" s="10" t="n"/>
      <c r="K878" s="11" t="n"/>
      <c r="L878" s="10" t="n"/>
      <c r="M878" s="11" t="n"/>
      <c r="N878" s="10" t="n"/>
      <c r="O878" s="11" t="n"/>
      <c r="P878" s="6" t="n"/>
      <c r="Q878" s="11" t="n"/>
      <c r="S878" s="8">
        <f>IF(B878="","",E878*F878)</f>
        <v/>
      </c>
      <c r="T878" s="8">
        <f>IF(OR(B878="",N(G878)=0),"",ABS(F878-G878)*E878)</f>
        <v/>
      </c>
      <c r="U878" s="8">
        <f>IF(OR(B878="",P878=""),"",IF(D878="Venda",-1,1)*((N(J878)*N(K878)+N(L878)*N(M878)+N(N878)*N(O878))-(N(J878)+N(L878)+N(N878))*F878)-N(Q878))</f>
        <v/>
      </c>
      <c r="V878" s="9">
        <f>IF(OR(B878="",P878=""),"",U878/S878)</f>
        <v/>
      </c>
      <c r="W878">
        <f>IF(OR(B878="",P878=""),"",P878-C878)</f>
        <v/>
      </c>
      <c r="X878">
        <f>IF(B878="","",IF(P878="","Aberto","Fechado"))</f>
        <v/>
      </c>
    </row>
    <row r="879">
      <c r="C879" s="6" t="n"/>
      <c r="E879" s="10" t="n"/>
      <c r="F879" s="11" t="n"/>
      <c r="G879" s="11" t="n"/>
      <c r="H879" s="11" t="n"/>
      <c r="J879" s="10" t="n"/>
      <c r="K879" s="11" t="n"/>
      <c r="L879" s="10" t="n"/>
      <c r="M879" s="11" t="n"/>
      <c r="N879" s="10" t="n"/>
      <c r="O879" s="11" t="n"/>
      <c r="P879" s="6" t="n"/>
      <c r="Q879" s="11" t="n"/>
      <c r="S879" s="8">
        <f>IF(B879="","",E879*F879)</f>
        <v/>
      </c>
      <c r="T879" s="8">
        <f>IF(OR(B879="",N(G879)=0),"",ABS(F879-G879)*E879)</f>
        <v/>
      </c>
      <c r="U879" s="8">
        <f>IF(OR(B879="",P879=""),"",IF(D879="Venda",-1,1)*((N(J879)*N(K879)+N(L879)*N(M879)+N(N879)*N(O879))-(N(J879)+N(L879)+N(N879))*F879)-N(Q879))</f>
        <v/>
      </c>
      <c r="V879" s="9">
        <f>IF(OR(B879="",P879=""),"",U879/S879)</f>
        <v/>
      </c>
      <c r="W879">
        <f>IF(OR(B879="",P879=""),"",P879-C879)</f>
        <v/>
      </c>
      <c r="X879">
        <f>IF(B879="","",IF(P879="","Aberto","Fechado"))</f>
        <v/>
      </c>
    </row>
    <row r="880">
      <c r="C880" s="6" t="n"/>
      <c r="E880" s="10" t="n"/>
      <c r="F880" s="11" t="n"/>
      <c r="G880" s="11" t="n"/>
      <c r="H880" s="11" t="n"/>
      <c r="J880" s="10" t="n"/>
      <c r="K880" s="11" t="n"/>
      <c r="L880" s="10" t="n"/>
      <c r="M880" s="11" t="n"/>
      <c r="N880" s="10" t="n"/>
      <c r="O880" s="11" t="n"/>
      <c r="P880" s="6" t="n"/>
      <c r="Q880" s="11" t="n"/>
      <c r="S880" s="8">
        <f>IF(B880="","",E880*F880)</f>
        <v/>
      </c>
      <c r="T880" s="8">
        <f>IF(OR(B880="",N(G880)=0),"",ABS(F880-G880)*E880)</f>
        <v/>
      </c>
      <c r="U880" s="8">
        <f>IF(OR(B880="",P880=""),"",IF(D880="Venda",-1,1)*((N(J880)*N(K880)+N(L880)*N(M880)+N(N880)*N(O880))-(N(J880)+N(L880)+N(N880))*F880)-N(Q880))</f>
        <v/>
      </c>
      <c r="V880" s="9">
        <f>IF(OR(B880="",P880=""),"",U880/S880)</f>
        <v/>
      </c>
      <c r="W880">
        <f>IF(OR(B880="",P880=""),"",P880-C880)</f>
        <v/>
      </c>
      <c r="X880">
        <f>IF(B880="","",IF(P880="","Aberto","Fechado"))</f>
        <v/>
      </c>
    </row>
    <row r="881">
      <c r="C881" s="6" t="n"/>
      <c r="E881" s="10" t="n"/>
      <c r="F881" s="11" t="n"/>
      <c r="G881" s="11" t="n"/>
      <c r="H881" s="11" t="n"/>
      <c r="J881" s="10" t="n"/>
      <c r="K881" s="11" t="n"/>
      <c r="L881" s="10" t="n"/>
      <c r="M881" s="11" t="n"/>
      <c r="N881" s="10" t="n"/>
      <c r="O881" s="11" t="n"/>
      <c r="P881" s="6" t="n"/>
      <c r="Q881" s="11" t="n"/>
      <c r="S881" s="8">
        <f>IF(B881="","",E881*F881)</f>
        <v/>
      </c>
      <c r="T881" s="8">
        <f>IF(OR(B881="",N(G881)=0),"",ABS(F881-G881)*E881)</f>
        <v/>
      </c>
      <c r="U881" s="8">
        <f>IF(OR(B881="",P881=""),"",IF(D881="Venda",-1,1)*((N(J881)*N(K881)+N(L881)*N(M881)+N(N881)*N(O881))-(N(J881)+N(L881)+N(N881))*F881)-N(Q881))</f>
        <v/>
      </c>
      <c r="V881" s="9">
        <f>IF(OR(B881="",P881=""),"",U881/S881)</f>
        <v/>
      </c>
      <c r="W881">
        <f>IF(OR(B881="",P881=""),"",P881-C881)</f>
        <v/>
      </c>
      <c r="X881">
        <f>IF(B881="","",IF(P881="","Aberto","Fechado"))</f>
        <v/>
      </c>
    </row>
    <row r="882">
      <c r="C882" s="6" t="n"/>
      <c r="E882" s="10" t="n"/>
      <c r="F882" s="11" t="n"/>
      <c r="G882" s="11" t="n"/>
      <c r="H882" s="11" t="n"/>
      <c r="J882" s="10" t="n"/>
      <c r="K882" s="11" t="n"/>
      <c r="L882" s="10" t="n"/>
      <c r="M882" s="11" t="n"/>
      <c r="N882" s="10" t="n"/>
      <c r="O882" s="11" t="n"/>
      <c r="P882" s="6" t="n"/>
      <c r="Q882" s="11" t="n"/>
      <c r="S882" s="8">
        <f>IF(B882="","",E882*F882)</f>
        <v/>
      </c>
      <c r="T882" s="8">
        <f>IF(OR(B882="",N(G882)=0),"",ABS(F882-G882)*E882)</f>
        <v/>
      </c>
      <c r="U882" s="8">
        <f>IF(OR(B882="",P882=""),"",IF(D882="Venda",-1,1)*((N(J882)*N(K882)+N(L882)*N(M882)+N(N882)*N(O882))-(N(J882)+N(L882)+N(N882))*F882)-N(Q882))</f>
        <v/>
      </c>
      <c r="V882" s="9">
        <f>IF(OR(B882="",P882=""),"",U882/S882)</f>
        <v/>
      </c>
      <c r="W882">
        <f>IF(OR(B882="",P882=""),"",P882-C882)</f>
        <v/>
      </c>
      <c r="X882">
        <f>IF(B882="","",IF(P882="","Aberto","Fechado"))</f>
        <v/>
      </c>
    </row>
    <row r="883">
      <c r="C883" s="6" t="n"/>
      <c r="E883" s="10" t="n"/>
      <c r="F883" s="11" t="n"/>
      <c r="G883" s="11" t="n"/>
      <c r="H883" s="11" t="n"/>
      <c r="J883" s="10" t="n"/>
      <c r="K883" s="11" t="n"/>
      <c r="L883" s="10" t="n"/>
      <c r="M883" s="11" t="n"/>
      <c r="N883" s="10" t="n"/>
      <c r="O883" s="11" t="n"/>
      <c r="P883" s="6" t="n"/>
      <c r="Q883" s="11" t="n"/>
      <c r="S883" s="8">
        <f>IF(B883="","",E883*F883)</f>
        <v/>
      </c>
      <c r="T883" s="8">
        <f>IF(OR(B883="",N(G883)=0),"",ABS(F883-G883)*E883)</f>
        <v/>
      </c>
      <c r="U883" s="8">
        <f>IF(OR(B883="",P883=""),"",IF(D883="Venda",-1,1)*((N(J883)*N(K883)+N(L883)*N(M883)+N(N883)*N(O883))-(N(J883)+N(L883)+N(N883))*F883)-N(Q883))</f>
        <v/>
      </c>
      <c r="V883" s="9">
        <f>IF(OR(B883="",P883=""),"",U883/S883)</f>
        <v/>
      </c>
      <c r="W883">
        <f>IF(OR(B883="",P883=""),"",P883-C883)</f>
        <v/>
      </c>
      <c r="X883">
        <f>IF(B883="","",IF(P883="","Aberto","Fechado"))</f>
        <v/>
      </c>
    </row>
    <row r="884">
      <c r="C884" s="6" t="n"/>
      <c r="E884" s="10" t="n"/>
      <c r="F884" s="11" t="n"/>
      <c r="G884" s="11" t="n"/>
      <c r="H884" s="11" t="n"/>
      <c r="J884" s="10" t="n"/>
      <c r="K884" s="11" t="n"/>
      <c r="L884" s="10" t="n"/>
      <c r="M884" s="11" t="n"/>
      <c r="N884" s="10" t="n"/>
      <c r="O884" s="11" t="n"/>
      <c r="P884" s="6" t="n"/>
      <c r="Q884" s="11" t="n"/>
      <c r="S884" s="8">
        <f>IF(B884="","",E884*F884)</f>
        <v/>
      </c>
      <c r="T884" s="8">
        <f>IF(OR(B884="",N(G884)=0),"",ABS(F884-G884)*E884)</f>
        <v/>
      </c>
      <c r="U884" s="8">
        <f>IF(OR(B884="",P884=""),"",IF(D884="Venda",-1,1)*((N(J884)*N(K884)+N(L884)*N(M884)+N(N884)*N(O884))-(N(J884)+N(L884)+N(N884))*F884)-N(Q884))</f>
        <v/>
      </c>
      <c r="V884" s="9">
        <f>IF(OR(B884="",P884=""),"",U884/S884)</f>
        <v/>
      </c>
      <c r="W884">
        <f>IF(OR(B884="",P884=""),"",P884-C884)</f>
        <v/>
      </c>
      <c r="X884">
        <f>IF(B884="","",IF(P884="","Aberto","Fechado"))</f>
        <v/>
      </c>
    </row>
    <row r="885">
      <c r="C885" s="6" t="n"/>
      <c r="E885" s="10" t="n"/>
      <c r="F885" s="11" t="n"/>
      <c r="G885" s="11" t="n"/>
      <c r="H885" s="11" t="n"/>
      <c r="J885" s="10" t="n"/>
      <c r="K885" s="11" t="n"/>
      <c r="L885" s="10" t="n"/>
      <c r="M885" s="11" t="n"/>
      <c r="N885" s="10" t="n"/>
      <c r="O885" s="11" t="n"/>
      <c r="P885" s="6" t="n"/>
      <c r="Q885" s="11" t="n"/>
      <c r="S885" s="8">
        <f>IF(B885="","",E885*F885)</f>
        <v/>
      </c>
      <c r="T885" s="8">
        <f>IF(OR(B885="",N(G885)=0),"",ABS(F885-G885)*E885)</f>
        <v/>
      </c>
      <c r="U885" s="8">
        <f>IF(OR(B885="",P885=""),"",IF(D885="Venda",-1,1)*((N(J885)*N(K885)+N(L885)*N(M885)+N(N885)*N(O885))-(N(J885)+N(L885)+N(N885))*F885)-N(Q885))</f>
        <v/>
      </c>
      <c r="V885" s="9">
        <f>IF(OR(B885="",P885=""),"",U885/S885)</f>
        <v/>
      </c>
      <c r="W885">
        <f>IF(OR(B885="",P885=""),"",P885-C885)</f>
        <v/>
      </c>
      <c r="X885">
        <f>IF(B885="","",IF(P885="","Aberto","Fechado"))</f>
        <v/>
      </c>
    </row>
    <row r="886">
      <c r="C886" s="6" t="n"/>
      <c r="E886" s="10" t="n"/>
      <c r="F886" s="11" t="n"/>
      <c r="G886" s="11" t="n"/>
      <c r="H886" s="11" t="n"/>
      <c r="J886" s="10" t="n"/>
      <c r="K886" s="11" t="n"/>
      <c r="L886" s="10" t="n"/>
      <c r="M886" s="11" t="n"/>
      <c r="N886" s="10" t="n"/>
      <c r="O886" s="11" t="n"/>
      <c r="P886" s="6" t="n"/>
      <c r="Q886" s="11" t="n"/>
      <c r="S886" s="8">
        <f>IF(B886="","",E886*F886)</f>
        <v/>
      </c>
      <c r="T886" s="8">
        <f>IF(OR(B886="",N(G886)=0),"",ABS(F886-G886)*E886)</f>
        <v/>
      </c>
      <c r="U886" s="8">
        <f>IF(OR(B886="",P886=""),"",IF(D886="Venda",-1,1)*((N(J886)*N(K886)+N(L886)*N(M886)+N(N886)*N(O886))-(N(J886)+N(L886)+N(N886))*F886)-N(Q886))</f>
        <v/>
      </c>
      <c r="V886" s="9">
        <f>IF(OR(B886="",P886=""),"",U886/S886)</f>
        <v/>
      </c>
      <c r="W886">
        <f>IF(OR(B886="",P886=""),"",P886-C886)</f>
        <v/>
      </c>
      <c r="X886">
        <f>IF(B886="","",IF(P886="","Aberto","Fechado"))</f>
        <v/>
      </c>
    </row>
    <row r="887">
      <c r="C887" s="6" t="n"/>
      <c r="E887" s="10" t="n"/>
      <c r="F887" s="11" t="n"/>
      <c r="G887" s="11" t="n"/>
      <c r="H887" s="11" t="n"/>
      <c r="J887" s="10" t="n"/>
      <c r="K887" s="11" t="n"/>
      <c r="L887" s="10" t="n"/>
      <c r="M887" s="11" t="n"/>
      <c r="N887" s="10" t="n"/>
      <c r="O887" s="11" t="n"/>
      <c r="P887" s="6" t="n"/>
      <c r="Q887" s="11" t="n"/>
      <c r="S887" s="8">
        <f>IF(B887="","",E887*F887)</f>
        <v/>
      </c>
      <c r="T887" s="8">
        <f>IF(OR(B887="",N(G887)=0),"",ABS(F887-G887)*E887)</f>
        <v/>
      </c>
      <c r="U887" s="8">
        <f>IF(OR(B887="",P887=""),"",IF(D887="Venda",-1,1)*((N(J887)*N(K887)+N(L887)*N(M887)+N(N887)*N(O887))-(N(J887)+N(L887)+N(N887))*F887)-N(Q887))</f>
        <v/>
      </c>
      <c r="V887" s="9">
        <f>IF(OR(B887="",P887=""),"",U887/S887)</f>
        <v/>
      </c>
      <c r="W887">
        <f>IF(OR(B887="",P887=""),"",P887-C887)</f>
        <v/>
      </c>
      <c r="X887">
        <f>IF(B887="","",IF(P887="","Aberto","Fechado"))</f>
        <v/>
      </c>
    </row>
    <row r="888">
      <c r="C888" s="6" t="n"/>
      <c r="E888" s="10" t="n"/>
      <c r="F888" s="11" t="n"/>
      <c r="G888" s="11" t="n"/>
      <c r="H888" s="11" t="n"/>
      <c r="J888" s="10" t="n"/>
      <c r="K888" s="11" t="n"/>
      <c r="L888" s="10" t="n"/>
      <c r="M888" s="11" t="n"/>
      <c r="N888" s="10" t="n"/>
      <c r="O888" s="11" t="n"/>
      <c r="P888" s="6" t="n"/>
      <c r="Q888" s="11" t="n"/>
      <c r="S888" s="8">
        <f>IF(B888="","",E888*F888)</f>
        <v/>
      </c>
      <c r="T888" s="8">
        <f>IF(OR(B888="",N(G888)=0),"",ABS(F888-G888)*E888)</f>
        <v/>
      </c>
      <c r="U888" s="8">
        <f>IF(OR(B888="",P888=""),"",IF(D888="Venda",-1,1)*((N(J888)*N(K888)+N(L888)*N(M888)+N(N888)*N(O888))-(N(J888)+N(L888)+N(N888))*F888)-N(Q888))</f>
        <v/>
      </c>
      <c r="V888" s="9">
        <f>IF(OR(B888="",P888=""),"",U888/S888)</f>
        <v/>
      </c>
      <c r="W888">
        <f>IF(OR(B888="",P888=""),"",P888-C888)</f>
        <v/>
      </c>
      <c r="X888">
        <f>IF(B888="","",IF(P888="","Aberto","Fechado"))</f>
        <v/>
      </c>
    </row>
    <row r="889">
      <c r="C889" s="6" t="n"/>
      <c r="E889" s="10" t="n"/>
      <c r="F889" s="11" t="n"/>
      <c r="G889" s="11" t="n"/>
      <c r="H889" s="11" t="n"/>
      <c r="J889" s="10" t="n"/>
      <c r="K889" s="11" t="n"/>
      <c r="L889" s="10" t="n"/>
      <c r="M889" s="11" t="n"/>
      <c r="N889" s="10" t="n"/>
      <c r="O889" s="11" t="n"/>
      <c r="P889" s="6" t="n"/>
      <c r="Q889" s="11" t="n"/>
      <c r="S889" s="8">
        <f>IF(B889="","",E889*F889)</f>
        <v/>
      </c>
      <c r="T889" s="8">
        <f>IF(OR(B889="",N(G889)=0),"",ABS(F889-G889)*E889)</f>
        <v/>
      </c>
      <c r="U889" s="8">
        <f>IF(OR(B889="",P889=""),"",IF(D889="Venda",-1,1)*((N(J889)*N(K889)+N(L889)*N(M889)+N(N889)*N(O889))-(N(J889)+N(L889)+N(N889))*F889)-N(Q889))</f>
        <v/>
      </c>
      <c r="V889" s="9">
        <f>IF(OR(B889="",P889=""),"",U889/S889)</f>
        <v/>
      </c>
      <c r="W889">
        <f>IF(OR(B889="",P889=""),"",P889-C889)</f>
        <v/>
      </c>
      <c r="X889">
        <f>IF(B889="","",IF(P889="","Aberto","Fechado"))</f>
        <v/>
      </c>
    </row>
    <row r="890">
      <c r="C890" s="6" t="n"/>
      <c r="E890" s="10" t="n"/>
      <c r="F890" s="11" t="n"/>
      <c r="G890" s="11" t="n"/>
      <c r="H890" s="11" t="n"/>
      <c r="J890" s="10" t="n"/>
      <c r="K890" s="11" t="n"/>
      <c r="L890" s="10" t="n"/>
      <c r="M890" s="11" t="n"/>
      <c r="N890" s="10" t="n"/>
      <c r="O890" s="11" t="n"/>
      <c r="P890" s="6" t="n"/>
      <c r="Q890" s="11" t="n"/>
      <c r="S890" s="8">
        <f>IF(B890="","",E890*F890)</f>
        <v/>
      </c>
      <c r="T890" s="8">
        <f>IF(OR(B890="",N(G890)=0),"",ABS(F890-G890)*E890)</f>
        <v/>
      </c>
      <c r="U890" s="8">
        <f>IF(OR(B890="",P890=""),"",IF(D890="Venda",-1,1)*((N(J890)*N(K890)+N(L890)*N(M890)+N(N890)*N(O890))-(N(J890)+N(L890)+N(N890))*F890)-N(Q890))</f>
        <v/>
      </c>
      <c r="V890" s="9">
        <f>IF(OR(B890="",P890=""),"",U890/S890)</f>
        <v/>
      </c>
      <c r="W890">
        <f>IF(OR(B890="",P890=""),"",P890-C890)</f>
        <v/>
      </c>
      <c r="X890">
        <f>IF(B890="","",IF(P890="","Aberto","Fechado"))</f>
        <v/>
      </c>
    </row>
    <row r="891">
      <c r="C891" s="6" t="n"/>
      <c r="E891" s="10" t="n"/>
      <c r="F891" s="11" t="n"/>
      <c r="G891" s="11" t="n"/>
      <c r="H891" s="11" t="n"/>
      <c r="J891" s="10" t="n"/>
      <c r="K891" s="11" t="n"/>
      <c r="L891" s="10" t="n"/>
      <c r="M891" s="11" t="n"/>
      <c r="N891" s="10" t="n"/>
      <c r="O891" s="11" t="n"/>
      <c r="P891" s="6" t="n"/>
      <c r="Q891" s="11" t="n"/>
      <c r="S891" s="8">
        <f>IF(B891="","",E891*F891)</f>
        <v/>
      </c>
      <c r="T891" s="8">
        <f>IF(OR(B891="",N(G891)=0),"",ABS(F891-G891)*E891)</f>
        <v/>
      </c>
      <c r="U891" s="8">
        <f>IF(OR(B891="",P891=""),"",IF(D891="Venda",-1,1)*((N(J891)*N(K891)+N(L891)*N(M891)+N(N891)*N(O891))-(N(J891)+N(L891)+N(N891))*F891)-N(Q891))</f>
        <v/>
      </c>
      <c r="V891" s="9">
        <f>IF(OR(B891="",P891=""),"",U891/S891)</f>
        <v/>
      </c>
      <c r="W891">
        <f>IF(OR(B891="",P891=""),"",P891-C891)</f>
        <v/>
      </c>
      <c r="X891">
        <f>IF(B891="","",IF(P891="","Aberto","Fechado"))</f>
        <v/>
      </c>
    </row>
    <row r="892">
      <c r="C892" s="6" t="n"/>
      <c r="E892" s="10" t="n"/>
      <c r="F892" s="11" t="n"/>
      <c r="G892" s="11" t="n"/>
      <c r="H892" s="11" t="n"/>
      <c r="J892" s="10" t="n"/>
      <c r="K892" s="11" t="n"/>
      <c r="L892" s="10" t="n"/>
      <c r="M892" s="11" t="n"/>
      <c r="N892" s="10" t="n"/>
      <c r="O892" s="11" t="n"/>
      <c r="P892" s="6" t="n"/>
      <c r="Q892" s="11" t="n"/>
      <c r="S892" s="8">
        <f>IF(B892="","",E892*F892)</f>
        <v/>
      </c>
      <c r="T892" s="8">
        <f>IF(OR(B892="",N(G892)=0),"",ABS(F892-G892)*E892)</f>
        <v/>
      </c>
      <c r="U892" s="8">
        <f>IF(OR(B892="",P892=""),"",IF(D892="Venda",-1,1)*((N(J892)*N(K892)+N(L892)*N(M892)+N(N892)*N(O892))-(N(J892)+N(L892)+N(N892))*F892)-N(Q892))</f>
        <v/>
      </c>
      <c r="V892" s="9">
        <f>IF(OR(B892="",P892=""),"",U892/S892)</f>
        <v/>
      </c>
      <c r="W892">
        <f>IF(OR(B892="",P892=""),"",P892-C892)</f>
        <v/>
      </c>
      <c r="X892">
        <f>IF(B892="","",IF(P892="","Aberto","Fechado"))</f>
        <v/>
      </c>
    </row>
    <row r="893">
      <c r="C893" s="6" t="n"/>
      <c r="E893" s="10" t="n"/>
      <c r="F893" s="11" t="n"/>
      <c r="G893" s="11" t="n"/>
      <c r="H893" s="11" t="n"/>
      <c r="J893" s="10" t="n"/>
      <c r="K893" s="11" t="n"/>
      <c r="L893" s="10" t="n"/>
      <c r="M893" s="11" t="n"/>
      <c r="N893" s="10" t="n"/>
      <c r="O893" s="11" t="n"/>
      <c r="P893" s="6" t="n"/>
      <c r="Q893" s="11" t="n"/>
      <c r="S893" s="8">
        <f>IF(B893="","",E893*F893)</f>
        <v/>
      </c>
      <c r="T893" s="8">
        <f>IF(OR(B893="",N(G893)=0),"",ABS(F893-G893)*E893)</f>
        <v/>
      </c>
      <c r="U893" s="8">
        <f>IF(OR(B893="",P893=""),"",IF(D893="Venda",-1,1)*((N(J893)*N(K893)+N(L893)*N(M893)+N(N893)*N(O893))-(N(J893)+N(L893)+N(N893))*F893)-N(Q893))</f>
        <v/>
      </c>
      <c r="V893" s="9">
        <f>IF(OR(B893="",P893=""),"",U893/S893)</f>
        <v/>
      </c>
      <c r="W893">
        <f>IF(OR(B893="",P893=""),"",P893-C893)</f>
        <v/>
      </c>
      <c r="X893">
        <f>IF(B893="","",IF(P893="","Aberto","Fechado"))</f>
        <v/>
      </c>
    </row>
    <row r="894">
      <c r="C894" s="6" t="n"/>
      <c r="E894" s="10" t="n"/>
      <c r="F894" s="11" t="n"/>
      <c r="G894" s="11" t="n"/>
      <c r="H894" s="11" t="n"/>
      <c r="J894" s="10" t="n"/>
      <c r="K894" s="11" t="n"/>
      <c r="L894" s="10" t="n"/>
      <c r="M894" s="11" t="n"/>
      <c r="N894" s="10" t="n"/>
      <c r="O894" s="11" t="n"/>
      <c r="P894" s="6" t="n"/>
      <c r="Q894" s="11" t="n"/>
      <c r="S894" s="8">
        <f>IF(B894="","",E894*F894)</f>
        <v/>
      </c>
      <c r="T894" s="8">
        <f>IF(OR(B894="",N(G894)=0),"",ABS(F894-G894)*E894)</f>
        <v/>
      </c>
      <c r="U894" s="8">
        <f>IF(OR(B894="",P894=""),"",IF(D894="Venda",-1,1)*((N(J894)*N(K894)+N(L894)*N(M894)+N(N894)*N(O894))-(N(J894)+N(L894)+N(N894))*F894)-N(Q894))</f>
        <v/>
      </c>
      <c r="V894" s="9">
        <f>IF(OR(B894="",P894=""),"",U894/S894)</f>
        <v/>
      </c>
      <c r="W894">
        <f>IF(OR(B894="",P894=""),"",P894-C894)</f>
        <v/>
      </c>
      <c r="X894">
        <f>IF(B894="","",IF(P894="","Aberto","Fechado"))</f>
        <v/>
      </c>
    </row>
    <row r="895">
      <c r="C895" s="6" t="n"/>
      <c r="E895" s="10" t="n"/>
      <c r="F895" s="11" t="n"/>
      <c r="G895" s="11" t="n"/>
      <c r="H895" s="11" t="n"/>
      <c r="J895" s="10" t="n"/>
      <c r="K895" s="11" t="n"/>
      <c r="L895" s="10" t="n"/>
      <c r="M895" s="11" t="n"/>
      <c r="N895" s="10" t="n"/>
      <c r="O895" s="11" t="n"/>
      <c r="P895" s="6" t="n"/>
      <c r="Q895" s="11" t="n"/>
      <c r="S895" s="8">
        <f>IF(B895="","",E895*F895)</f>
        <v/>
      </c>
      <c r="T895" s="8">
        <f>IF(OR(B895="",N(G895)=0),"",ABS(F895-G895)*E895)</f>
        <v/>
      </c>
      <c r="U895" s="8">
        <f>IF(OR(B895="",P895=""),"",IF(D895="Venda",-1,1)*((N(J895)*N(K895)+N(L895)*N(M895)+N(N895)*N(O895))-(N(J895)+N(L895)+N(N895))*F895)-N(Q895))</f>
        <v/>
      </c>
      <c r="V895" s="9">
        <f>IF(OR(B895="",P895=""),"",U895/S895)</f>
        <v/>
      </c>
      <c r="W895">
        <f>IF(OR(B895="",P895=""),"",P895-C895)</f>
        <v/>
      </c>
      <c r="X895">
        <f>IF(B895="","",IF(P895="","Aberto","Fechado"))</f>
        <v/>
      </c>
    </row>
    <row r="896">
      <c r="C896" s="6" t="n"/>
      <c r="E896" s="10" t="n"/>
      <c r="F896" s="11" t="n"/>
      <c r="G896" s="11" t="n"/>
      <c r="H896" s="11" t="n"/>
      <c r="J896" s="10" t="n"/>
      <c r="K896" s="11" t="n"/>
      <c r="L896" s="10" t="n"/>
      <c r="M896" s="11" t="n"/>
      <c r="N896" s="10" t="n"/>
      <c r="O896" s="11" t="n"/>
      <c r="P896" s="6" t="n"/>
      <c r="Q896" s="11" t="n"/>
      <c r="S896" s="8">
        <f>IF(B896="","",E896*F896)</f>
        <v/>
      </c>
      <c r="T896" s="8">
        <f>IF(OR(B896="",N(G896)=0),"",ABS(F896-G896)*E896)</f>
        <v/>
      </c>
      <c r="U896" s="8">
        <f>IF(OR(B896="",P896=""),"",IF(D896="Venda",-1,1)*((N(J896)*N(K896)+N(L896)*N(M896)+N(N896)*N(O896))-(N(J896)+N(L896)+N(N896))*F896)-N(Q896))</f>
        <v/>
      </c>
      <c r="V896" s="9">
        <f>IF(OR(B896="",P896=""),"",U896/S896)</f>
        <v/>
      </c>
      <c r="W896">
        <f>IF(OR(B896="",P896=""),"",P896-C896)</f>
        <v/>
      </c>
      <c r="X896">
        <f>IF(B896="","",IF(P896="","Aberto","Fechado"))</f>
        <v/>
      </c>
    </row>
    <row r="897">
      <c r="C897" s="6" t="n"/>
      <c r="E897" s="10" t="n"/>
      <c r="F897" s="11" t="n"/>
      <c r="G897" s="11" t="n"/>
      <c r="H897" s="11" t="n"/>
      <c r="J897" s="10" t="n"/>
      <c r="K897" s="11" t="n"/>
      <c r="L897" s="10" t="n"/>
      <c r="M897" s="11" t="n"/>
      <c r="N897" s="10" t="n"/>
      <c r="O897" s="11" t="n"/>
      <c r="P897" s="6" t="n"/>
      <c r="Q897" s="11" t="n"/>
      <c r="S897" s="8">
        <f>IF(B897="","",E897*F897)</f>
        <v/>
      </c>
      <c r="T897" s="8">
        <f>IF(OR(B897="",N(G897)=0),"",ABS(F897-G897)*E897)</f>
        <v/>
      </c>
      <c r="U897" s="8">
        <f>IF(OR(B897="",P897=""),"",IF(D897="Venda",-1,1)*((N(J897)*N(K897)+N(L897)*N(M897)+N(N897)*N(O897))-(N(J897)+N(L897)+N(N897))*F897)-N(Q897))</f>
        <v/>
      </c>
      <c r="V897" s="9">
        <f>IF(OR(B897="",P897=""),"",U897/S897)</f>
        <v/>
      </c>
      <c r="W897">
        <f>IF(OR(B897="",P897=""),"",P897-C897)</f>
        <v/>
      </c>
      <c r="X897">
        <f>IF(B897="","",IF(P897="","Aberto","Fechado"))</f>
        <v/>
      </c>
    </row>
    <row r="898">
      <c r="C898" s="6" t="n"/>
      <c r="E898" s="10" t="n"/>
      <c r="F898" s="11" t="n"/>
      <c r="G898" s="11" t="n"/>
      <c r="H898" s="11" t="n"/>
      <c r="J898" s="10" t="n"/>
      <c r="K898" s="11" t="n"/>
      <c r="L898" s="10" t="n"/>
      <c r="M898" s="11" t="n"/>
      <c r="N898" s="10" t="n"/>
      <c r="O898" s="11" t="n"/>
      <c r="P898" s="6" t="n"/>
      <c r="Q898" s="11" t="n"/>
      <c r="S898" s="8">
        <f>IF(B898="","",E898*F898)</f>
        <v/>
      </c>
      <c r="T898" s="8">
        <f>IF(OR(B898="",N(G898)=0),"",ABS(F898-G898)*E898)</f>
        <v/>
      </c>
      <c r="U898" s="8">
        <f>IF(OR(B898="",P898=""),"",IF(D898="Venda",-1,1)*((N(J898)*N(K898)+N(L898)*N(M898)+N(N898)*N(O898))-(N(J898)+N(L898)+N(N898))*F898)-N(Q898))</f>
        <v/>
      </c>
      <c r="V898" s="9">
        <f>IF(OR(B898="",P898=""),"",U898/S898)</f>
        <v/>
      </c>
      <c r="W898">
        <f>IF(OR(B898="",P898=""),"",P898-C898)</f>
        <v/>
      </c>
      <c r="X898">
        <f>IF(B898="","",IF(P898="","Aberto","Fechado"))</f>
        <v/>
      </c>
    </row>
    <row r="899">
      <c r="C899" s="6" t="n"/>
      <c r="E899" s="10" t="n"/>
      <c r="F899" s="11" t="n"/>
      <c r="G899" s="11" t="n"/>
      <c r="H899" s="11" t="n"/>
      <c r="J899" s="10" t="n"/>
      <c r="K899" s="11" t="n"/>
      <c r="L899" s="10" t="n"/>
      <c r="M899" s="11" t="n"/>
      <c r="N899" s="10" t="n"/>
      <c r="O899" s="11" t="n"/>
      <c r="P899" s="6" t="n"/>
      <c r="Q899" s="11" t="n"/>
      <c r="S899" s="8">
        <f>IF(B899="","",E899*F899)</f>
        <v/>
      </c>
      <c r="T899" s="8">
        <f>IF(OR(B899="",N(G899)=0),"",ABS(F899-G899)*E899)</f>
        <v/>
      </c>
      <c r="U899" s="8">
        <f>IF(OR(B899="",P899=""),"",IF(D899="Venda",-1,1)*((N(J899)*N(K899)+N(L899)*N(M899)+N(N899)*N(O899))-(N(J899)+N(L899)+N(N899))*F899)-N(Q899))</f>
        <v/>
      </c>
      <c r="V899" s="9">
        <f>IF(OR(B899="",P899=""),"",U899/S899)</f>
        <v/>
      </c>
      <c r="W899">
        <f>IF(OR(B899="",P899=""),"",P899-C899)</f>
        <v/>
      </c>
      <c r="X899">
        <f>IF(B899="","",IF(P899="","Aberto","Fechado"))</f>
        <v/>
      </c>
    </row>
    <row r="900">
      <c r="C900" s="6" t="n"/>
      <c r="E900" s="10" t="n"/>
      <c r="F900" s="11" t="n"/>
      <c r="G900" s="11" t="n"/>
      <c r="H900" s="11" t="n"/>
      <c r="J900" s="10" t="n"/>
      <c r="K900" s="11" t="n"/>
      <c r="L900" s="10" t="n"/>
      <c r="M900" s="11" t="n"/>
      <c r="N900" s="10" t="n"/>
      <c r="O900" s="11" t="n"/>
      <c r="P900" s="6" t="n"/>
      <c r="Q900" s="11" t="n"/>
      <c r="S900" s="8">
        <f>IF(B900="","",E900*F900)</f>
        <v/>
      </c>
      <c r="T900" s="8">
        <f>IF(OR(B900="",N(G900)=0),"",ABS(F900-G900)*E900)</f>
        <v/>
      </c>
      <c r="U900" s="8">
        <f>IF(OR(B900="",P900=""),"",IF(D900="Venda",-1,1)*((N(J900)*N(K900)+N(L900)*N(M900)+N(N900)*N(O900))-(N(J900)+N(L900)+N(N900))*F900)-N(Q900))</f>
        <v/>
      </c>
      <c r="V900" s="9">
        <f>IF(OR(B900="",P900=""),"",U900/S900)</f>
        <v/>
      </c>
      <c r="W900">
        <f>IF(OR(B900="",P900=""),"",P900-C900)</f>
        <v/>
      </c>
      <c r="X900">
        <f>IF(B900="","",IF(P900="","Aberto","Fechado"))</f>
        <v/>
      </c>
    </row>
    <row r="901">
      <c r="C901" s="6" t="n"/>
      <c r="E901" s="10" t="n"/>
      <c r="F901" s="11" t="n"/>
      <c r="G901" s="11" t="n"/>
      <c r="H901" s="11" t="n"/>
      <c r="J901" s="10" t="n"/>
      <c r="K901" s="11" t="n"/>
      <c r="L901" s="10" t="n"/>
      <c r="M901" s="11" t="n"/>
      <c r="N901" s="10" t="n"/>
      <c r="O901" s="11" t="n"/>
      <c r="P901" s="6" t="n"/>
      <c r="Q901" s="11" t="n"/>
      <c r="S901" s="8">
        <f>IF(B901="","",E901*F901)</f>
        <v/>
      </c>
      <c r="T901" s="8">
        <f>IF(OR(B901="",N(G901)=0),"",ABS(F901-G901)*E901)</f>
        <v/>
      </c>
      <c r="U901" s="8">
        <f>IF(OR(B901="",P901=""),"",IF(D901="Venda",-1,1)*((N(J901)*N(K901)+N(L901)*N(M901)+N(N901)*N(O901))-(N(J901)+N(L901)+N(N901))*F901)-N(Q901))</f>
        <v/>
      </c>
      <c r="V901" s="9">
        <f>IF(OR(B901="",P901=""),"",U901/S901)</f>
        <v/>
      </c>
      <c r="W901">
        <f>IF(OR(B901="",P901=""),"",P901-C901)</f>
        <v/>
      </c>
      <c r="X901">
        <f>IF(B901="","",IF(P901="","Aberto","Fechado"))</f>
        <v/>
      </c>
    </row>
    <row r="902">
      <c r="C902" s="6" t="n"/>
      <c r="E902" s="10" t="n"/>
      <c r="F902" s="11" t="n"/>
      <c r="G902" s="11" t="n"/>
      <c r="H902" s="11" t="n"/>
      <c r="J902" s="10" t="n"/>
      <c r="K902" s="11" t="n"/>
      <c r="L902" s="10" t="n"/>
      <c r="M902" s="11" t="n"/>
      <c r="N902" s="10" t="n"/>
      <c r="O902" s="11" t="n"/>
      <c r="P902" s="6" t="n"/>
      <c r="Q902" s="11" t="n"/>
      <c r="S902" s="8">
        <f>IF(B902="","",E902*F902)</f>
        <v/>
      </c>
      <c r="T902" s="8">
        <f>IF(OR(B902="",N(G902)=0),"",ABS(F902-G902)*E902)</f>
        <v/>
      </c>
      <c r="U902" s="8">
        <f>IF(OR(B902="",P902=""),"",IF(D902="Venda",-1,1)*((N(J902)*N(K902)+N(L902)*N(M902)+N(N902)*N(O902))-(N(J902)+N(L902)+N(N902))*F902)-N(Q902))</f>
        <v/>
      </c>
      <c r="V902" s="9">
        <f>IF(OR(B902="",P902=""),"",U902/S902)</f>
        <v/>
      </c>
      <c r="W902">
        <f>IF(OR(B902="",P902=""),"",P902-C902)</f>
        <v/>
      </c>
      <c r="X902">
        <f>IF(B902="","",IF(P902="","Aberto","Fechado"))</f>
        <v/>
      </c>
    </row>
    <row r="903">
      <c r="C903" s="6" t="n"/>
      <c r="E903" s="10" t="n"/>
      <c r="F903" s="11" t="n"/>
      <c r="G903" s="11" t="n"/>
      <c r="H903" s="11" t="n"/>
      <c r="J903" s="10" t="n"/>
      <c r="K903" s="11" t="n"/>
      <c r="L903" s="10" t="n"/>
      <c r="M903" s="11" t="n"/>
      <c r="N903" s="10" t="n"/>
      <c r="O903" s="11" t="n"/>
      <c r="P903" s="6" t="n"/>
      <c r="Q903" s="11" t="n"/>
      <c r="S903" s="8">
        <f>IF(B903="","",E903*F903)</f>
        <v/>
      </c>
      <c r="T903" s="8">
        <f>IF(OR(B903="",N(G903)=0),"",ABS(F903-G903)*E903)</f>
        <v/>
      </c>
      <c r="U903" s="8">
        <f>IF(OR(B903="",P903=""),"",IF(D903="Venda",-1,1)*((N(J903)*N(K903)+N(L903)*N(M903)+N(N903)*N(O903))-(N(J903)+N(L903)+N(N903))*F903)-N(Q903))</f>
        <v/>
      </c>
      <c r="V903" s="9">
        <f>IF(OR(B903="",P903=""),"",U903/S903)</f>
        <v/>
      </c>
      <c r="W903">
        <f>IF(OR(B903="",P903=""),"",P903-C903)</f>
        <v/>
      </c>
      <c r="X903">
        <f>IF(B903="","",IF(P903="","Aberto","Fechado"))</f>
        <v/>
      </c>
    </row>
    <row r="904">
      <c r="C904" s="6" t="n"/>
      <c r="E904" s="10" t="n"/>
      <c r="F904" s="11" t="n"/>
      <c r="G904" s="11" t="n"/>
      <c r="H904" s="11" t="n"/>
      <c r="J904" s="10" t="n"/>
      <c r="K904" s="11" t="n"/>
      <c r="L904" s="10" t="n"/>
      <c r="M904" s="11" t="n"/>
      <c r="N904" s="10" t="n"/>
      <c r="O904" s="11" t="n"/>
      <c r="P904" s="6" t="n"/>
      <c r="Q904" s="11" t="n"/>
      <c r="S904" s="8">
        <f>IF(B904="","",E904*F904)</f>
        <v/>
      </c>
      <c r="T904" s="8">
        <f>IF(OR(B904="",N(G904)=0),"",ABS(F904-G904)*E904)</f>
        <v/>
      </c>
      <c r="U904" s="8">
        <f>IF(OR(B904="",P904=""),"",IF(D904="Venda",-1,1)*((N(J904)*N(K904)+N(L904)*N(M904)+N(N904)*N(O904))-(N(J904)+N(L904)+N(N904))*F904)-N(Q904))</f>
        <v/>
      </c>
      <c r="V904" s="9">
        <f>IF(OR(B904="",P904=""),"",U904/S904)</f>
        <v/>
      </c>
      <c r="W904">
        <f>IF(OR(B904="",P904=""),"",P904-C904)</f>
        <v/>
      </c>
      <c r="X904">
        <f>IF(B904="","",IF(P904="","Aberto","Fechado"))</f>
        <v/>
      </c>
    </row>
    <row r="905">
      <c r="C905" s="6" t="n"/>
      <c r="E905" s="10" t="n"/>
      <c r="F905" s="11" t="n"/>
      <c r="G905" s="11" t="n"/>
      <c r="H905" s="11" t="n"/>
      <c r="J905" s="10" t="n"/>
      <c r="K905" s="11" t="n"/>
      <c r="L905" s="10" t="n"/>
      <c r="M905" s="11" t="n"/>
      <c r="N905" s="10" t="n"/>
      <c r="O905" s="11" t="n"/>
      <c r="P905" s="6" t="n"/>
      <c r="Q905" s="11" t="n"/>
      <c r="S905" s="8">
        <f>IF(B905="","",E905*F905)</f>
        <v/>
      </c>
      <c r="T905" s="8">
        <f>IF(OR(B905="",N(G905)=0),"",ABS(F905-G905)*E905)</f>
        <v/>
      </c>
      <c r="U905" s="8">
        <f>IF(OR(B905="",P905=""),"",IF(D905="Venda",-1,1)*((N(J905)*N(K905)+N(L905)*N(M905)+N(N905)*N(O905))-(N(J905)+N(L905)+N(N905))*F905)-N(Q905))</f>
        <v/>
      </c>
      <c r="V905" s="9">
        <f>IF(OR(B905="",P905=""),"",U905/S905)</f>
        <v/>
      </c>
      <c r="W905">
        <f>IF(OR(B905="",P905=""),"",P905-C905)</f>
        <v/>
      </c>
      <c r="X905">
        <f>IF(B905="","",IF(P905="","Aberto","Fechado"))</f>
        <v/>
      </c>
    </row>
    <row r="906">
      <c r="C906" s="6" t="n"/>
      <c r="E906" s="10" t="n"/>
      <c r="F906" s="11" t="n"/>
      <c r="G906" s="11" t="n"/>
      <c r="H906" s="11" t="n"/>
      <c r="J906" s="10" t="n"/>
      <c r="K906" s="11" t="n"/>
      <c r="L906" s="10" t="n"/>
      <c r="M906" s="11" t="n"/>
      <c r="N906" s="10" t="n"/>
      <c r="O906" s="11" t="n"/>
      <c r="P906" s="6" t="n"/>
      <c r="Q906" s="11" t="n"/>
      <c r="S906" s="8">
        <f>IF(B906="","",E906*F906)</f>
        <v/>
      </c>
      <c r="T906" s="8">
        <f>IF(OR(B906="",N(G906)=0),"",ABS(F906-G906)*E906)</f>
        <v/>
      </c>
      <c r="U906" s="8">
        <f>IF(OR(B906="",P906=""),"",IF(D906="Venda",-1,1)*((N(J906)*N(K906)+N(L906)*N(M906)+N(N906)*N(O906))-(N(J906)+N(L906)+N(N906))*F906)-N(Q906))</f>
        <v/>
      </c>
      <c r="V906" s="9">
        <f>IF(OR(B906="",P906=""),"",U906/S906)</f>
        <v/>
      </c>
      <c r="W906">
        <f>IF(OR(B906="",P906=""),"",P906-C906)</f>
        <v/>
      </c>
      <c r="X906">
        <f>IF(B906="","",IF(P906="","Aberto","Fechado"))</f>
        <v/>
      </c>
    </row>
    <row r="907">
      <c r="C907" s="6" t="n"/>
      <c r="E907" s="10" t="n"/>
      <c r="F907" s="11" t="n"/>
      <c r="G907" s="11" t="n"/>
      <c r="H907" s="11" t="n"/>
      <c r="J907" s="10" t="n"/>
      <c r="K907" s="11" t="n"/>
      <c r="L907" s="10" t="n"/>
      <c r="M907" s="11" t="n"/>
      <c r="N907" s="10" t="n"/>
      <c r="O907" s="11" t="n"/>
      <c r="P907" s="6" t="n"/>
      <c r="Q907" s="11" t="n"/>
      <c r="S907" s="8">
        <f>IF(B907="","",E907*F907)</f>
        <v/>
      </c>
      <c r="T907" s="8">
        <f>IF(OR(B907="",N(G907)=0),"",ABS(F907-G907)*E907)</f>
        <v/>
      </c>
      <c r="U907" s="8">
        <f>IF(OR(B907="",P907=""),"",IF(D907="Venda",-1,1)*((N(J907)*N(K907)+N(L907)*N(M907)+N(N907)*N(O907))-(N(J907)+N(L907)+N(N907))*F907)-N(Q907))</f>
        <v/>
      </c>
      <c r="V907" s="9">
        <f>IF(OR(B907="",P907=""),"",U907/S907)</f>
        <v/>
      </c>
      <c r="W907">
        <f>IF(OR(B907="",P907=""),"",P907-C907)</f>
        <v/>
      </c>
      <c r="X907">
        <f>IF(B907="","",IF(P907="","Aberto","Fechado"))</f>
        <v/>
      </c>
    </row>
    <row r="908">
      <c r="C908" s="6" t="n"/>
      <c r="E908" s="10" t="n"/>
      <c r="F908" s="11" t="n"/>
      <c r="G908" s="11" t="n"/>
      <c r="H908" s="11" t="n"/>
      <c r="J908" s="10" t="n"/>
      <c r="K908" s="11" t="n"/>
      <c r="L908" s="10" t="n"/>
      <c r="M908" s="11" t="n"/>
      <c r="N908" s="10" t="n"/>
      <c r="O908" s="11" t="n"/>
      <c r="P908" s="6" t="n"/>
      <c r="Q908" s="11" t="n"/>
      <c r="S908" s="8">
        <f>IF(B908="","",E908*F908)</f>
        <v/>
      </c>
      <c r="T908" s="8">
        <f>IF(OR(B908="",N(G908)=0),"",ABS(F908-G908)*E908)</f>
        <v/>
      </c>
      <c r="U908" s="8">
        <f>IF(OR(B908="",P908=""),"",IF(D908="Venda",-1,1)*((N(J908)*N(K908)+N(L908)*N(M908)+N(N908)*N(O908))-(N(J908)+N(L908)+N(N908))*F908)-N(Q908))</f>
        <v/>
      </c>
      <c r="V908" s="9">
        <f>IF(OR(B908="",P908=""),"",U908/S908)</f>
        <v/>
      </c>
      <c r="W908">
        <f>IF(OR(B908="",P908=""),"",P908-C908)</f>
        <v/>
      </c>
      <c r="X908">
        <f>IF(B908="","",IF(P908="","Aberto","Fechado"))</f>
        <v/>
      </c>
    </row>
    <row r="909">
      <c r="C909" s="6" t="n"/>
      <c r="E909" s="10" t="n"/>
      <c r="F909" s="11" t="n"/>
      <c r="G909" s="11" t="n"/>
      <c r="H909" s="11" t="n"/>
      <c r="J909" s="10" t="n"/>
      <c r="K909" s="11" t="n"/>
      <c r="L909" s="10" t="n"/>
      <c r="M909" s="11" t="n"/>
      <c r="N909" s="10" t="n"/>
      <c r="O909" s="11" t="n"/>
      <c r="P909" s="6" t="n"/>
      <c r="Q909" s="11" t="n"/>
      <c r="S909" s="8">
        <f>IF(B909="","",E909*F909)</f>
        <v/>
      </c>
      <c r="T909" s="8">
        <f>IF(OR(B909="",N(G909)=0),"",ABS(F909-G909)*E909)</f>
        <v/>
      </c>
      <c r="U909" s="8">
        <f>IF(OR(B909="",P909=""),"",IF(D909="Venda",-1,1)*((N(J909)*N(K909)+N(L909)*N(M909)+N(N909)*N(O909))-(N(J909)+N(L909)+N(N909))*F909)-N(Q909))</f>
        <v/>
      </c>
      <c r="V909" s="9">
        <f>IF(OR(B909="",P909=""),"",U909/S909)</f>
        <v/>
      </c>
      <c r="W909">
        <f>IF(OR(B909="",P909=""),"",P909-C909)</f>
        <v/>
      </c>
      <c r="X909">
        <f>IF(B909="","",IF(P909="","Aberto","Fechado"))</f>
        <v/>
      </c>
    </row>
    <row r="910">
      <c r="C910" s="6" t="n"/>
      <c r="E910" s="10" t="n"/>
      <c r="F910" s="11" t="n"/>
      <c r="G910" s="11" t="n"/>
      <c r="H910" s="11" t="n"/>
      <c r="J910" s="10" t="n"/>
      <c r="K910" s="11" t="n"/>
      <c r="L910" s="10" t="n"/>
      <c r="M910" s="11" t="n"/>
      <c r="N910" s="10" t="n"/>
      <c r="O910" s="11" t="n"/>
      <c r="P910" s="6" t="n"/>
      <c r="Q910" s="11" t="n"/>
      <c r="S910" s="8">
        <f>IF(B910="","",E910*F910)</f>
        <v/>
      </c>
      <c r="T910" s="8">
        <f>IF(OR(B910="",N(G910)=0),"",ABS(F910-G910)*E910)</f>
        <v/>
      </c>
      <c r="U910" s="8">
        <f>IF(OR(B910="",P910=""),"",IF(D910="Venda",-1,1)*((N(J910)*N(K910)+N(L910)*N(M910)+N(N910)*N(O910))-(N(J910)+N(L910)+N(N910))*F910)-N(Q910))</f>
        <v/>
      </c>
      <c r="V910" s="9">
        <f>IF(OR(B910="",P910=""),"",U910/S910)</f>
        <v/>
      </c>
      <c r="W910">
        <f>IF(OR(B910="",P910=""),"",P910-C910)</f>
        <v/>
      </c>
      <c r="X910">
        <f>IF(B910="","",IF(P910="","Aberto","Fechado"))</f>
        <v/>
      </c>
    </row>
    <row r="911">
      <c r="C911" s="6" t="n"/>
      <c r="E911" s="10" t="n"/>
      <c r="F911" s="11" t="n"/>
      <c r="G911" s="11" t="n"/>
      <c r="H911" s="11" t="n"/>
      <c r="J911" s="10" t="n"/>
      <c r="K911" s="11" t="n"/>
      <c r="L911" s="10" t="n"/>
      <c r="M911" s="11" t="n"/>
      <c r="N911" s="10" t="n"/>
      <c r="O911" s="11" t="n"/>
      <c r="P911" s="6" t="n"/>
      <c r="Q911" s="11" t="n"/>
      <c r="S911" s="8">
        <f>IF(B911="","",E911*F911)</f>
        <v/>
      </c>
      <c r="T911" s="8">
        <f>IF(OR(B911="",N(G911)=0),"",ABS(F911-G911)*E911)</f>
        <v/>
      </c>
      <c r="U911" s="8">
        <f>IF(OR(B911="",P911=""),"",IF(D911="Venda",-1,1)*((N(J911)*N(K911)+N(L911)*N(M911)+N(N911)*N(O911))-(N(J911)+N(L911)+N(N911))*F911)-N(Q911))</f>
        <v/>
      </c>
      <c r="V911" s="9">
        <f>IF(OR(B911="",P911=""),"",U911/S911)</f>
        <v/>
      </c>
      <c r="W911">
        <f>IF(OR(B911="",P911=""),"",P911-C911)</f>
        <v/>
      </c>
      <c r="X911">
        <f>IF(B911="","",IF(P911="","Aberto","Fechado"))</f>
        <v/>
      </c>
    </row>
    <row r="912">
      <c r="C912" s="6" t="n"/>
      <c r="E912" s="10" t="n"/>
      <c r="F912" s="11" t="n"/>
      <c r="G912" s="11" t="n"/>
      <c r="H912" s="11" t="n"/>
      <c r="J912" s="10" t="n"/>
      <c r="K912" s="11" t="n"/>
      <c r="L912" s="10" t="n"/>
      <c r="M912" s="11" t="n"/>
      <c r="N912" s="10" t="n"/>
      <c r="O912" s="11" t="n"/>
      <c r="P912" s="6" t="n"/>
      <c r="Q912" s="11" t="n"/>
      <c r="S912" s="8">
        <f>IF(B912="","",E912*F912)</f>
        <v/>
      </c>
      <c r="T912" s="8">
        <f>IF(OR(B912="",N(G912)=0),"",ABS(F912-G912)*E912)</f>
        <v/>
      </c>
      <c r="U912" s="8">
        <f>IF(OR(B912="",P912=""),"",IF(D912="Venda",-1,1)*((N(J912)*N(K912)+N(L912)*N(M912)+N(N912)*N(O912))-(N(J912)+N(L912)+N(N912))*F912)-N(Q912))</f>
        <v/>
      </c>
      <c r="V912" s="9">
        <f>IF(OR(B912="",P912=""),"",U912/S912)</f>
        <v/>
      </c>
      <c r="W912">
        <f>IF(OR(B912="",P912=""),"",P912-C912)</f>
        <v/>
      </c>
      <c r="X912">
        <f>IF(B912="","",IF(P912="","Aberto","Fechado"))</f>
        <v/>
      </c>
    </row>
    <row r="913">
      <c r="C913" s="6" t="n"/>
      <c r="E913" s="10" t="n"/>
      <c r="F913" s="11" t="n"/>
      <c r="G913" s="11" t="n"/>
      <c r="H913" s="11" t="n"/>
      <c r="J913" s="10" t="n"/>
      <c r="K913" s="11" t="n"/>
      <c r="L913" s="10" t="n"/>
      <c r="M913" s="11" t="n"/>
      <c r="N913" s="10" t="n"/>
      <c r="O913" s="11" t="n"/>
      <c r="P913" s="6" t="n"/>
      <c r="Q913" s="11" t="n"/>
      <c r="S913" s="8">
        <f>IF(B913="","",E913*F913)</f>
        <v/>
      </c>
      <c r="T913" s="8">
        <f>IF(OR(B913="",N(G913)=0),"",ABS(F913-G913)*E913)</f>
        <v/>
      </c>
      <c r="U913" s="8">
        <f>IF(OR(B913="",P913=""),"",IF(D913="Venda",-1,1)*((N(J913)*N(K913)+N(L913)*N(M913)+N(N913)*N(O913))-(N(J913)+N(L913)+N(N913))*F913)-N(Q913))</f>
        <v/>
      </c>
      <c r="V913" s="9">
        <f>IF(OR(B913="",P913=""),"",U913/S913)</f>
        <v/>
      </c>
      <c r="W913">
        <f>IF(OR(B913="",P913=""),"",P913-C913)</f>
        <v/>
      </c>
      <c r="X913">
        <f>IF(B913="","",IF(P913="","Aberto","Fechado"))</f>
        <v/>
      </c>
    </row>
    <row r="914">
      <c r="C914" s="6" t="n"/>
      <c r="E914" s="10" t="n"/>
      <c r="F914" s="11" t="n"/>
      <c r="G914" s="11" t="n"/>
      <c r="H914" s="11" t="n"/>
      <c r="J914" s="10" t="n"/>
      <c r="K914" s="11" t="n"/>
      <c r="L914" s="10" t="n"/>
      <c r="M914" s="11" t="n"/>
      <c r="N914" s="10" t="n"/>
      <c r="O914" s="11" t="n"/>
      <c r="P914" s="6" t="n"/>
      <c r="Q914" s="11" t="n"/>
      <c r="S914" s="8">
        <f>IF(B914="","",E914*F914)</f>
        <v/>
      </c>
      <c r="T914" s="8">
        <f>IF(OR(B914="",N(G914)=0),"",ABS(F914-G914)*E914)</f>
        <v/>
      </c>
      <c r="U914" s="8">
        <f>IF(OR(B914="",P914=""),"",IF(D914="Venda",-1,1)*((N(J914)*N(K914)+N(L914)*N(M914)+N(N914)*N(O914))-(N(J914)+N(L914)+N(N914))*F914)-N(Q914))</f>
        <v/>
      </c>
      <c r="V914" s="9">
        <f>IF(OR(B914="",P914=""),"",U914/S914)</f>
        <v/>
      </c>
      <c r="W914">
        <f>IF(OR(B914="",P914=""),"",P914-C914)</f>
        <v/>
      </c>
      <c r="X914">
        <f>IF(B914="","",IF(P914="","Aberto","Fechado"))</f>
        <v/>
      </c>
    </row>
    <row r="915">
      <c r="C915" s="6" t="n"/>
      <c r="E915" s="10" t="n"/>
      <c r="F915" s="11" t="n"/>
      <c r="G915" s="11" t="n"/>
      <c r="H915" s="11" t="n"/>
      <c r="J915" s="10" t="n"/>
      <c r="K915" s="11" t="n"/>
      <c r="L915" s="10" t="n"/>
      <c r="M915" s="11" t="n"/>
      <c r="N915" s="10" t="n"/>
      <c r="O915" s="11" t="n"/>
      <c r="P915" s="6" t="n"/>
      <c r="Q915" s="11" t="n"/>
      <c r="S915" s="8">
        <f>IF(B915="","",E915*F915)</f>
        <v/>
      </c>
      <c r="T915" s="8">
        <f>IF(OR(B915="",N(G915)=0),"",ABS(F915-G915)*E915)</f>
        <v/>
      </c>
      <c r="U915" s="8">
        <f>IF(OR(B915="",P915=""),"",IF(D915="Venda",-1,1)*((N(J915)*N(K915)+N(L915)*N(M915)+N(N915)*N(O915))-(N(J915)+N(L915)+N(N915))*F915)-N(Q915))</f>
        <v/>
      </c>
      <c r="V915" s="9">
        <f>IF(OR(B915="",P915=""),"",U915/S915)</f>
        <v/>
      </c>
      <c r="W915">
        <f>IF(OR(B915="",P915=""),"",P915-C915)</f>
        <v/>
      </c>
      <c r="X915">
        <f>IF(B915="","",IF(P915="","Aberto","Fechado"))</f>
        <v/>
      </c>
    </row>
    <row r="916">
      <c r="C916" s="6" t="n"/>
      <c r="E916" s="10" t="n"/>
      <c r="F916" s="11" t="n"/>
      <c r="G916" s="11" t="n"/>
      <c r="H916" s="11" t="n"/>
      <c r="J916" s="10" t="n"/>
      <c r="K916" s="11" t="n"/>
      <c r="L916" s="10" t="n"/>
      <c r="M916" s="11" t="n"/>
      <c r="N916" s="10" t="n"/>
      <c r="O916" s="11" t="n"/>
      <c r="P916" s="6" t="n"/>
      <c r="Q916" s="11" t="n"/>
      <c r="S916" s="8">
        <f>IF(B916="","",E916*F916)</f>
        <v/>
      </c>
      <c r="T916" s="8">
        <f>IF(OR(B916="",N(G916)=0),"",ABS(F916-G916)*E916)</f>
        <v/>
      </c>
      <c r="U916" s="8">
        <f>IF(OR(B916="",P916=""),"",IF(D916="Venda",-1,1)*((N(J916)*N(K916)+N(L916)*N(M916)+N(N916)*N(O916))-(N(J916)+N(L916)+N(N916))*F916)-N(Q916))</f>
        <v/>
      </c>
      <c r="V916" s="9">
        <f>IF(OR(B916="",P916=""),"",U916/S916)</f>
        <v/>
      </c>
      <c r="W916">
        <f>IF(OR(B916="",P916=""),"",P916-C916)</f>
        <v/>
      </c>
      <c r="X916">
        <f>IF(B916="","",IF(P916="","Aberto","Fechado"))</f>
        <v/>
      </c>
    </row>
    <row r="917">
      <c r="C917" s="6" t="n"/>
      <c r="E917" s="10" t="n"/>
      <c r="F917" s="11" t="n"/>
      <c r="G917" s="11" t="n"/>
      <c r="H917" s="11" t="n"/>
      <c r="J917" s="10" t="n"/>
      <c r="K917" s="11" t="n"/>
      <c r="L917" s="10" t="n"/>
      <c r="M917" s="11" t="n"/>
      <c r="N917" s="10" t="n"/>
      <c r="O917" s="11" t="n"/>
      <c r="P917" s="6" t="n"/>
      <c r="Q917" s="11" t="n"/>
      <c r="S917" s="8">
        <f>IF(B917="","",E917*F917)</f>
        <v/>
      </c>
      <c r="T917" s="8">
        <f>IF(OR(B917="",N(G917)=0),"",ABS(F917-G917)*E917)</f>
        <v/>
      </c>
      <c r="U917" s="8">
        <f>IF(OR(B917="",P917=""),"",IF(D917="Venda",-1,1)*((N(J917)*N(K917)+N(L917)*N(M917)+N(N917)*N(O917))-(N(J917)+N(L917)+N(N917))*F917)-N(Q917))</f>
        <v/>
      </c>
      <c r="V917" s="9">
        <f>IF(OR(B917="",P917=""),"",U917/S917)</f>
        <v/>
      </c>
      <c r="W917">
        <f>IF(OR(B917="",P917=""),"",P917-C917)</f>
        <v/>
      </c>
      <c r="X917">
        <f>IF(B917="","",IF(P917="","Aberto","Fechado"))</f>
        <v/>
      </c>
    </row>
    <row r="918">
      <c r="C918" s="6" t="n"/>
      <c r="E918" s="10" t="n"/>
      <c r="F918" s="11" t="n"/>
      <c r="G918" s="11" t="n"/>
      <c r="H918" s="11" t="n"/>
      <c r="J918" s="10" t="n"/>
      <c r="K918" s="11" t="n"/>
      <c r="L918" s="10" t="n"/>
      <c r="M918" s="11" t="n"/>
      <c r="N918" s="10" t="n"/>
      <c r="O918" s="11" t="n"/>
      <c r="P918" s="6" t="n"/>
      <c r="Q918" s="11" t="n"/>
      <c r="S918" s="8">
        <f>IF(B918="","",E918*F918)</f>
        <v/>
      </c>
      <c r="T918" s="8">
        <f>IF(OR(B918="",N(G918)=0),"",ABS(F918-G918)*E918)</f>
        <v/>
      </c>
      <c r="U918" s="8">
        <f>IF(OR(B918="",P918=""),"",IF(D918="Venda",-1,1)*((N(J918)*N(K918)+N(L918)*N(M918)+N(N918)*N(O918))-(N(J918)+N(L918)+N(N918))*F918)-N(Q918))</f>
        <v/>
      </c>
      <c r="V918" s="9">
        <f>IF(OR(B918="",P918=""),"",U918/S918)</f>
        <v/>
      </c>
      <c r="W918">
        <f>IF(OR(B918="",P918=""),"",P918-C918)</f>
        <v/>
      </c>
      <c r="X918">
        <f>IF(B918="","",IF(P918="","Aberto","Fechado"))</f>
        <v/>
      </c>
    </row>
    <row r="919">
      <c r="C919" s="6" t="n"/>
      <c r="E919" s="10" t="n"/>
      <c r="F919" s="11" t="n"/>
      <c r="G919" s="11" t="n"/>
      <c r="H919" s="11" t="n"/>
      <c r="J919" s="10" t="n"/>
      <c r="K919" s="11" t="n"/>
      <c r="L919" s="10" t="n"/>
      <c r="M919" s="11" t="n"/>
      <c r="N919" s="10" t="n"/>
      <c r="O919" s="11" t="n"/>
      <c r="P919" s="6" t="n"/>
      <c r="Q919" s="11" t="n"/>
      <c r="S919" s="8">
        <f>IF(B919="","",E919*F919)</f>
        <v/>
      </c>
      <c r="T919" s="8">
        <f>IF(OR(B919="",N(G919)=0),"",ABS(F919-G919)*E919)</f>
        <v/>
      </c>
      <c r="U919" s="8">
        <f>IF(OR(B919="",P919=""),"",IF(D919="Venda",-1,1)*((N(J919)*N(K919)+N(L919)*N(M919)+N(N919)*N(O919))-(N(J919)+N(L919)+N(N919))*F919)-N(Q919))</f>
        <v/>
      </c>
      <c r="V919" s="9">
        <f>IF(OR(B919="",P919=""),"",U919/S919)</f>
        <v/>
      </c>
      <c r="W919">
        <f>IF(OR(B919="",P919=""),"",P919-C919)</f>
        <v/>
      </c>
      <c r="X919">
        <f>IF(B919="","",IF(P919="","Aberto","Fechado"))</f>
        <v/>
      </c>
    </row>
    <row r="920">
      <c r="C920" s="6" t="n"/>
      <c r="E920" s="10" t="n"/>
      <c r="F920" s="11" t="n"/>
      <c r="G920" s="11" t="n"/>
      <c r="H920" s="11" t="n"/>
      <c r="J920" s="10" t="n"/>
      <c r="K920" s="11" t="n"/>
      <c r="L920" s="10" t="n"/>
      <c r="M920" s="11" t="n"/>
      <c r="N920" s="10" t="n"/>
      <c r="O920" s="11" t="n"/>
      <c r="P920" s="6" t="n"/>
      <c r="Q920" s="11" t="n"/>
      <c r="S920" s="8">
        <f>IF(B920="","",E920*F920)</f>
        <v/>
      </c>
      <c r="T920" s="8">
        <f>IF(OR(B920="",N(G920)=0),"",ABS(F920-G920)*E920)</f>
        <v/>
      </c>
      <c r="U920" s="8">
        <f>IF(OR(B920="",P920=""),"",IF(D920="Venda",-1,1)*((N(J920)*N(K920)+N(L920)*N(M920)+N(N920)*N(O920))-(N(J920)+N(L920)+N(N920))*F920)-N(Q920))</f>
        <v/>
      </c>
      <c r="V920" s="9">
        <f>IF(OR(B920="",P920=""),"",U920/S920)</f>
        <v/>
      </c>
      <c r="W920">
        <f>IF(OR(B920="",P920=""),"",P920-C920)</f>
        <v/>
      </c>
      <c r="X920">
        <f>IF(B920="","",IF(P920="","Aberto","Fechado"))</f>
        <v/>
      </c>
    </row>
    <row r="921">
      <c r="C921" s="6" t="n"/>
      <c r="E921" s="10" t="n"/>
      <c r="F921" s="11" t="n"/>
      <c r="G921" s="11" t="n"/>
      <c r="H921" s="11" t="n"/>
      <c r="J921" s="10" t="n"/>
      <c r="K921" s="11" t="n"/>
      <c r="L921" s="10" t="n"/>
      <c r="M921" s="11" t="n"/>
      <c r="N921" s="10" t="n"/>
      <c r="O921" s="11" t="n"/>
      <c r="P921" s="6" t="n"/>
      <c r="Q921" s="11" t="n"/>
      <c r="S921" s="8">
        <f>IF(B921="","",E921*F921)</f>
        <v/>
      </c>
      <c r="T921" s="8">
        <f>IF(OR(B921="",N(G921)=0),"",ABS(F921-G921)*E921)</f>
        <v/>
      </c>
      <c r="U921" s="8">
        <f>IF(OR(B921="",P921=""),"",IF(D921="Venda",-1,1)*((N(J921)*N(K921)+N(L921)*N(M921)+N(N921)*N(O921))-(N(J921)+N(L921)+N(N921))*F921)-N(Q921))</f>
        <v/>
      </c>
      <c r="V921" s="9">
        <f>IF(OR(B921="",P921=""),"",U921/S921)</f>
        <v/>
      </c>
      <c r="W921">
        <f>IF(OR(B921="",P921=""),"",P921-C921)</f>
        <v/>
      </c>
      <c r="X921">
        <f>IF(B921="","",IF(P921="","Aberto","Fechado"))</f>
        <v/>
      </c>
    </row>
    <row r="922">
      <c r="C922" s="6" t="n"/>
      <c r="E922" s="10" t="n"/>
      <c r="F922" s="11" t="n"/>
      <c r="G922" s="11" t="n"/>
      <c r="H922" s="11" t="n"/>
      <c r="J922" s="10" t="n"/>
      <c r="K922" s="11" t="n"/>
      <c r="L922" s="10" t="n"/>
      <c r="M922" s="11" t="n"/>
      <c r="N922" s="10" t="n"/>
      <c r="O922" s="11" t="n"/>
      <c r="P922" s="6" t="n"/>
      <c r="Q922" s="11" t="n"/>
      <c r="S922" s="8">
        <f>IF(B922="","",E922*F922)</f>
        <v/>
      </c>
      <c r="T922" s="8">
        <f>IF(OR(B922="",N(G922)=0),"",ABS(F922-G922)*E922)</f>
        <v/>
      </c>
      <c r="U922" s="8">
        <f>IF(OR(B922="",P922=""),"",IF(D922="Venda",-1,1)*((N(J922)*N(K922)+N(L922)*N(M922)+N(N922)*N(O922))-(N(J922)+N(L922)+N(N922))*F922)-N(Q922))</f>
        <v/>
      </c>
      <c r="V922" s="9">
        <f>IF(OR(B922="",P922=""),"",U922/S922)</f>
        <v/>
      </c>
      <c r="W922">
        <f>IF(OR(B922="",P922=""),"",P922-C922)</f>
        <v/>
      </c>
      <c r="X922">
        <f>IF(B922="","",IF(P922="","Aberto","Fechado"))</f>
        <v/>
      </c>
    </row>
    <row r="923">
      <c r="C923" s="6" t="n"/>
      <c r="E923" s="10" t="n"/>
      <c r="F923" s="11" t="n"/>
      <c r="G923" s="11" t="n"/>
      <c r="H923" s="11" t="n"/>
      <c r="J923" s="10" t="n"/>
      <c r="K923" s="11" t="n"/>
      <c r="L923" s="10" t="n"/>
      <c r="M923" s="11" t="n"/>
      <c r="N923" s="10" t="n"/>
      <c r="O923" s="11" t="n"/>
      <c r="P923" s="6" t="n"/>
      <c r="Q923" s="11" t="n"/>
      <c r="S923" s="8">
        <f>IF(B923="","",E923*F923)</f>
        <v/>
      </c>
      <c r="T923" s="8">
        <f>IF(OR(B923="",N(G923)=0),"",ABS(F923-G923)*E923)</f>
        <v/>
      </c>
      <c r="U923" s="8">
        <f>IF(OR(B923="",P923=""),"",IF(D923="Venda",-1,1)*((N(J923)*N(K923)+N(L923)*N(M923)+N(N923)*N(O923))-(N(J923)+N(L923)+N(N923))*F923)-N(Q923))</f>
        <v/>
      </c>
      <c r="V923" s="9">
        <f>IF(OR(B923="",P923=""),"",U923/S923)</f>
        <v/>
      </c>
      <c r="W923">
        <f>IF(OR(B923="",P923=""),"",P923-C923)</f>
        <v/>
      </c>
      <c r="X923">
        <f>IF(B923="","",IF(P923="","Aberto","Fechado"))</f>
        <v/>
      </c>
    </row>
    <row r="924">
      <c r="C924" s="6" t="n"/>
      <c r="E924" s="10" t="n"/>
      <c r="F924" s="11" t="n"/>
      <c r="G924" s="11" t="n"/>
      <c r="H924" s="11" t="n"/>
      <c r="J924" s="10" t="n"/>
      <c r="K924" s="11" t="n"/>
      <c r="L924" s="10" t="n"/>
      <c r="M924" s="11" t="n"/>
      <c r="N924" s="10" t="n"/>
      <c r="O924" s="11" t="n"/>
      <c r="P924" s="6" t="n"/>
      <c r="Q924" s="11" t="n"/>
      <c r="S924" s="8">
        <f>IF(B924="","",E924*F924)</f>
        <v/>
      </c>
      <c r="T924" s="8">
        <f>IF(OR(B924="",N(G924)=0),"",ABS(F924-G924)*E924)</f>
        <v/>
      </c>
      <c r="U924" s="8">
        <f>IF(OR(B924="",P924=""),"",IF(D924="Venda",-1,1)*((N(J924)*N(K924)+N(L924)*N(M924)+N(N924)*N(O924))-(N(J924)+N(L924)+N(N924))*F924)-N(Q924))</f>
        <v/>
      </c>
      <c r="V924" s="9">
        <f>IF(OR(B924="",P924=""),"",U924/S924)</f>
        <v/>
      </c>
      <c r="W924">
        <f>IF(OR(B924="",P924=""),"",P924-C924)</f>
        <v/>
      </c>
      <c r="X924">
        <f>IF(B924="","",IF(P924="","Aberto","Fechado"))</f>
        <v/>
      </c>
    </row>
    <row r="925">
      <c r="C925" s="6" t="n"/>
      <c r="E925" s="10" t="n"/>
      <c r="F925" s="11" t="n"/>
      <c r="G925" s="11" t="n"/>
      <c r="H925" s="11" t="n"/>
      <c r="J925" s="10" t="n"/>
      <c r="K925" s="11" t="n"/>
      <c r="L925" s="10" t="n"/>
      <c r="M925" s="11" t="n"/>
      <c r="N925" s="10" t="n"/>
      <c r="O925" s="11" t="n"/>
      <c r="P925" s="6" t="n"/>
      <c r="Q925" s="11" t="n"/>
      <c r="S925" s="8">
        <f>IF(B925="","",E925*F925)</f>
        <v/>
      </c>
      <c r="T925" s="8">
        <f>IF(OR(B925="",N(G925)=0),"",ABS(F925-G925)*E925)</f>
        <v/>
      </c>
      <c r="U925" s="8">
        <f>IF(OR(B925="",P925=""),"",IF(D925="Venda",-1,1)*((N(J925)*N(K925)+N(L925)*N(M925)+N(N925)*N(O925))-(N(J925)+N(L925)+N(N925))*F925)-N(Q925))</f>
        <v/>
      </c>
      <c r="V925" s="9">
        <f>IF(OR(B925="",P925=""),"",U925/S925)</f>
        <v/>
      </c>
      <c r="W925">
        <f>IF(OR(B925="",P925=""),"",P925-C925)</f>
        <v/>
      </c>
      <c r="X925">
        <f>IF(B925="","",IF(P925="","Aberto","Fechado"))</f>
        <v/>
      </c>
    </row>
    <row r="926">
      <c r="C926" s="6" t="n"/>
      <c r="E926" s="10" t="n"/>
      <c r="F926" s="11" t="n"/>
      <c r="G926" s="11" t="n"/>
      <c r="H926" s="11" t="n"/>
      <c r="J926" s="10" t="n"/>
      <c r="K926" s="11" t="n"/>
      <c r="L926" s="10" t="n"/>
      <c r="M926" s="11" t="n"/>
      <c r="N926" s="10" t="n"/>
      <c r="O926" s="11" t="n"/>
      <c r="P926" s="6" t="n"/>
      <c r="Q926" s="11" t="n"/>
      <c r="S926" s="8">
        <f>IF(B926="","",E926*F926)</f>
        <v/>
      </c>
      <c r="T926" s="8">
        <f>IF(OR(B926="",N(G926)=0),"",ABS(F926-G926)*E926)</f>
        <v/>
      </c>
      <c r="U926" s="8">
        <f>IF(OR(B926="",P926=""),"",IF(D926="Venda",-1,1)*((N(J926)*N(K926)+N(L926)*N(M926)+N(N926)*N(O926))-(N(J926)+N(L926)+N(N926))*F926)-N(Q926))</f>
        <v/>
      </c>
      <c r="V926" s="9">
        <f>IF(OR(B926="",P926=""),"",U926/S926)</f>
        <v/>
      </c>
      <c r="W926">
        <f>IF(OR(B926="",P926=""),"",P926-C926)</f>
        <v/>
      </c>
      <c r="X926">
        <f>IF(B926="","",IF(P926="","Aberto","Fechado"))</f>
        <v/>
      </c>
    </row>
    <row r="927">
      <c r="C927" s="6" t="n"/>
      <c r="E927" s="10" t="n"/>
      <c r="F927" s="11" t="n"/>
      <c r="G927" s="11" t="n"/>
      <c r="H927" s="11" t="n"/>
      <c r="J927" s="10" t="n"/>
      <c r="K927" s="11" t="n"/>
      <c r="L927" s="10" t="n"/>
      <c r="M927" s="11" t="n"/>
      <c r="N927" s="10" t="n"/>
      <c r="O927" s="11" t="n"/>
      <c r="P927" s="6" t="n"/>
      <c r="Q927" s="11" t="n"/>
      <c r="S927" s="8">
        <f>IF(B927="","",E927*F927)</f>
        <v/>
      </c>
      <c r="T927" s="8">
        <f>IF(OR(B927="",N(G927)=0),"",ABS(F927-G927)*E927)</f>
        <v/>
      </c>
      <c r="U927" s="8">
        <f>IF(OR(B927="",P927=""),"",IF(D927="Venda",-1,1)*((N(J927)*N(K927)+N(L927)*N(M927)+N(N927)*N(O927))-(N(J927)+N(L927)+N(N927))*F927)-N(Q927))</f>
        <v/>
      </c>
      <c r="V927" s="9">
        <f>IF(OR(B927="",P927=""),"",U927/S927)</f>
        <v/>
      </c>
      <c r="W927">
        <f>IF(OR(B927="",P927=""),"",P927-C927)</f>
        <v/>
      </c>
      <c r="X927">
        <f>IF(B927="","",IF(P927="","Aberto","Fechado"))</f>
        <v/>
      </c>
    </row>
    <row r="928">
      <c r="C928" s="6" t="n"/>
      <c r="E928" s="10" t="n"/>
      <c r="F928" s="11" t="n"/>
      <c r="G928" s="11" t="n"/>
      <c r="H928" s="11" t="n"/>
      <c r="J928" s="10" t="n"/>
      <c r="K928" s="11" t="n"/>
      <c r="L928" s="10" t="n"/>
      <c r="M928" s="11" t="n"/>
      <c r="N928" s="10" t="n"/>
      <c r="O928" s="11" t="n"/>
      <c r="P928" s="6" t="n"/>
      <c r="Q928" s="11" t="n"/>
      <c r="S928" s="8">
        <f>IF(B928="","",E928*F928)</f>
        <v/>
      </c>
      <c r="T928" s="8">
        <f>IF(OR(B928="",N(G928)=0),"",ABS(F928-G928)*E928)</f>
        <v/>
      </c>
      <c r="U928" s="8">
        <f>IF(OR(B928="",P928=""),"",IF(D928="Venda",-1,1)*((N(J928)*N(K928)+N(L928)*N(M928)+N(N928)*N(O928))-(N(J928)+N(L928)+N(N928))*F928)-N(Q928))</f>
        <v/>
      </c>
      <c r="V928" s="9">
        <f>IF(OR(B928="",P928=""),"",U928/S928)</f>
        <v/>
      </c>
      <c r="W928">
        <f>IF(OR(B928="",P928=""),"",P928-C928)</f>
        <v/>
      </c>
      <c r="X928">
        <f>IF(B928="","",IF(P928="","Aberto","Fechado"))</f>
        <v/>
      </c>
    </row>
    <row r="929">
      <c r="C929" s="6" t="n"/>
      <c r="E929" s="10" t="n"/>
      <c r="F929" s="11" t="n"/>
      <c r="G929" s="11" t="n"/>
      <c r="H929" s="11" t="n"/>
      <c r="J929" s="10" t="n"/>
      <c r="K929" s="11" t="n"/>
      <c r="L929" s="10" t="n"/>
      <c r="M929" s="11" t="n"/>
      <c r="N929" s="10" t="n"/>
      <c r="O929" s="11" t="n"/>
      <c r="P929" s="6" t="n"/>
      <c r="Q929" s="11" t="n"/>
      <c r="S929" s="8">
        <f>IF(B929="","",E929*F929)</f>
        <v/>
      </c>
      <c r="T929" s="8">
        <f>IF(OR(B929="",N(G929)=0),"",ABS(F929-G929)*E929)</f>
        <v/>
      </c>
      <c r="U929" s="8">
        <f>IF(OR(B929="",P929=""),"",IF(D929="Venda",-1,1)*((N(J929)*N(K929)+N(L929)*N(M929)+N(N929)*N(O929))-(N(J929)+N(L929)+N(N929))*F929)-N(Q929))</f>
        <v/>
      </c>
      <c r="V929" s="9">
        <f>IF(OR(B929="",P929=""),"",U929/S929)</f>
        <v/>
      </c>
      <c r="W929">
        <f>IF(OR(B929="",P929=""),"",P929-C929)</f>
        <v/>
      </c>
      <c r="X929">
        <f>IF(B929="","",IF(P929="","Aberto","Fechado"))</f>
        <v/>
      </c>
    </row>
    <row r="930">
      <c r="C930" s="6" t="n"/>
      <c r="E930" s="10" t="n"/>
      <c r="F930" s="11" t="n"/>
      <c r="G930" s="11" t="n"/>
      <c r="H930" s="11" t="n"/>
      <c r="J930" s="10" t="n"/>
      <c r="K930" s="11" t="n"/>
      <c r="L930" s="10" t="n"/>
      <c r="M930" s="11" t="n"/>
      <c r="N930" s="10" t="n"/>
      <c r="O930" s="11" t="n"/>
      <c r="P930" s="6" t="n"/>
      <c r="Q930" s="11" t="n"/>
      <c r="S930" s="8">
        <f>IF(B930="","",E930*F930)</f>
        <v/>
      </c>
      <c r="T930" s="8">
        <f>IF(OR(B930="",N(G930)=0),"",ABS(F930-G930)*E930)</f>
        <v/>
      </c>
      <c r="U930" s="8">
        <f>IF(OR(B930="",P930=""),"",IF(D930="Venda",-1,1)*((N(J930)*N(K930)+N(L930)*N(M930)+N(N930)*N(O930))-(N(J930)+N(L930)+N(N930))*F930)-N(Q930))</f>
        <v/>
      </c>
      <c r="V930" s="9">
        <f>IF(OR(B930="",P930=""),"",U930/S930)</f>
        <v/>
      </c>
      <c r="W930">
        <f>IF(OR(B930="",P930=""),"",P930-C930)</f>
        <v/>
      </c>
      <c r="X930">
        <f>IF(B930="","",IF(P930="","Aberto","Fechado"))</f>
        <v/>
      </c>
    </row>
    <row r="931">
      <c r="C931" s="6" t="n"/>
      <c r="E931" s="10" t="n"/>
      <c r="F931" s="11" t="n"/>
      <c r="G931" s="11" t="n"/>
      <c r="H931" s="11" t="n"/>
      <c r="J931" s="10" t="n"/>
      <c r="K931" s="11" t="n"/>
      <c r="L931" s="10" t="n"/>
      <c r="M931" s="11" t="n"/>
      <c r="N931" s="10" t="n"/>
      <c r="O931" s="11" t="n"/>
      <c r="P931" s="6" t="n"/>
      <c r="Q931" s="11" t="n"/>
      <c r="S931" s="8">
        <f>IF(B931="","",E931*F931)</f>
        <v/>
      </c>
      <c r="T931" s="8">
        <f>IF(OR(B931="",N(G931)=0),"",ABS(F931-G931)*E931)</f>
        <v/>
      </c>
      <c r="U931" s="8">
        <f>IF(OR(B931="",P931=""),"",IF(D931="Venda",-1,1)*((N(J931)*N(K931)+N(L931)*N(M931)+N(N931)*N(O931))-(N(J931)+N(L931)+N(N931))*F931)-N(Q931))</f>
        <v/>
      </c>
      <c r="V931" s="9">
        <f>IF(OR(B931="",P931=""),"",U931/S931)</f>
        <v/>
      </c>
      <c r="W931">
        <f>IF(OR(B931="",P931=""),"",P931-C931)</f>
        <v/>
      </c>
      <c r="X931">
        <f>IF(B931="","",IF(P931="","Aberto","Fechado"))</f>
        <v/>
      </c>
    </row>
    <row r="932">
      <c r="C932" s="6" t="n"/>
      <c r="E932" s="10" t="n"/>
      <c r="F932" s="11" t="n"/>
      <c r="G932" s="11" t="n"/>
      <c r="H932" s="11" t="n"/>
      <c r="J932" s="10" t="n"/>
      <c r="K932" s="11" t="n"/>
      <c r="L932" s="10" t="n"/>
      <c r="M932" s="11" t="n"/>
      <c r="N932" s="10" t="n"/>
      <c r="O932" s="11" t="n"/>
      <c r="P932" s="6" t="n"/>
      <c r="Q932" s="11" t="n"/>
      <c r="S932" s="8">
        <f>IF(B932="","",E932*F932)</f>
        <v/>
      </c>
      <c r="T932" s="8">
        <f>IF(OR(B932="",N(G932)=0),"",ABS(F932-G932)*E932)</f>
        <v/>
      </c>
      <c r="U932" s="8">
        <f>IF(OR(B932="",P932=""),"",IF(D932="Venda",-1,1)*((N(J932)*N(K932)+N(L932)*N(M932)+N(N932)*N(O932))-(N(J932)+N(L932)+N(N932))*F932)-N(Q932))</f>
        <v/>
      </c>
      <c r="V932" s="9">
        <f>IF(OR(B932="",P932=""),"",U932/S932)</f>
        <v/>
      </c>
      <c r="W932">
        <f>IF(OR(B932="",P932=""),"",P932-C932)</f>
        <v/>
      </c>
      <c r="X932">
        <f>IF(B932="","",IF(P932="","Aberto","Fechado"))</f>
        <v/>
      </c>
    </row>
    <row r="933">
      <c r="C933" s="6" t="n"/>
      <c r="E933" s="10" t="n"/>
      <c r="F933" s="11" t="n"/>
      <c r="G933" s="11" t="n"/>
      <c r="H933" s="11" t="n"/>
      <c r="J933" s="10" t="n"/>
      <c r="K933" s="11" t="n"/>
      <c r="L933" s="10" t="n"/>
      <c r="M933" s="11" t="n"/>
      <c r="N933" s="10" t="n"/>
      <c r="O933" s="11" t="n"/>
      <c r="P933" s="6" t="n"/>
      <c r="Q933" s="11" t="n"/>
      <c r="S933" s="8">
        <f>IF(B933="","",E933*F933)</f>
        <v/>
      </c>
      <c r="T933" s="8">
        <f>IF(OR(B933="",N(G933)=0),"",ABS(F933-G933)*E933)</f>
        <v/>
      </c>
      <c r="U933" s="8">
        <f>IF(OR(B933="",P933=""),"",IF(D933="Venda",-1,1)*((N(J933)*N(K933)+N(L933)*N(M933)+N(N933)*N(O933))-(N(J933)+N(L933)+N(N933))*F933)-N(Q933))</f>
        <v/>
      </c>
      <c r="V933" s="9">
        <f>IF(OR(B933="",P933=""),"",U933/S933)</f>
        <v/>
      </c>
      <c r="W933">
        <f>IF(OR(B933="",P933=""),"",P933-C933)</f>
        <v/>
      </c>
      <c r="X933">
        <f>IF(B933="","",IF(P933="","Aberto","Fechado"))</f>
        <v/>
      </c>
    </row>
    <row r="934">
      <c r="C934" s="6" t="n"/>
      <c r="E934" s="10" t="n"/>
      <c r="F934" s="11" t="n"/>
      <c r="G934" s="11" t="n"/>
      <c r="H934" s="11" t="n"/>
      <c r="J934" s="10" t="n"/>
      <c r="K934" s="11" t="n"/>
      <c r="L934" s="10" t="n"/>
      <c r="M934" s="11" t="n"/>
      <c r="N934" s="10" t="n"/>
      <c r="O934" s="11" t="n"/>
      <c r="P934" s="6" t="n"/>
      <c r="Q934" s="11" t="n"/>
      <c r="S934" s="8">
        <f>IF(B934="","",E934*F934)</f>
        <v/>
      </c>
      <c r="T934" s="8">
        <f>IF(OR(B934="",N(G934)=0),"",ABS(F934-G934)*E934)</f>
        <v/>
      </c>
      <c r="U934" s="8">
        <f>IF(OR(B934="",P934=""),"",IF(D934="Venda",-1,1)*((N(J934)*N(K934)+N(L934)*N(M934)+N(N934)*N(O934))-(N(J934)+N(L934)+N(N934))*F934)-N(Q934))</f>
        <v/>
      </c>
      <c r="V934" s="9">
        <f>IF(OR(B934="",P934=""),"",U934/S934)</f>
        <v/>
      </c>
      <c r="W934">
        <f>IF(OR(B934="",P934=""),"",P934-C934)</f>
        <v/>
      </c>
      <c r="X934">
        <f>IF(B934="","",IF(P934="","Aberto","Fechado"))</f>
        <v/>
      </c>
    </row>
    <row r="935">
      <c r="C935" s="6" t="n"/>
      <c r="E935" s="10" t="n"/>
      <c r="F935" s="11" t="n"/>
      <c r="G935" s="11" t="n"/>
      <c r="H935" s="11" t="n"/>
      <c r="J935" s="10" t="n"/>
      <c r="K935" s="11" t="n"/>
      <c r="L935" s="10" t="n"/>
      <c r="M935" s="11" t="n"/>
      <c r="N935" s="10" t="n"/>
      <c r="O935" s="11" t="n"/>
      <c r="P935" s="6" t="n"/>
      <c r="Q935" s="11" t="n"/>
      <c r="S935" s="8">
        <f>IF(B935="","",E935*F935)</f>
        <v/>
      </c>
      <c r="T935" s="8">
        <f>IF(OR(B935="",N(G935)=0),"",ABS(F935-G935)*E935)</f>
        <v/>
      </c>
      <c r="U935" s="8">
        <f>IF(OR(B935="",P935=""),"",IF(D935="Venda",-1,1)*((N(J935)*N(K935)+N(L935)*N(M935)+N(N935)*N(O935))-(N(J935)+N(L935)+N(N935))*F935)-N(Q935))</f>
        <v/>
      </c>
      <c r="V935" s="9">
        <f>IF(OR(B935="",P935=""),"",U935/S935)</f>
        <v/>
      </c>
      <c r="W935">
        <f>IF(OR(B935="",P935=""),"",P935-C935)</f>
        <v/>
      </c>
      <c r="X935">
        <f>IF(B935="","",IF(P935="","Aberto","Fechado"))</f>
        <v/>
      </c>
    </row>
    <row r="936">
      <c r="C936" s="6" t="n"/>
      <c r="E936" s="10" t="n"/>
      <c r="F936" s="11" t="n"/>
      <c r="G936" s="11" t="n"/>
      <c r="H936" s="11" t="n"/>
      <c r="J936" s="10" t="n"/>
      <c r="K936" s="11" t="n"/>
      <c r="L936" s="10" t="n"/>
      <c r="M936" s="11" t="n"/>
      <c r="N936" s="10" t="n"/>
      <c r="O936" s="11" t="n"/>
      <c r="P936" s="6" t="n"/>
      <c r="Q936" s="11" t="n"/>
      <c r="S936" s="8">
        <f>IF(B936="","",E936*F936)</f>
        <v/>
      </c>
      <c r="T936" s="8">
        <f>IF(OR(B936="",N(G936)=0),"",ABS(F936-G936)*E936)</f>
        <v/>
      </c>
      <c r="U936" s="8">
        <f>IF(OR(B936="",P936=""),"",IF(D936="Venda",-1,1)*((N(J936)*N(K936)+N(L936)*N(M936)+N(N936)*N(O936))-(N(J936)+N(L936)+N(N936))*F936)-N(Q936))</f>
        <v/>
      </c>
      <c r="V936" s="9">
        <f>IF(OR(B936="",P936=""),"",U936/S936)</f>
        <v/>
      </c>
      <c r="W936">
        <f>IF(OR(B936="",P936=""),"",P936-C936)</f>
        <v/>
      </c>
      <c r="X936">
        <f>IF(B936="","",IF(P936="","Aberto","Fechado"))</f>
        <v/>
      </c>
    </row>
    <row r="937">
      <c r="C937" s="6" t="n"/>
      <c r="E937" s="10" t="n"/>
      <c r="F937" s="11" t="n"/>
      <c r="G937" s="11" t="n"/>
      <c r="H937" s="11" t="n"/>
      <c r="J937" s="10" t="n"/>
      <c r="K937" s="11" t="n"/>
      <c r="L937" s="10" t="n"/>
      <c r="M937" s="11" t="n"/>
      <c r="N937" s="10" t="n"/>
      <c r="O937" s="11" t="n"/>
      <c r="P937" s="6" t="n"/>
      <c r="Q937" s="11" t="n"/>
      <c r="S937" s="8">
        <f>IF(B937="","",E937*F937)</f>
        <v/>
      </c>
      <c r="T937" s="8">
        <f>IF(OR(B937="",N(G937)=0),"",ABS(F937-G937)*E937)</f>
        <v/>
      </c>
      <c r="U937" s="8">
        <f>IF(OR(B937="",P937=""),"",IF(D937="Venda",-1,1)*((N(J937)*N(K937)+N(L937)*N(M937)+N(N937)*N(O937))-(N(J937)+N(L937)+N(N937))*F937)-N(Q937))</f>
        <v/>
      </c>
      <c r="V937" s="9">
        <f>IF(OR(B937="",P937=""),"",U937/S937)</f>
        <v/>
      </c>
      <c r="W937">
        <f>IF(OR(B937="",P937=""),"",P937-C937)</f>
        <v/>
      </c>
      <c r="X937">
        <f>IF(B937="","",IF(P937="","Aberto","Fechado"))</f>
        <v/>
      </c>
    </row>
    <row r="938">
      <c r="C938" s="6" t="n"/>
      <c r="E938" s="10" t="n"/>
      <c r="F938" s="11" t="n"/>
      <c r="G938" s="11" t="n"/>
      <c r="H938" s="11" t="n"/>
      <c r="J938" s="10" t="n"/>
      <c r="K938" s="11" t="n"/>
      <c r="L938" s="10" t="n"/>
      <c r="M938" s="11" t="n"/>
      <c r="N938" s="10" t="n"/>
      <c r="O938" s="11" t="n"/>
      <c r="P938" s="6" t="n"/>
      <c r="Q938" s="11" t="n"/>
      <c r="S938" s="8">
        <f>IF(B938="","",E938*F938)</f>
        <v/>
      </c>
      <c r="T938" s="8">
        <f>IF(OR(B938="",N(G938)=0),"",ABS(F938-G938)*E938)</f>
        <v/>
      </c>
      <c r="U938" s="8">
        <f>IF(OR(B938="",P938=""),"",IF(D938="Venda",-1,1)*((N(J938)*N(K938)+N(L938)*N(M938)+N(N938)*N(O938))-(N(J938)+N(L938)+N(N938))*F938)-N(Q938))</f>
        <v/>
      </c>
      <c r="V938" s="9">
        <f>IF(OR(B938="",P938=""),"",U938/S938)</f>
        <v/>
      </c>
      <c r="W938">
        <f>IF(OR(B938="",P938=""),"",P938-C938)</f>
        <v/>
      </c>
      <c r="X938">
        <f>IF(B938="","",IF(P938="","Aberto","Fechado"))</f>
        <v/>
      </c>
    </row>
    <row r="939">
      <c r="C939" s="6" t="n"/>
      <c r="E939" s="10" t="n"/>
      <c r="F939" s="11" t="n"/>
      <c r="G939" s="11" t="n"/>
      <c r="H939" s="11" t="n"/>
      <c r="J939" s="10" t="n"/>
      <c r="K939" s="11" t="n"/>
      <c r="L939" s="10" t="n"/>
      <c r="M939" s="11" t="n"/>
      <c r="N939" s="10" t="n"/>
      <c r="O939" s="11" t="n"/>
      <c r="P939" s="6" t="n"/>
      <c r="Q939" s="11" t="n"/>
      <c r="S939" s="8">
        <f>IF(B939="","",E939*F939)</f>
        <v/>
      </c>
      <c r="T939" s="8">
        <f>IF(OR(B939="",N(G939)=0),"",ABS(F939-G939)*E939)</f>
        <v/>
      </c>
      <c r="U939" s="8">
        <f>IF(OR(B939="",P939=""),"",IF(D939="Venda",-1,1)*((N(J939)*N(K939)+N(L939)*N(M939)+N(N939)*N(O939))-(N(J939)+N(L939)+N(N939))*F939)-N(Q939))</f>
        <v/>
      </c>
      <c r="V939" s="9">
        <f>IF(OR(B939="",P939=""),"",U939/S939)</f>
        <v/>
      </c>
      <c r="W939">
        <f>IF(OR(B939="",P939=""),"",P939-C939)</f>
        <v/>
      </c>
      <c r="X939">
        <f>IF(B939="","",IF(P939="","Aberto","Fechado"))</f>
        <v/>
      </c>
    </row>
    <row r="940">
      <c r="C940" s="6" t="n"/>
      <c r="E940" s="10" t="n"/>
      <c r="F940" s="11" t="n"/>
      <c r="G940" s="11" t="n"/>
      <c r="H940" s="11" t="n"/>
      <c r="J940" s="10" t="n"/>
      <c r="K940" s="11" t="n"/>
      <c r="L940" s="10" t="n"/>
      <c r="M940" s="11" t="n"/>
      <c r="N940" s="10" t="n"/>
      <c r="O940" s="11" t="n"/>
      <c r="P940" s="6" t="n"/>
      <c r="Q940" s="11" t="n"/>
      <c r="S940" s="8">
        <f>IF(B940="","",E940*F940)</f>
        <v/>
      </c>
      <c r="T940" s="8">
        <f>IF(OR(B940="",N(G940)=0),"",ABS(F940-G940)*E940)</f>
        <v/>
      </c>
      <c r="U940" s="8">
        <f>IF(OR(B940="",P940=""),"",IF(D940="Venda",-1,1)*((N(J940)*N(K940)+N(L940)*N(M940)+N(N940)*N(O940))-(N(J940)+N(L940)+N(N940))*F940)-N(Q940))</f>
        <v/>
      </c>
      <c r="V940" s="9">
        <f>IF(OR(B940="",P940=""),"",U940/S940)</f>
        <v/>
      </c>
      <c r="W940">
        <f>IF(OR(B940="",P940=""),"",P940-C940)</f>
        <v/>
      </c>
      <c r="X940">
        <f>IF(B940="","",IF(P940="","Aberto","Fechado"))</f>
        <v/>
      </c>
    </row>
    <row r="941">
      <c r="C941" s="6" t="n"/>
      <c r="E941" s="10" t="n"/>
      <c r="F941" s="11" t="n"/>
      <c r="G941" s="11" t="n"/>
      <c r="H941" s="11" t="n"/>
      <c r="J941" s="10" t="n"/>
      <c r="K941" s="11" t="n"/>
      <c r="L941" s="10" t="n"/>
      <c r="M941" s="11" t="n"/>
      <c r="N941" s="10" t="n"/>
      <c r="O941" s="11" t="n"/>
      <c r="P941" s="6" t="n"/>
      <c r="Q941" s="11" t="n"/>
      <c r="S941" s="8">
        <f>IF(B941="","",E941*F941)</f>
        <v/>
      </c>
      <c r="T941" s="8">
        <f>IF(OR(B941="",N(G941)=0),"",ABS(F941-G941)*E941)</f>
        <v/>
      </c>
      <c r="U941" s="8">
        <f>IF(OR(B941="",P941=""),"",IF(D941="Venda",-1,1)*((N(J941)*N(K941)+N(L941)*N(M941)+N(N941)*N(O941))-(N(J941)+N(L941)+N(N941))*F941)-N(Q941))</f>
        <v/>
      </c>
      <c r="V941" s="9">
        <f>IF(OR(B941="",P941=""),"",U941/S941)</f>
        <v/>
      </c>
      <c r="W941">
        <f>IF(OR(B941="",P941=""),"",P941-C941)</f>
        <v/>
      </c>
      <c r="X941">
        <f>IF(B941="","",IF(P941="","Aberto","Fechado"))</f>
        <v/>
      </c>
    </row>
    <row r="942">
      <c r="C942" s="6" t="n"/>
      <c r="E942" s="10" t="n"/>
      <c r="F942" s="11" t="n"/>
      <c r="G942" s="11" t="n"/>
      <c r="H942" s="11" t="n"/>
      <c r="J942" s="10" t="n"/>
      <c r="K942" s="11" t="n"/>
      <c r="L942" s="10" t="n"/>
      <c r="M942" s="11" t="n"/>
      <c r="N942" s="10" t="n"/>
      <c r="O942" s="11" t="n"/>
      <c r="P942" s="6" t="n"/>
      <c r="Q942" s="11" t="n"/>
      <c r="S942" s="8">
        <f>IF(B942="","",E942*F942)</f>
        <v/>
      </c>
      <c r="T942" s="8">
        <f>IF(OR(B942="",N(G942)=0),"",ABS(F942-G942)*E942)</f>
        <v/>
      </c>
      <c r="U942" s="8">
        <f>IF(OR(B942="",P942=""),"",IF(D942="Venda",-1,1)*((N(J942)*N(K942)+N(L942)*N(M942)+N(N942)*N(O942))-(N(J942)+N(L942)+N(N942))*F942)-N(Q942))</f>
        <v/>
      </c>
      <c r="V942" s="9">
        <f>IF(OR(B942="",P942=""),"",U942/S942)</f>
        <v/>
      </c>
      <c r="W942">
        <f>IF(OR(B942="",P942=""),"",P942-C942)</f>
        <v/>
      </c>
      <c r="X942">
        <f>IF(B942="","",IF(P942="","Aberto","Fechado"))</f>
        <v/>
      </c>
    </row>
    <row r="943">
      <c r="C943" s="6" t="n"/>
      <c r="E943" s="10" t="n"/>
      <c r="F943" s="11" t="n"/>
      <c r="G943" s="11" t="n"/>
      <c r="H943" s="11" t="n"/>
      <c r="J943" s="10" t="n"/>
      <c r="K943" s="11" t="n"/>
      <c r="L943" s="10" t="n"/>
      <c r="M943" s="11" t="n"/>
      <c r="N943" s="10" t="n"/>
      <c r="O943" s="11" t="n"/>
      <c r="P943" s="6" t="n"/>
      <c r="Q943" s="11" t="n"/>
      <c r="S943" s="8">
        <f>IF(B943="","",E943*F943)</f>
        <v/>
      </c>
      <c r="T943" s="8">
        <f>IF(OR(B943="",N(G943)=0),"",ABS(F943-G943)*E943)</f>
        <v/>
      </c>
      <c r="U943" s="8">
        <f>IF(OR(B943="",P943=""),"",IF(D943="Venda",-1,1)*((N(J943)*N(K943)+N(L943)*N(M943)+N(N943)*N(O943))-(N(J943)+N(L943)+N(N943))*F943)-N(Q943))</f>
        <v/>
      </c>
      <c r="V943" s="9">
        <f>IF(OR(B943="",P943=""),"",U943/S943)</f>
        <v/>
      </c>
      <c r="W943">
        <f>IF(OR(B943="",P943=""),"",P943-C943)</f>
        <v/>
      </c>
      <c r="X943">
        <f>IF(B943="","",IF(P943="","Aberto","Fechado"))</f>
        <v/>
      </c>
    </row>
    <row r="944">
      <c r="C944" s="6" t="n"/>
      <c r="E944" s="10" t="n"/>
      <c r="F944" s="11" t="n"/>
      <c r="G944" s="11" t="n"/>
      <c r="H944" s="11" t="n"/>
      <c r="J944" s="10" t="n"/>
      <c r="K944" s="11" t="n"/>
      <c r="L944" s="10" t="n"/>
      <c r="M944" s="11" t="n"/>
      <c r="N944" s="10" t="n"/>
      <c r="O944" s="11" t="n"/>
      <c r="P944" s="6" t="n"/>
      <c r="Q944" s="11" t="n"/>
      <c r="S944" s="8">
        <f>IF(B944="","",E944*F944)</f>
        <v/>
      </c>
      <c r="T944" s="8">
        <f>IF(OR(B944="",N(G944)=0),"",ABS(F944-G944)*E944)</f>
        <v/>
      </c>
      <c r="U944" s="8">
        <f>IF(OR(B944="",P944=""),"",IF(D944="Venda",-1,1)*((N(J944)*N(K944)+N(L944)*N(M944)+N(N944)*N(O944))-(N(J944)+N(L944)+N(N944))*F944)-N(Q944))</f>
        <v/>
      </c>
      <c r="V944" s="9">
        <f>IF(OR(B944="",P944=""),"",U944/S944)</f>
        <v/>
      </c>
      <c r="W944">
        <f>IF(OR(B944="",P944=""),"",P944-C944)</f>
        <v/>
      </c>
      <c r="X944">
        <f>IF(B944="","",IF(P944="","Aberto","Fechado"))</f>
        <v/>
      </c>
    </row>
    <row r="945">
      <c r="C945" s="6" t="n"/>
      <c r="E945" s="10" t="n"/>
      <c r="F945" s="11" t="n"/>
      <c r="G945" s="11" t="n"/>
      <c r="H945" s="11" t="n"/>
      <c r="J945" s="10" t="n"/>
      <c r="K945" s="11" t="n"/>
      <c r="L945" s="10" t="n"/>
      <c r="M945" s="11" t="n"/>
      <c r="N945" s="10" t="n"/>
      <c r="O945" s="11" t="n"/>
      <c r="P945" s="6" t="n"/>
      <c r="Q945" s="11" t="n"/>
      <c r="S945" s="8">
        <f>IF(B945="","",E945*F945)</f>
        <v/>
      </c>
      <c r="T945" s="8">
        <f>IF(OR(B945="",N(G945)=0),"",ABS(F945-G945)*E945)</f>
        <v/>
      </c>
      <c r="U945" s="8">
        <f>IF(OR(B945="",P945=""),"",IF(D945="Venda",-1,1)*((N(J945)*N(K945)+N(L945)*N(M945)+N(N945)*N(O945))-(N(J945)+N(L945)+N(N945))*F945)-N(Q945))</f>
        <v/>
      </c>
      <c r="V945" s="9">
        <f>IF(OR(B945="",P945=""),"",U945/S945)</f>
        <v/>
      </c>
      <c r="W945">
        <f>IF(OR(B945="",P945=""),"",P945-C945)</f>
        <v/>
      </c>
      <c r="X945">
        <f>IF(B945="","",IF(P945="","Aberto","Fechado"))</f>
        <v/>
      </c>
    </row>
    <row r="946">
      <c r="C946" s="6" t="n"/>
      <c r="E946" s="10" t="n"/>
      <c r="F946" s="11" t="n"/>
      <c r="G946" s="11" t="n"/>
      <c r="H946" s="11" t="n"/>
      <c r="J946" s="10" t="n"/>
      <c r="K946" s="11" t="n"/>
      <c r="L946" s="10" t="n"/>
      <c r="M946" s="11" t="n"/>
      <c r="N946" s="10" t="n"/>
      <c r="O946" s="11" t="n"/>
      <c r="P946" s="6" t="n"/>
      <c r="Q946" s="11" t="n"/>
      <c r="S946" s="8">
        <f>IF(B946="","",E946*F946)</f>
        <v/>
      </c>
      <c r="T946" s="8">
        <f>IF(OR(B946="",N(G946)=0),"",ABS(F946-G946)*E946)</f>
        <v/>
      </c>
      <c r="U946" s="8">
        <f>IF(OR(B946="",P946=""),"",IF(D946="Venda",-1,1)*((N(J946)*N(K946)+N(L946)*N(M946)+N(N946)*N(O946))-(N(J946)+N(L946)+N(N946))*F946)-N(Q946))</f>
        <v/>
      </c>
      <c r="V946" s="9">
        <f>IF(OR(B946="",P946=""),"",U946/S946)</f>
        <v/>
      </c>
      <c r="W946">
        <f>IF(OR(B946="",P946=""),"",P946-C946)</f>
        <v/>
      </c>
      <c r="X946">
        <f>IF(B946="","",IF(P946="","Aberto","Fechado"))</f>
        <v/>
      </c>
    </row>
    <row r="947">
      <c r="C947" s="6" t="n"/>
      <c r="E947" s="10" t="n"/>
      <c r="F947" s="11" t="n"/>
      <c r="G947" s="11" t="n"/>
      <c r="H947" s="11" t="n"/>
      <c r="J947" s="10" t="n"/>
      <c r="K947" s="11" t="n"/>
      <c r="L947" s="10" t="n"/>
      <c r="M947" s="11" t="n"/>
      <c r="N947" s="10" t="n"/>
      <c r="O947" s="11" t="n"/>
      <c r="P947" s="6" t="n"/>
      <c r="Q947" s="11" t="n"/>
      <c r="S947" s="8">
        <f>IF(B947="","",E947*F947)</f>
        <v/>
      </c>
      <c r="T947" s="8">
        <f>IF(OR(B947="",N(G947)=0),"",ABS(F947-G947)*E947)</f>
        <v/>
      </c>
      <c r="U947" s="8">
        <f>IF(OR(B947="",P947=""),"",IF(D947="Venda",-1,1)*((N(J947)*N(K947)+N(L947)*N(M947)+N(N947)*N(O947))-(N(J947)+N(L947)+N(N947))*F947)-N(Q947))</f>
        <v/>
      </c>
      <c r="V947" s="9">
        <f>IF(OR(B947="",P947=""),"",U947/S947)</f>
        <v/>
      </c>
      <c r="W947">
        <f>IF(OR(B947="",P947=""),"",P947-C947)</f>
        <v/>
      </c>
      <c r="X947">
        <f>IF(B947="","",IF(P947="","Aberto","Fechado"))</f>
        <v/>
      </c>
    </row>
    <row r="948">
      <c r="C948" s="6" t="n"/>
      <c r="E948" s="10" t="n"/>
      <c r="F948" s="11" t="n"/>
      <c r="G948" s="11" t="n"/>
      <c r="H948" s="11" t="n"/>
      <c r="J948" s="10" t="n"/>
      <c r="K948" s="11" t="n"/>
      <c r="L948" s="10" t="n"/>
      <c r="M948" s="11" t="n"/>
      <c r="N948" s="10" t="n"/>
      <c r="O948" s="11" t="n"/>
      <c r="P948" s="6" t="n"/>
      <c r="Q948" s="11" t="n"/>
      <c r="S948" s="8">
        <f>IF(B948="","",E948*F948)</f>
        <v/>
      </c>
      <c r="T948" s="8">
        <f>IF(OR(B948="",N(G948)=0),"",ABS(F948-G948)*E948)</f>
        <v/>
      </c>
      <c r="U948" s="8">
        <f>IF(OR(B948="",P948=""),"",IF(D948="Venda",-1,1)*((N(J948)*N(K948)+N(L948)*N(M948)+N(N948)*N(O948))-(N(J948)+N(L948)+N(N948))*F948)-N(Q948))</f>
        <v/>
      </c>
      <c r="V948" s="9">
        <f>IF(OR(B948="",P948=""),"",U948/S948)</f>
        <v/>
      </c>
      <c r="W948">
        <f>IF(OR(B948="",P948=""),"",P948-C948)</f>
        <v/>
      </c>
      <c r="X948">
        <f>IF(B948="","",IF(P948="","Aberto","Fechado"))</f>
        <v/>
      </c>
    </row>
    <row r="949">
      <c r="C949" s="6" t="n"/>
      <c r="E949" s="10" t="n"/>
      <c r="F949" s="11" t="n"/>
      <c r="G949" s="11" t="n"/>
      <c r="H949" s="11" t="n"/>
      <c r="J949" s="10" t="n"/>
      <c r="K949" s="11" t="n"/>
      <c r="L949" s="10" t="n"/>
      <c r="M949" s="11" t="n"/>
      <c r="N949" s="10" t="n"/>
      <c r="O949" s="11" t="n"/>
      <c r="P949" s="6" t="n"/>
      <c r="Q949" s="11" t="n"/>
      <c r="S949" s="8">
        <f>IF(B949="","",E949*F949)</f>
        <v/>
      </c>
      <c r="T949" s="8">
        <f>IF(OR(B949="",N(G949)=0),"",ABS(F949-G949)*E949)</f>
        <v/>
      </c>
      <c r="U949" s="8">
        <f>IF(OR(B949="",P949=""),"",IF(D949="Venda",-1,1)*((N(J949)*N(K949)+N(L949)*N(M949)+N(N949)*N(O949))-(N(J949)+N(L949)+N(N949))*F949)-N(Q949))</f>
        <v/>
      </c>
      <c r="V949" s="9">
        <f>IF(OR(B949="",P949=""),"",U949/S949)</f>
        <v/>
      </c>
      <c r="W949">
        <f>IF(OR(B949="",P949=""),"",P949-C949)</f>
        <v/>
      </c>
      <c r="X949">
        <f>IF(B949="","",IF(P949="","Aberto","Fechado"))</f>
        <v/>
      </c>
    </row>
    <row r="950">
      <c r="C950" s="6" t="n"/>
      <c r="E950" s="10" t="n"/>
      <c r="F950" s="11" t="n"/>
      <c r="G950" s="11" t="n"/>
      <c r="H950" s="11" t="n"/>
      <c r="J950" s="10" t="n"/>
      <c r="K950" s="11" t="n"/>
      <c r="L950" s="10" t="n"/>
      <c r="M950" s="11" t="n"/>
      <c r="N950" s="10" t="n"/>
      <c r="O950" s="11" t="n"/>
      <c r="P950" s="6" t="n"/>
      <c r="Q950" s="11" t="n"/>
      <c r="S950" s="8">
        <f>IF(B950="","",E950*F950)</f>
        <v/>
      </c>
      <c r="T950" s="8">
        <f>IF(OR(B950="",N(G950)=0),"",ABS(F950-G950)*E950)</f>
        <v/>
      </c>
      <c r="U950" s="8">
        <f>IF(OR(B950="",P950=""),"",IF(D950="Venda",-1,1)*((N(J950)*N(K950)+N(L950)*N(M950)+N(N950)*N(O950))-(N(J950)+N(L950)+N(N950))*F950)-N(Q950))</f>
        <v/>
      </c>
      <c r="V950" s="9">
        <f>IF(OR(B950="",P950=""),"",U950/S950)</f>
        <v/>
      </c>
      <c r="W950">
        <f>IF(OR(B950="",P950=""),"",P950-C950)</f>
        <v/>
      </c>
      <c r="X950">
        <f>IF(B950="","",IF(P950="","Aberto","Fechado"))</f>
        <v/>
      </c>
    </row>
    <row r="951">
      <c r="C951" s="6" t="n"/>
      <c r="E951" s="10" t="n"/>
      <c r="F951" s="11" t="n"/>
      <c r="G951" s="11" t="n"/>
      <c r="H951" s="11" t="n"/>
      <c r="J951" s="10" t="n"/>
      <c r="K951" s="11" t="n"/>
      <c r="L951" s="10" t="n"/>
      <c r="M951" s="11" t="n"/>
      <c r="N951" s="10" t="n"/>
      <c r="O951" s="11" t="n"/>
      <c r="P951" s="6" t="n"/>
      <c r="Q951" s="11" t="n"/>
      <c r="S951" s="8">
        <f>IF(B951="","",E951*F951)</f>
        <v/>
      </c>
      <c r="T951" s="8">
        <f>IF(OR(B951="",N(G951)=0),"",ABS(F951-G951)*E951)</f>
        <v/>
      </c>
      <c r="U951" s="8">
        <f>IF(OR(B951="",P951=""),"",IF(D951="Venda",-1,1)*((N(J951)*N(K951)+N(L951)*N(M951)+N(N951)*N(O951))-(N(J951)+N(L951)+N(N951))*F951)-N(Q951))</f>
        <v/>
      </c>
      <c r="V951" s="9">
        <f>IF(OR(B951="",P951=""),"",U951/S951)</f>
        <v/>
      </c>
      <c r="W951">
        <f>IF(OR(B951="",P951=""),"",P951-C951)</f>
        <v/>
      </c>
      <c r="X951">
        <f>IF(B951="","",IF(P951="","Aberto","Fechado"))</f>
        <v/>
      </c>
    </row>
    <row r="952">
      <c r="C952" s="6" t="n"/>
      <c r="E952" s="10" t="n"/>
      <c r="F952" s="11" t="n"/>
      <c r="G952" s="11" t="n"/>
      <c r="H952" s="11" t="n"/>
      <c r="J952" s="10" t="n"/>
      <c r="K952" s="11" t="n"/>
      <c r="L952" s="10" t="n"/>
      <c r="M952" s="11" t="n"/>
      <c r="N952" s="10" t="n"/>
      <c r="O952" s="11" t="n"/>
      <c r="P952" s="6" t="n"/>
      <c r="Q952" s="11" t="n"/>
      <c r="S952" s="8">
        <f>IF(B952="","",E952*F952)</f>
        <v/>
      </c>
      <c r="T952" s="8">
        <f>IF(OR(B952="",N(G952)=0),"",ABS(F952-G952)*E952)</f>
        <v/>
      </c>
      <c r="U952" s="8">
        <f>IF(OR(B952="",P952=""),"",IF(D952="Venda",-1,1)*((N(J952)*N(K952)+N(L952)*N(M952)+N(N952)*N(O952))-(N(J952)+N(L952)+N(N952))*F952)-N(Q952))</f>
        <v/>
      </c>
      <c r="V952" s="9">
        <f>IF(OR(B952="",P952=""),"",U952/S952)</f>
        <v/>
      </c>
      <c r="W952">
        <f>IF(OR(B952="",P952=""),"",P952-C952)</f>
        <v/>
      </c>
      <c r="X952">
        <f>IF(B952="","",IF(P952="","Aberto","Fechado"))</f>
        <v/>
      </c>
    </row>
    <row r="953">
      <c r="C953" s="6" t="n"/>
      <c r="E953" s="10" t="n"/>
      <c r="F953" s="11" t="n"/>
      <c r="G953" s="11" t="n"/>
      <c r="H953" s="11" t="n"/>
      <c r="J953" s="10" t="n"/>
      <c r="K953" s="11" t="n"/>
      <c r="L953" s="10" t="n"/>
      <c r="M953" s="11" t="n"/>
      <c r="N953" s="10" t="n"/>
      <c r="O953" s="11" t="n"/>
      <c r="P953" s="6" t="n"/>
      <c r="Q953" s="11" t="n"/>
      <c r="S953" s="8">
        <f>IF(B953="","",E953*F953)</f>
        <v/>
      </c>
      <c r="T953" s="8">
        <f>IF(OR(B953="",N(G953)=0),"",ABS(F953-G953)*E953)</f>
        <v/>
      </c>
      <c r="U953" s="8">
        <f>IF(OR(B953="",P953=""),"",IF(D953="Venda",-1,1)*((N(J953)*N(K953)+N(L953)*N(M953)+N(N953)*N(O953))-(N(J953)+N(L953)+N(N953))*F953)-N(Q953))</f>
        <v/>
      </c>
      <c r="V953" s="9">
        <f>IF(OR(B953="",P953=""),"",U953/S953)</f>
        <v/>
      </c>
      <c r="W953">
        <f>IF(OR(B953="",P953=""),"",P953-C953)</f>
        <v/>
      </c>
      <c r="X953">
        <f>IF(B953="","",IF(P953="","Aberto","Fechado"))</f>
        <v/>
      </c>
    </row>
    <row r="954">
      <c r="C954" s="6" t="n"/>
      <c r="E954" s="10" t="n"/>
      <c r="F954" s="11" t="n"/>
      <c r="G954" s="11" t="n"/>
      <c r="H954" s="11" t="n"/>
      <c r="J954" s="10" t="n"/>
      <c r="K954" s="11" t="n"/>
      <c r="L954" s="10" t="n"/>
      <c r="M954" s="11" t="n"/>
      <c r="N954" s="10" t="n"/>
      <c r="O954" s="11" t="n"/>
      <c r="P954" s="6" t="n"/>
      <c r="Q954" s="11" t="n"/>
      <c r="S954" s="8">
        <f>IF(B954="","",E954*F954)</f>
        <v/>
      </c>
      <c r="T954" s="8">
        <f>IF(OR(B954="",N(G954)=0),"",ABS(F954-G954)*E954)</f>
        <v/>
      </c>
      <c r="U954" s="8">
        <f>IF(OR(B954="",P954=""),"",IF(D954="Venda",-1,1)*((N(J954)*N(K954)+N(L954)*N(M954)+N(N954)*N(O954))-(N(J954)+N(L954)+N(N954))*F954)-N(Q954))</f>
        <v/>
      </c>
      <c r="V954" s="9">
        <f>IF(OR(B954="",P954=""),"",U954/S954)</f>
        <v/>
      </c>
      <c r="W954">
        <f>IF(OR(B954="",P954=""),"",P954-C954)</f>
        <v/>
      </c>
      <c r="X954">
        <f>IF(B954="","",IF(P954="","Aberto","Fechado"))</f>
        <v/>
      </c>
    </row>
    <row r="955">
      <c r="C955" s="6" t="n"/>
      <c r="E955" s="10" t="n"/>
      <c r="F955" s="11" t="n"/>
      <c r="G955" s="11" t="n"/>
      <c r="H955" s="11" t="n"/>
      <c r="J955" s="10" t="n"/>
      <c r="K955" s="11" t="n"/>
      <c r="L955" s="10" t="n"/>
      <c r="M955" s="11" t="n"/>
      <c r="N955" s="10" t="n"/>
      <c r="O955" s="11" t="n"/>
      <c r="P955" s="6" t="n"/>
      <c r="Q955" s="11" t="n"/>
      <c r="S955" s="8">
        <f>IF(B955="","",E955*F955)</f>
        <v/>
      </c>
      <c r="T955" s="8">
        <f>IF(OR(B955="",N(G955)=0),"",ABS(F955-G955)*E955)</f>
        <v/>
      </c>
      <c r="U955" s="8">
        <f>IF(OR(B955="",P955=""),"",IF(D955="Venda",-1,1)*((N(J955)*N(K955)+N(L955)*N(M955)+N(N955)*N(O955))-(N(J955)+N(L955)+N(N955))*F955)-N(Q955))</f>
        <v/>
      </c>
      <c r="V955" s="9">
        <f>IF(OR(B955="",P955=""),"",U955/S955)</f>
        <v/>
      </c>
      <c r="W955">
        <f>IF(OR(B955="",P955=""),"",P955-C955)</f>
        <v/>
      </c>
      <c r="X955">
        <f>IF(B955="","",IF(P955="","Aberto","Fechado"))</f>
        <v/>
      </c>
    </row>
    <row r="956">
      <c r="C956" s="6" t="n"/>
      <c r="E956" s="10" t="n"/>
      <c r="F956" s="11" t="n"/>
      <c r="G956" s="11" t="n"/>
      <c r="H956" s="11" t="n"/>
      <c r="J956" s="10" t="n"/>
      <c r="K956" s="11" t="n"/>
      <c r="L956" s="10" t="n"/>
      <c r="M956" s="11" t="n"/>
      <c r="N956" s="10" t="n"/>
      <c r="O956" s="11" t="n"/>
      <c r="P956" s="6" t="n"/>
      <c r="Q956" s="11" t="n"/>
      <c r="S956" s="8">
        <f>IF(B956="","",E956*F956)</f>
        <v/>
      </c>
      <c r="T956" s="8">
        <f>IF(OR(B956="",N(G956)=0),"",ABS(F956-G956)*E956)</f>
        <v/>
      </c>
      <c r="U956" s="8">
        <f>IF(OR(B956="",P956=""),"",IF(D956="Venda",-1,1)*((N(J956)*N(K956)+N(L956)*N(M956)+N(N956)*N(O956))-(N(J956)+N(L956)+N(N956))*F956)-N(Q956))</f>
        <v/>
      </c>
      <c r="V956" s="9">
        <f>IF(OR(B956="",P956=""),"",U956/S956)</f>
        <v/>
      </c>
      <c r="W956">
        <f>IF(OR(B956="",P956=""),"",P956-C956)</f>
        <v/>
      </c>
      <c r="X956">
        <f>IF(B956="","",IF(P956="","Aberto","Fechado"))</f>
        <v/>
      </c>
    </row>
    <row r="957">
      <c r="C957" s="6" t="n"/>
      <c r="E957" s="10" t="n"/>
      <c r="F957" s="11" t="n"/>
      <c r="G957" s="11" t="n"/>
      <c r="H957" s="11" t="n"/>
      <c r="J957" s="10" t="n"/>
      <c r="K957" s="11" t="n"/>
      <c r="L957" s="10" t="n"/>
      <c r="M957" s="11" t="n"/>
      <c r="N957" s="10" t="n"/>
      <c r="O957" s="11" t="n"/>
      <c r="P957" s="6" t="n"/>
      <c r="Q957" s="11" t="n"/>
      <c r="S957" s="8">
        <f>IF(B957="","",E957*F957)</f>
        <v/>
      </c>
      <c r="T957" s="8">
        <f>IF(OR(B957="",N(G957)=0),"",ABS(F957-G957)*E957)</f>
        <v/>
      </c>
      <c r="U957" s="8">
        <f>IF(OR(B957="",P957=""),"",IF(D957="Venda",-1,1)*((N(J957)*N(K957)+N(L957)*N(M957)+N(N957)*N(O957))-(N(J957)+N(L957)+N(N957))*F957)-N(Q957))</f>
        <v/>
      </c>
      <c r="V957" s="9">
        <f>IF(OR(B957="",P957=""),"",U957/S957)</f>
        <v/>
      </c>
      <c r="W957">
        <f>IF(OR(B957="",P957=""),"",P957-C957)</f>
        <v/>
      </c>
      <c r="X957">
        <f>IF(B957="","",IF(P957="","Aberto","Fechado"))</f>
        <v/>
      </c>
    </row>
    <row r="958">
      <c r="C958" s="6" t="n"/>
      <c r="E958" s="10" t="n"/>
      <c r="F958" s="11" t="n"/>
      <c r="G958" s="11" t="n"/>
      <c r="H958" s="11" t="n"/>
      <c r="J958" s="10" t="n"/>
      <c r="K958" s="11" t="n"/>
      <c r="L958" s="10" t="n"/>
      <c r="M958" s="11" t="n"/>
      <c r="N958" s="10" t="n"/>
      <c r="O958" s="11" t="n"/>
      <c r="P958" s="6" t="n"/>
      <c r="Q958" s="11" t="n"/>
      <c r="S958" s="8">
        <f>IF(B958="","",E958*F958)</f>
        <v/>
      </c>
      <c r="T958" s="8">
        <f>IF(OR(B958="",N(G958)=0),"",ABS(F958-G958)*E958)</f>
        <v/>
      </c>
      <c r="U958" s="8">
        <f>IF(OR(B958="",P958=""),"",IF(D958="Venda",-1,1)*((N(J958)*N(K958)+N(L958)*N(M958)+N(N958)*N(O958))-(N(J958)+N(L958)+N(N958))*F958)-N(Q958))</f>
        <v/>
      </c>
      <c r="V958" s="9">
        <f>IF(OR(B958="",P958=""),"",U958/S958)</f>
        <v/>
      </c>
      <c r="W958">
        <f>IF(OR(B958="",P958=""),"",P958-C958)</f>
        <v/>
      </c>
      <c r="X958">
        <f>IF(B958="","",IF(P958="","Aberto","Fechado"))</f>
        <v/>
      </c>
    </row>
    <row r="959">
      <c r="C959" s="6" t="n"/>
      <c r="E959" s="10" t="n"/>
      <c r="F959" s="11" t="n"/>
      <c r="G959" s="11" t="n"/>
      <c r="H959" s="11" t="n"/>
      <c r="J959" s="10" t="n"/>
      <c r="K959" s="11" t="n"/>
      <c r="L959" s="10" t="n"/>
      <c r="M959" s="11" t="n"/>
      <c r="N959" s="10" t="n"/>
      <c r="O959" s="11" t="n"/>
      <c r="P959" s="6" t="n"/>
      <c r="Q959" s="11" t="n"/>
      <c r="S959" s="8">
        <f>IF(B959="","",E959*F959)</f>
        <v/>
      </c>
      <c r="T959" s="8">
        <f>IF(OR(B959="",N(G959)=0),"",ABS(F959-G959)*E959)</f>
        <v/>
      </c>
      <c r="U959" s="8">
        <f>IF(OR(B959="",P959=""),"",IF(D959="Venda",-1,1)*((N(J959)*N(K959)+N(L959)*N(M959)+N(N959)*N(O959))-(N(J959)+N(L959)+N(N959))*F959)-N(Q959))</f>
        <v/>
      </c>
      <c r="V959" s="9">
        <f>IF(OR(B959="",P959=""),"",U959/S959)</f>
        <v/>
      </c>
      <c r="W959">
        <f>IF(OR(B959="",P959=""),"",P959-C959)</f>
        <v/>
      </c>
      <c r="X959">
        <f>IF(B959="","",IF(P959="","Aberto","Fechado"))</f>
        <v/>
      </c>
    </row>
    <row r="960">
      <c r="C960" s="6" t="n"/>
      <c r="E960" s="10" t="n"/>
      <c r="F960" s="11" t="n"/>
      <c r="G960" s="11" t="n"/>
      <c r="H960" s="11" t="n"/>
      <c r="J960" s="10" t="n"/>
      <c r="K960" s="11" t="n"/>
      <c r="L960" s="10" t="n"/>
      <c r="M960" s="11" t="n"/>
      <c r="N960" s="10" t="n"/>
      <c r="O960" s="11" t="n"/>
      <c r="P960" s="6" t="n"/>
      <c r="Q960" s="11" t="n"/>
      <c r="S960" s="8">
        <f>IF(B960="","",E960*F960)</f>
        <v/>
      </c>
      <c r="T960" s="8">
        <f>IF(OR(B960="",N(G960)=0),"",ABS(F960-G960)*E960)</f>
        <v/>
      </c>
      <c r="U960" s="8">
        <f>IF(OR(B960="",P960=""),"",IF(D960="Venda",-1,1)*((N(J960)*N(K960)+N(L960)*N(M960)+N(N960)*N(O960))-(N(J960)+N(L960)+N(N960))*F960)-N(Q960))</f>
        <v/>
      </c>
      <c r="V960" s="9">
        <f>IF(OR(B960="",P960=""),"",U960/S960)</f>
        <v/>
      </c>
      <c r="W960">
        <f>IF(OR(B960="",P960=""),"",P960-C960)</f>
        <v/>
      </c>
      <c r="X960">
        <f>IF(B960="","",IF(P960="","Aberto","Fechado"))</f>
        <v/>
      </c>
    </row>
    <row r="961">
      <c r="C961" s="6" t="n"/>
      <c r="E961" s="10" t="n"/>
      <c r="F961" s="11" t="n"/>
      <c r="G961" s="11" t="n"/>
      <c r="H961" s="11" t="n"/>
      <c r="J961" s="10" t="n"/>
      <c r="K961" s="11" t="n"/>
      <c r="L961" s="10" t="n"/>
      <c r="M961" s="11" t="n"/>
      <c r="N961" s="10" t="n"/>
      <c r="O961" s="11" t="n"/>
      <c r="P961" s="6" t="n"/>
      <c r="Q961" s="11" t="n"/>
      <c r="S961" s="8">
        <f>IF(B961="","",E961*F961)</f>
        <v/>
      </c>
      <c r="T961" s="8">
        <f>IF(OR(B961="",N(G961)=0),"",ABS(F961-G961)*E961)</f>
        <v/>
      </c>
      <c r="U961" s="8">
        <f>IF(OR(B961="",P961=""),"",IF(D961="Venda",-1,1)*((N(J961)*N(K961)+N(L961)*N(M961)+N(N961)*N(O961))-(N(J961)+N(L961)+N(N961))*F961)-N(Q961))</f>
        <v/>
      </c>
      <c r="V961" s="9">
        <f>IF(OR(B961="",P961=""),"",U961/S961)</f>
        <v/>
      </c>
      <c r="W961">
        <f>IF(OR(B961="",P961=""),"",P961-C961)</f>
        <v/>
      </c>
      <c r="X961">
        <f>IF(B961="","",IF(P961="","Aberto","Fechado"))</f>
        <v/>
      </c>
    </row>
    <row r="962">
      <c r="C962" s="6" t="n"/>
      <c r="E962" s="10" t="n"/>
      <c r="F962" s="11" t="n"/>
      <c r="G962" s="11" t="n"/>
      <c r="H962" s="11" t="n"/>
      <c r="J962" s="10" t="n"/>
      <c r="K962" s="11" t="n"/>
      <c r="L962" s="10" t="n"/>
      <c r="M962" s="11" t="n"/>
      <c r="N962" s="10" t="n"/>
      <c r="O962" s="11" t="n"/>
      <c r="P962" s="6" t="n"/>
      <c r="Q962" s="11" t="n"/>
      <c r="S962" s="8">
        <f>IF(B962="","",E962*F962)</f>
        <v/>
      </c>
      <c r="T962" s="8">
        <f>IF(OR(B962="",N(G962)=0),"",ABS(F962-G962)*E962)</f>
        <v/>
      </c>
      <c r="U962" s="8">
        <f>IF(OR(B962="",P962=""),"",IF(D962="Venda",-1,1)*((N(J962)*N(K962)+N(L962)*N(M962)+N(N962)*N(O962))-(N(J962)+N(L962)+N(N962))*F962)-N(Q962))</f>
        <v/>
      </c>
      <c r="V962" s="9">
        <f>IF(OR(B962="",P962=""),"",U962/S962)</f>
        <v/>
      </c>
      <c r="W962">
        <f>IF(OR(B962="",P962=""),"",P962-C962)</f>
        <v/>
      </c>
      <c r="X962">
        <f>IF(B962="","",IF(P962="","Aberto","Fechado"))</f>
        <v/>
      </c>
    </row>
    <row r="963">
      <c r="C963" s="6" t="n"/>
      <c r="E963" s="10" t="n"/>
      <c r="F963" s="11" t="n"/>
      <c r="G963" s="11" t="n"/>
      <c r="H963" s="11" t="n"/>
      <c r="J963" s="10" t="n"/>
      <c r="K963" s="11" t="n"/>
      <c r="L963" s="10" t="n"/>
      <c r="M963" s="11" t="n"/>
      <c r="N963" s="10" t="n"/>
      <c r="O963" s="11" t="n"/>
      <c r="P963" s="6" t="n"/>
      <c r="Q963" s="11" t="n"/>
      <c r="S963" s="8">
        <f>IF(B963="","",E963*F963)</f>
        <v/>
      </c>
      <c r="T963" s="8">
        <f>IF(OR(B963="",N(G963)=0),"",ABS(F963-G963)*E963)</f>
        <v/>
      </c>
      <c r="U963" s="8">
        <f>IF(OR(B963="",P963=""),"",IF(D963="Venda",-1,1)*((N(J963)*N(K963)+N(L963)*N(M963)+N(N963)*N(O963))-(N(J963)+N(L963)+N(N963))*F963)-N(Q963))</f>
        <v/>
      </c>
      <c r="V963" s="9">
        <f>IF(OR(B963="",P963=""),"",U963/S963)</f>
        <v/>
      </c>
      <c r="W963">
        <f>IF(OR(B963="",P963=""),"",P963-C963)</f>
        <v/>
      </c>
      <c r="X963">
        <f>IF(B963="","",IF(P963="","Aberto","Fechado"))</f>
        <v/>
      </c>
    </row>
    <row r="964">
      <c r="C964" s="6" t="n"/>
      <c r="E964" s="10" t="n"/>
      <c r="F964" s="11" t="n"/>
      <c r="G964" s="11" t="n"/>
      <c r="H964" s="11" t="n"/>
      <c r="J964" s="10" t="n"/>
      <c r="K964" s="11" t="n"/>
      <c r="L964" s="10" t="n"/>
      <c r="M964" s="11" t="n"/>
      <c r="N964" s="10" t="n"/>
      <c r="O964" s="11" t="n"/>
      <c r="P964" s="6" t="n"/>
      <c r="Q964" s="11" t="n"/>
      <c r="S964" s="8">
        <f>IF(B964="","",E964*F964)</f>
        <v/>
      </c>
      <c r="T964" s="8">
        <f>IF(OR(B964="",N(G964)=0),"",ABS(F964-G964)*E964)</f>
        <v/>
      </c>
      <c r="U964" s="8">
        <f>IF(OR(B964="",P964=""),"",IF(D964="Venda",-1,1)*((N(J964)*N(K964)+N(L964)*N(M964)+N(N964)*N(O964))-(N(J964)+N(L964)+N(N964))*F964)-N(Q964))</f>
        <v/>
      </c>
      <c r="V964" s="9">
        <f>IF(OR(B964="",P964=""),"",U964/S964)</f>
        <v/>
      </c>
      <c r="W964">
        <f>IF(OR(B964="",P964=""),"",P964-C964)</f>
        <v/>
      </c>
      <c r="X964">
        <f>IF(B964="","",IF(P964="","Aberto","Fechado"))</f>
        <v/>
      </c>
    </row>
    <row r="965">
      <c r="C965" s="6" t="n"/>
      <c r="E965" s="10" t="n"/>
      <c r="F965" s="11" t="n"/>
      <c r="G965" s="11" t="n"/>
      <c r="H965" s="11" t="n"/>
      <c r="J965" s="10" t="n"/>
      <c r="K965" s="11" t="n"/>
      <c r="L965" s="10" t="n"/>
      <c r="M965" s="11" t="n"/>
      <c r="N965" s="10" t="n"/>
      <c r="O965" s="11" t="n"/>
      <c r="P965" s="6" t="n"/>
      <c r="Q965" s="11" t="n"/>
      <c r="S965" s="8">
        <f>IF(B965="","",E965*F965)</f>
        <v/>
      </c>
      <c r="T965" s="8">
        <f>IF(OR(B965="",N(G965)=0),"",ABS(F965-G965)*E965)</f>
        <v/>
      </c>
      <c r="U965" s="8">
        <f>IF(OR(B965="",P965=""),"",IF(D965="Venda",-1,1)*((N(J965)*N(K965)+N(L965)*N(M965)+N(N965)*N(O965))-(N(J965)+N(L965)+N(N965))*F965)-N(Q965))</f>
        <v/>
      </c>
      <c r="V965" s="9">
        <f>IF(OR(B965="",P965=""),"",U965/S965)</f>
        <v/>
      </c>
      <c r="W965">
        <f>IF(OR(B965="",P965=""),"",P965-C965)</f>
        <v/>
      </c>
      <c r="X965">
        <f>IF(B965="","",IF(P965="","Aberto","Fechado"))</f>
        <v/>
      </c>
    </row>
    <row r="966">
      <c r="C966" s="6" t="n"/>
      <c r="E966" s="10" t="n"/>
      <c r="F966" s="11" t="n"/>
      <c r="G966" s="11" t="n"/>
      <c r="H966" s="11" t="n"/>
      <c r="J966" s="10" t="n"/>
      <c r="K966" s="11" t="n"/>
      <c r="L966" s="10" t="n"/>
      <c r="M966" s="11" t="n"/>
      <c r="N966" s="10" t="n"/>
      <c r="O966" s="11" t="n"/>
      <c r="P966" s="6" t="n"/>
      <c r="Q966" s="11" t="n"/>
      <c r="S966" s="8">
        <f>IF(B966="","",E966*F966)</f>
        <v/>
      </c>
      <c r="T966" s="8">
        <f>IF(OR(B966="",N(G966)=0),"",ABS(F966-G966)*E966)</f>
        <v/>
      </c>
      <c r="U966" s="8">
        <f>IF(OR(B966="",P966=""),"",IF(D966="Venda",-1,1)*((N(J966)*N(K966)+N(L966)*N(M966)+N(N966)*N(O966))-(N(J966)+N(L966)+N(N966))*F966)-N(Q966))</f>
        <v/>
      </c>
      <c r="V966" s="9">
        <f>IF(OR(B966="",P966=""),"",U966/S966)</f>
        <v/>
      </c>
      <c r="W966">
        <f>IF(OR(B966="",P966=""),"",P966-C966)</f>
        <v/>
      </c>
      <c r="X966">
        <f>IF(B966="","",IF(P966="","Aberto","Fechado"))</f>
        <v/>
      </c>
    </row>
    <row r="967">
      <c r="C967" s="6" t="n"/>
      <c r="E967" s="10" t="n"/>
      <c r="F967" s="11" t="n"/>
      <c r="G967" s="11" t="n"/>
      <c r="H967" s="11" t="n"/>
      <c r="J967" s="10" t="n"/>
      <c r="K967" s="11" t="n"/>
      <c r="L967" s="10" t="n"/>
      <c r="M967" s="11" t="n"/>
      <c r="N967" s="10" t="n"/>
      <c r="O967" s="11" t="n"/>
      <c r="P967" s="6" t="n"/>
      <c r="Q967" s="11" t="n"/>
      <c r="S967" s="8">
        <f>IF(B967="","",E967*F967)</f>
        <v/>
      </c>
      <c r="T967" s="8">
        <f>IF(OR(B967="",N(G967)=0),"",ABS(F967-G967)*E967)</f>
        <v/>
      </c>
      <c r="U967" s="8">
        <f>IF(OR(B967="",P967=""),"",IF(D967="Venda",-1,1)*((N(J967)*N(K967)+N(L967)*N(M967)+N(N967)*N(O967))-(N(J967)+N(L967)+N(N967))*F967)-N(Q967))</f>
        <v/>
      </c>
      <c r="V967" s="9">
        <f>IF(OR(B967="",P967=""),"",U967/S967)</f>
        <v/>
      </c>
      <c r="W967">
        <f>IF(OR(B967="",P967=""),"",P967-C967)</f>
        <v/>
      </c>
      <c r="X967">
        <f>IF(B967="","",IF(P967="","Aberto","Fechado"))</f>
        <v/>
      </c>
    </row>
    <row r="968">
      <c r="C968" s="6" t="n"/>
      <c r="E968" s="10" t="n"/>
      <c r="F968" s="11" t="n"/>
      <c r="G968" s="11" t="n"/>
      <c r="H968" s="11" t="n"/>
      <c r="J968" s="10" t="n"/>
      <c r="K968" s="11" t="n"/>
      <c r="L968" s="10" t="n"/>
      <c r="M968" s="11" t="n"/>
      <c r="N968" s="10" t="n"/>
      <c r="O968" s="11" t="n"/>
      <c r="P968" s="6" t="n"/>
      <c r="Q968" s="11" t="n"/>
      <c r="S968" s="8">
        <f>IF(B968="","",E968*F968)</f>
        <v/>
      </c>
      <c r="T968" s="8">
        <f>IF(OR(B968="",N(G968)=0),"",ABS(F968-G968)*E968)</f>
        <v/>
      </c>
      <c r="U968" s="8">
        <f>IF(OR(B968="",P968=""),"",IF(D968="Venda",-1,1)*((N(J968)*N(K968)+N(L968)*N(M968)+N(N968)*N(O968))-(N(J968)+N(L968)+N(N968))*F968)-N(Q968))</f>
        <v/>
      </c>
      <c r="V968" s="9">
        <f>IF(OR(B968="",P968=""),"",U968/S968)</f>
        <v/>
      </c>
      <c r="W968">
        <f>IF(OR(B968="",P968=""),"",P968-C968)</f>
        <v/>
      </c>
      <c r="X968">
        <f>IF(B968="","",IF(P968="","Aberto","Fechado"))</f>
        <v/>
      </c>
    </row>
    <row r="969">
      <c r="C969" s="6" t="n"/>
      <c r="E969" s="10" t="n"/>
      <c r="F969" s="11" t="n"/>
      <c r="G969" s="11" t="n"/>
      <c r="H969" s="11" t="n"/>
      <c r="J969" s="10" t="n"/>
      <c r="K969" s="11" t="n"/>
      <c r="L969" s="10" t="n"/>
      <c r="M969" s="11" t="n"/>
      <c r="N969" s="10" t="n"/>
      <c r="O969" s="11" t="n"/>
      <c r="P969" s="6" t="n"/>
      <c r="Q969" s="11" t="n"/>
      <c r="S969" s="8">
        <f>IF(B969="","",E969*F969)</f>
        <v/>
      </c>
      <c r="T969" s="8">
        <f>IF(OR(B969="",N(G969)=0),"",ABS(F969-G969)*E969)</f>
        <v/>
      </c>
      <c r="U969" s="8">
        <f>IF(OR(B969="",P969=""),"",IF(D969="Venda",-1,1)*((N(J969)*N(K969)+N(L969)*N(M969)+N(N969)*N(O969))-(N(J969)+N(L969)+N(N969))*F969)-N(Q969))</f>
        <v/>
      </c>
      <c r="V969" s="9">
        <f>IF(OR(B969="",P969=""),"",U969/S969)</f>
        <v/>
      </c>
      <c r="W969">
        <f>IF(OR(B969="",P969=""),"",P969-C969)</f>
        <v/>
      </c>
      <c r="X969">
        <f>IF(B969="","",IF(P969="","Aberto","Fechado"))</f>
        <v/>
      </c>
    </row>
    <row r="970">
      <c r="C970" s="6" t="n"/>
      <c r="E970" s="10" t="n"/>
      <c r="F970" s="11" t="n"/>
      <c r="G970" s="11" t="n"/>
      <c r="H970" s="11" t="n"/>
      <c r="J970" s="10" t="n"/>
      <c r="K970" s="11" t="n"/>
      <c r="L970" s="10" t="n"/>
      <c r="M970" s="11" t="n"/>
      <c r="N970" s="10" t="n"/>
      <c r="O970" s="11" t="n"/>
      <c r="P970" s="6" t="n"/>
      <c r="Q970" s="11" t="n"/>
      <c r="S970" s="8">
        <f>IF(B970="","",E970*F970)</f>
        <v/>
      </c>
      <c r="T970" s="8">
        <f>IF(OR(B970="",N(G970)=0),"",ABS(F970-G970)*E970)</f>
        <v/>
      </c>
      <c r="U970" s="8">
        <f>IF(OR(B970="",P970=""),"",IF(D970="Venda",-1,1)*((N(J970)*N(K970)+N(L970)*N(M970)+N(N970)*N(O970))-(N(J970)+N(L970)+N(N970))*F970)-N(Q970))</f>
        <v/>
      </c>
      <c r="V970" s="9">
        <f>IF(OR(B970="",P970=""),"",U970/S970)</f>
        <v/>
      </c>
      <c r="W970">
        <f>IF(OR(B970="",P970=""),"",P970-C970)</f>
        <v/>
      </c>
      <c r="X970">
        <f>IF(B970="","",IF(P970="","Aberto","Fechado"))</f>
        <v/>
      </c>
    </row>
    <row r="971">
      <c r="C971" s="6" t="n"/>
      <c r="E971" s="10" t="n"/>
      <c r="F971" s="11" t="n"/>
      <c r="G971" s="11" t="n"/>
      <c r="H971" s="11" t="n"/>
      <c r="J971" s="10" t="n"/>
      <c r="K971" s="11" t="n"/>
      <c r="L971" s="10" t="n"/>
      <c r="M971" s="11" t="n"/>
      <c r="N971" s="10" t="n"/>
      <c r="O971" s="11" t="n"/>
      <c r="P971" s="6" t="n"/>
      <c r="Q971" s="11" t="n"/>
      <c r="S971" s="8">
        <f>IF(B971="","",E971*F971)</f>
        <v/>
      </c>
      <c r="T971" s="8">
        <f>IF(OR(B971="",N(G971)=0),"",ABS(F971-G971)*E971)</f>
        <v/>
      </c>
      <c r="U971" s="8">
        <f>IF(OR(B971="",P971=""),"",IF(D971="Venda",-1,1)*((N(J971)*N(K971)+N(L971)*N(M971)+N(N971)*N(O971))-(N(J971)+N(L971)+N(N971))*F971)-N(Q971))</f>
        <v/>
      </c>
      <c r="V971" s="9">
        <f>IF(OR(B971="",P971=""),"",U971/S971)</f>
        <v/>
      </c>
      <c r="W971">
        <f>IF(OR(B971="",P971=""),"",P971-C971)</f>
        <v/>
      </c>
      <c r="X971">
        <f>IF(B971="","",IF(P971="","Aberto","Fechado"))</f>
        <v/>
      </c>
    </row>
    <row r="972">
      <c r="C972" s="6" t="n"/>
      <c r="E972" s="10" t="n"/>
      <c r="F972" s="11" t="n"/>
      <c r="G972" s="11" t="n"/>
      <c r="H972" s="11" t="n"/>
      <c r="J972" s="10" t="n"/>
      <c r="K972" s="11" t="n"/>
      <c r="L972" s="10" t="n"/>
      <c r="M972" s="11" t="n"/>
      <c r="N972" s="10" t="n"/>
      <c r="O972" s="11" t="n"/>
      <c r="P972" s="6" t="n"/>
      <c r="Q972" s="11" t="n"/>
      <c r="S972" s="8">
        <f>IF(B972="","",E972*F972)</f>
        <v/>
      </c>
      <c r="T972" s="8">
        <f>IF(OR(B972="",N(G972)=0),"",ABS(F972-G972)*E972)</f>
        <v/>
      </c>
      <c r="U972" s="8">
        <f>IF(OR(B972="",P972=""),"",IF(D972="Venda",-1,1)*((N(J972)*N(K972)+N(L972)*N(M972)+N(N972)*N(O972))-(N(J972)+N(L972)+N(N972))*F972)-N(Q972))</f>
        <v/>
      </c>
      <c r="V972" s="9">
        <f>IF(OR(B972="",P972=""),"",U972/S972)</f>
        <v/>
      </c>
      <c r="W972">
        <f>IF(OR(B972="",P972=""),"",P972-C972)</f>
        <v/>
      </c>
      <c r="X972">
        <f>IF(B972="","",IF(P972="","Aberto","Fechado"))</f>
        <v/>
      </c>
    </row>
    <row r="973">
      <c r="C973" s="6" t="n"/>
      <c r="E973" s="10" t="n"/>
      <c r="F973" s="11" t="n"/>
      <c r="G973" s="11" t="n"/>
      <c r="H973" s="11" t="n"/>
      <c r="J973" s="10" t="n"/>
      <c r="K973" s="11" t="n"/>
      <c r="L973" s="10" t="n"/>
      <c r="M973" s="11" t="n"/>
      <c r="N973" s="10" t="n"/>
      <c r="O973" s="11" t="n"/>
      <c r="P973" s="6" t="n"/>
      <c r="Q973" s="11" t="n"/>
      <c r="S973" s="8">
        <f>IF(B973="","",E973*F973)</f>
        <v/>
      </c>
      <c r="T973" s="8">
        <f>IF(OR(B973="",N(G973)=0),"",ABS(F973-G973)*E973)</f>
        <v/>
      </c>
      <c r="U973" s="8">
        <f>IF(OR(B973="",P973=""),"",IF(D973="Venda",-1,1)*((N(J973)*N(K973)+N(L973)*N(M973)+N(N973)*N(O973))-(N(J973)+N(L973)+N(N973))*F973)-N(Q973))</f>
        <v/>
      </c>
      <c r="V973" s="9">
        <f>IF(OR(B973="",P973=""),"",U973/S973)</f>
        <v/>
      </c>
      <c r="W973">
        <f>IF(OR(B973="",P973=""),"",P973-C973)</f>
        <v/>
      </c>
      <c r="X973">
        <f>IF(B973="","",IF(P973="","Aberto","Fechado"))</f>
        <v/>
      </c>
    </row>
    <row r="974">
      <c r="C974" s="6" t="n"/>
      <c r="E974" s="10" t="n"/>
      <c r="F974" s="11" t="n"/>
      <c r="G974" s="11" t="n"/>
      <c r="H974" s="11" t="n"/>
      <c r="J974" s="10" t="n"/>
      <c r="K974" s="11" t="n"/>
      <c r="L974" s="10" t="n"/>
      <c r="M974" s="11" t="n"/>
      <c r="N974" s="10" t="n"/>
      <c r="O974" s="11" t="n"/>
      <c r="P974" s="6" t="n"/>
      <c r="Q974" s="11" t="n"/>
      <c r="S974" s="8">
        <f>IF(B974="","",E974*F974)</f>
        <v/>
      </c>
      <c r="T974" s="8">
        <f>IF(OR(B974="",N(G974)=0),"",ABS(F974-G974)*E974)</f>
        <v/>
      </c>
      <c r="U974" s="8">
        <f>IF(OR(B974="",P974=""),"",IF(D974="Venda",-1,1)*((N(J974)*N(K974)+N(L974)*N(M974)+N(N974)*N(O974))-(N(J974)+N(L974)+N(N974))*F974)-N(Q974))</f>
        <v/>
      </c>
      <c r="V974" s="9">
        <f>IF(OR(B974="",P974=""),"",U974/S974)</f>
        <v/>
      </c>
      <c r="W974">
        <f>IF(OR(B974="",P974=""),"",P974-C974)</f>
        <v/>
      </c>
      <c r="X974">
        <f>IF(B974="","",IF(P974="","Aberto","Fechado"))</f>
        <v/>
      </c>
    </row>
    <row r="975">
      <c r="C975" s="6" t="n"/>
      <c r="E975" s="10" t="n"/>
      <c r="F975" s="11" t="n"/>
      <c r="G975" s="11" t="n"/>
      <c r="H975" s="11" t="n"/>
      <c r="J975" s="10" t="n"/>
      <c r="K975" s="11" t="n"/>
      <c r="L975" s="10" t="n"/>
      <c r="M975" s="11" t="n"/>
      <c r="N975" s="10" t="n"/>
      <c r="O975" s="11" t="n"/>
      <c r="P975" s="6" t="n"/>
      <c r="Q975" s="11" t="n"/>
      <c r="S975" s="8">
        <f>IF(B975="","",E975*F975)</f>
        <v/>
      </c>
      <c r="T975" s="8">
        <f>IF(OR(B975="",N(G975)=0),"",ABS(F975-G975)*E975)</f>
        <v/>
      </c>
      <c r="U975" s="8">
        <f>IF(OR(B975="",P975=""),"",IF(D975="Venda",-1,1)*((N(J975)*N(K975)+N(L975)*N(M975)+N(N975)*N(O975))-(N(J975)+N(L975)+N(N975))*F975)-N(Q975))</f>
        <v/>
      </c>
      <c r="V975" s="9">
        <f>IF(OR(B975="",P975=""),"",U975/S975)</f>
        <v/>
      </c>
      <c r="W975">
        <f>IF(OR(B975="",P975=""),"",P975-C975)</f>
        <v/>
      </c>
      <c r="X975">
        <f>IF(B975="","",IF(P975="","Aberto","Fechado"))</f>
        <v/>
      </c>
    </row>
    <row r="976">
      <c r="C976" s="6" t="n"/>
      <c r="E976" s="10" t="n"/>
      <c r="F976" s="11" t="n"/>
      <c r="G976" s="11" t="n"/>
      <c r="H976" s="11" t="n"/>
      <c r="J976" s="10" t="n"/>
      <c r="K976" s="11" t="n"/>
      <c r="L976" s="10" t="n"/>
      <c r="M976" s="11" t="n"/>
      <c r="N976" s="10" t="n"/>
      <c r="O976" s="11" t="n"/>
      <c r="P976" s="6" t="n"/>
      <c r="Q976" s="11" t="n"/>
      <c r="S976" s="8">
        <f>IF(B976="","",E976*F976)</f>
        <v/>
      </c>
      <c r="T976" s="8">
        <f>IF(OR(B976="",N(G976)=0),"",ABS(F976-G976)*E976)</f>
        <v/>
      </c>
      <c r="U976" s="8">
        <f>IF(OR(B976="",P976=""),"",IF(D976="Venda",-1,1)*((N(J976)*N(K976)+N(L976)*N(M976)+N(N976)*N(O976))-(N(J976)+N(L976)+N(N976))*F976)-N(Q976))</f>
        <v/>
      </c>
      <c r="V976" s="9">
        <f>IF(OR(B976="",P976=""),"",U976/S976)</f>
        <v/>
      </c>
      <c r="W976">
        <f>IF(OR(B976="",P976=""),"",P976-C976)</f>
        <v/>
      </c>
      <c r="X976">
        <f>IF(B976="","",IF(P976="","Aberto","Fechado"))</f>
        <v/>
      </c>
    </row>
    <row r="977">
      <c r="C977" s="6" t="n"/>
      <c r="E977" s="10" t="n"/>
      <c r="F977" s="11" t="n"/>
      <c r="G977" s="11" t="n"/>
      <c r="H977" s="11" t="n"/>
      <c r="J977" s="10" t="n"/>
      <c r="K977" s="11" t="n"/>
      <c r="L977" s="10" t="n"/>
      <c r="M977" s="11" t="n"/>
      <c r="N977" s="10" t="n"/>
      <c r="O977" s="11" t="n"/>
      <c r="P977" s="6" t="n"/>
      <c r="Q977" s="11" t="n"/>
      <c r="S977" s="8">
        <f>IF(B977="","",E977*F977)</f>
        <v/>
      </c>
      <c r="T977" s="8">
        <f>IF(OR(B977="",N(G977)=0),"",ABS(F977-G977)*E977)</f>
        <v/>
      </c>
      <c r="U977" s="8">
        <f>IF(OR(B977="",P977=""),"",IF(D977="Venda",-1,1)*((N(J977)*N(K977)+N(L977)*N(M977)+N(N977)*N(O977))-(N(J977)+N(L977)+N(N977))*F977)-N(Q977))</f>
        <v/>
      </c>
      <c r="V977" s="9">
        <f>IF(OR(B977="",P977=""),"",U977/S977)</f>
        <v/>
      </c>
      <c r="W977">
        <f>IF(OR(B977="",P977=""),"",P977-C977)</f>
        <v/>
      </c>
      <c r="X977">
        <f>IF(B977="","",IF(P977="","Aberto","Fechado"))</f>
        <v/>
      </c>
    </row>
    <row r="978">
      <c r="C978" s="6" t="n"/>
      <c r="E978" s="10" t="n"/>
      <c r="F978" s="11" t="n"/>
      <c r="G978" s="11" t="n"/>
      <c r="H978" s="11" t="n"/>
      <c r="J978" s="10" t="n"/>
      <c r="K978" s="11" t="n"/>
      <c r="L978" s="10" t="n"/>
      <c r="M978" s="11" t="n"/>
      <c r="N978" s="10" t="n"/>
      <c r="O978" s="11" t="n"/>
      <c r="P978" s="6" t="n"/>
      <c r="Q978" s="11" t="n"/>
      <c r="S978" s="8">
        <f>IF(B978="","",E978*F978)</f>
        <v/>
      </c>
      <c r="T978" s="8">
        <f>IF(OR(B978="",N(G978)=0),"",ABS(F978-G978)*E978)</f>
        <v/>
      </c>
      <c r="U978" s="8">
        <f>IF(OR(B978="",P978=""),"",IF(D978="Venda",-1,1)*((N(J978)*N(K978)+N(L978)*N(M978)+N(N978)*N(O978))-(N(J978)+N(L978)+N(N978))*F978)-N(Q978))</f>
        <v/>
      </c>
      <c r="V978" s="9">
        <f>IF(OR(B978="",P978=""),"",U978/S978)</f>
        <v/>
      </c>
      <c r="W978">
        <f>IF(OR(B978="",P978=""),"",P978-C978)</f>
        <v/>
      </c>
      <c r="X978">
        <f>IF(B978="","",IF(P978="","Aberto","Fechado"))</f>
        <v/>
      </c>
    </row>
    <row r="979">
      <c r="C979" s="6" t="n"/>
      <c r="E979" s="10" t="n"/>
      <c r="F979" s="11" t="n"/>
      <c r="G979" s="11" t="n"/>
      <c r="H979" s="11" t="n"/>
      <c r="J979" s="10" t="n"/>
      <c r="K979" s="11" t="n"/>
      <c r="L979" s="10" t="n"/>
      <c r="M979" s="11" t="n"/>
      <c r="N979" s="10" t="n"/>
      <c r="O979" s="11" t="n"/>
      <c r="P979" s="6" t="n"/>
      <c r="Q979" s="11" t="n"/>
      <c r="S979" s="8">
        <f>IF(B979="","",E979*F979)</f>
        <v/>
      </c>
      <c r="T979" s="8">
        <f>IF(OR(B979="",N(G979)=0),"",ABS(F979-G979)*E979)</f>
        <v/>
      </c>
      <c r="U979" s="8">
        <f>IF(OR(B979="",P979=""),"",IF(D979="Venda",-1,1)*((N(J979)*N(K979)+N(L979)*N(M979)+N(N979)*N(O979))-(N(J979)+N(L979)+N(N979))*F979)-N(Q979))</f>
        <v/>
      </c>
      <c r="V979" s="9">
        <f>IF(OR(B979="",P979=""),"",U979/S979)</f>
        <v/>
      </c>
      <c r="W979">
        <f>IF(OR(B979="",P979=""),"",P979-C979)</f>
        <v/>
      </c>
      <c r="X979">
        <f>IF(B979="","",IF(P979="","Aberto","Fechado"))</f>
        <v/>
      </c>
    </row>
    <row r="980">
      <c r="C980" s="6" t="n"/>
      <c r="E980" s="10" t="n"/>
      <c r="F980" s="11" t="n"/>
      <c r="G980" s="11" t="n"/>
      <c r="H980" s="11" t="n"/>
      <c r="J980" s="10" t="n"/>
      <c r="K980" s="11" t="n"/>
      <c r="L980" s="10" t="n"/>
      <c r="M980" s="11" t="n"/>
      <c r="N980" s="10" t="n"/>
      <c r="O980" s="11" t="n"/>
      <c r="P980" s="6" t="n"/>
      <c r="Q980" s="11" t="n"/>
      <c r="S980" s="8">
        <f>IF(B980="","",E980*F980)</f>
        <v/>
      </c>
      <c r="T980" s="8">
        <f>IF(OR(B980="",N(G980)=0),"",ABS(F980-G980)*E980)</f>
        <v/>
      </c>
      <c r="U980" s="8">
        <f>IF(OR(B980="",P980=""),"",IF(D980="Venda",-1,1)*((N(J980)*N(K980)+N(L980)*N(M980)+N(N980)*N(O980))-(N(J980)+N(L980)+N(N980))*F980)-N(Q980))</f>
        <v/>
      </c>
      <c r="V980" s="9">
        <f>IF(OR(B980="",P980=""),"",U980/S980)</f>
        <v/>
      </c>
      <c r="W980">
        <f>IF(OR(B980="",P980=""),"",P980-C980)</f>
        <v/>
      </c>
      <c r="X980">
        <f>IF(B980="","",IF(P980="","Aberto","Fechado"))</f>
        <v/>
      </c>
    </row>
    <row r="981">
      <c r="C981" s="6" t="n"/>
      <c r="E981" s="10" t="n"/>
      <c r="F981" s="11" t="n"/>
      <c r="G981" s="11" t="n"/>
      <c r="H981" s="11" t="n"/>
      <c r="J981" s="10" t="n"/>
      <c r="K981" s="11" t="n"/>
      <c r="L981" s="10" t="n"/>
      <c r="M981" s="11" t="n"/>
      <c r="N981" s="10" t="n"/>
      <c r="O981" s="11" t="n"/>
      <c r="P981" s="6" t="n"/>
      <c r="Q981" s="11" t="n"/>
      <c r="S981" s="8">
        <f>IF(B981="","",E981*F981)</f>
        <v/>
      </c>
      <c r="T981" s="8">
        <f>IF(OR(B981="",N(G981)=0),"",ABS(F981-G981)*E981)</f>
        <v/>
      </c>
      <c r="U981" s="8">
        <f>IF(OR(B981="",P981=""),"",IF(D981="Venda",-1,1)*((N(J981)*N(K981)+N(L981)*N(M981)+N(N981)*N(O981))-(N(J981)+N(L981)+N(N981))*F981)-N(Q981))</f>
        <v/>
      </c>
      <c r="V981" s="9">
        <f>IF(OR(B981="",P981=""),"",U981/S981)</f>
        <v/>
      </c>
      <c r="W981">
        <f>IF(OR(B981="",P981=""),"",P981-C981)</f>
        <v/>
      </c>
      <c r="X981">
        <f>IF(B981="","",IF(P981="","Aberto","Fechado"))</f>
        <v/>
      </c>
    </row>
    <row r="982">
      <c r="C982" s="6" t="n"/>
      <c r="E982" s="10" t="n"/>
      <c r="F982" s="11" t="n"/>
      <c r="G982" s="11" t="n"/>
      <c r="H982" s="11" t="n"/>
      <c r="J982" s="10" t="n"/>
      <c r="K982" s="11" t="n"/>
      <c r="L982" s="10" t="n"/>
      <c r="M982" s="11" t="n"/>
      <c r="N982" s="10" t="n"/>
      <c r="O982" s="11" t="n"/>
      <c r="P982" s="6" t="n"/>
      <c r="Q982" s="11" t="n"/>
      <c r="S982" s="8">
        <f>IF(B982="","",E982*F982)</f>
        <v/>
      </c>
      <c r="T982" s="8">
        <f>IF(OR(B982="",N(G982)=0),"",ABS(F982-G982)*E982)</f>
        <v/>
      </c>
      <c r="U982" s="8">
        <f>IF(OR(B982="",P982=""),"",IF(D982="Venda",-1,1)*((N(J982)*N(K982)+N(L982)*N(M982)+N(N982)*N(O982))-(N(J982)+N(L982)+N(N982))*F982)-N(Q982))</f>
        <v/>
      </c>
      <c r="V982" s="9">
        <f>IF(OR(B982="",P982=""),"",U982/S982)</f>
        <v/>
      </c>
      <c r="W982">
        <f>IF(OR(B982="",P982=""),"",P982-C982)</f>
        <v/>
      </c>
      <c r="X982">
        <f>IF(B982="","",IF(P982="","Aberto","Fechado"))</f>
        <v/>
      </c>
    </row>
    <row r="983">
      <c r="C983" s="6" t="n"/>
      <c r="E983" s="10" t="n"/>
      <c r="F983" s="11" t="n"/>
      <c r="G983" s="11" t="n"/>
      <c r="H983" s="11" t="n"/>
      <c r="J983" s="10" t="n"/>
      <c r="K983" s="11" t="n"/>
      <c r="L983" s="10" t="n"/>
      <c r="M983" s="11" t="n"/>
      <c r="N983" s="10" t="n"/>
      <c r="O983" s="11" t="n"/>
      <c r="P983" s="6" t="n"/>
      <c r="Q983" s="11" t="n"/>
      <c r="S983" s="8">
        <f>IF(B983="","",E983*F983)</f>
        <v/>
      </c>
      <c r="T983" s="8">
        <f>IF(OR(B983="",N(G983)=0),"",ABS(F983-G983)*E983)</f>
        <v/>
      </c>
      <c r="U983" s="8">
        <f>IF(OR(B983="",P983=""),"",IF(D983="Venda",-1,1)*((N(J983)*N(K983)+N(L983)*N(M983)+N(N983)*N(O983))-(N(J983)+N(L983)+N(N983))*F983)-N(Q983))</f>
        <v/>
      </c>
      <c r="V983" s="9">
        <f>IF(OR(B983="",P983=""),"",U983/S983)</f>
        <v/>
      </c>
      <c r="W983">
        <f>IF(OR(B983="",P983=""),"",P983-C983)</f>
        <v/>
      </c>
      <c r="X983">
        <f>IF(B983="","",IF(P983="","Aberto","Fechado"))</f>
        <v/>
      </c>
    </row>
    <row r="984">
      <c r="C984" s="6" t="n"/>
      <c r="E984" s="10" t="n"/>
      <c r="F984" s="11" t="n"/>
      <c r="G984" s="11" t="n"/>
      <c r="H984" s="11" t="n"/>
      <c r="J984" s="10" t="n"/>
      <c r="K984" s="11" t="n"/>
      <c r="L984" s="10" t="n"/>
      <c r="M984" s="11" t="n"/>
      <c r="N984" s="10" t="n"/>
      <c r="O984" s="11" t="n"/>
      <c r="P984" s="6" t="n"/>
      <c r="Q984" s="11" t="n"/>
      <c r="S984" s="8">
        <f>IF(B984="","",E984*F984)</f>
        <v/>
      </c>
      <c r="T984" s="8">
        <f>IF(OR(B984="",N(G984)=0),"",ABS(F984-G984)*E984)</f>
        <v/>
      </c>
      <c r="U984" s="8">
        <f>IF(OR(B984="",P984=""),"",IF(D984="Venda",-1,1)*((N(J984)*N(K984)+N(L984)*N(M984)+N(N984)*N(O984))-(N(J984)+N(L984)+N(N984))*F984)-N(Q984))</f>
        <v/>
      </c>
      <c r="V984" s="9">
        <f>IF(OR(B984="",P984=""),"",U984/S984)</f>
        <v/>
      </c>
      <c r="W984">
        <f>IF(OR(B984="",P984=""),"",P984-C984)</f>
        <v/>
      </c>
      <c r="X984">
        <f>IF(B984="","",IF(P984="","Aberto","Fechado"))</f>
        <v/>
      </c>
    </row>
    <row r="985">
      <c r="C985" s="6" t="n"/>
      <c r="E985" s="10" t="n"/>
      <c r="F985" s="11" t="n"/>
      <c r="G985" s="11" t="n"/>
      <c r="H985" s="11" t="n"/>
      <c r="J985" s="10" t="n"/>
      <c r="K985" s="11" t="n"/>
      <c r="L985" s="10" t="n"/>
      <c r="M985" s="11" t="n"/>
      <c r="N985" s="10" t="n"/>
      <c r="O985" s="11" t="n"/>
      <c r="P985" s="6" t="n"/>
      <c r="Q985" s="11" t="n"/>
      <c r="S985" s="8">
        <f>IF(B985="","",E985*F985)</f>
        <v/>
      </c>
      <c r="T985" s="8">
        <f>IF(OR(B985="",N(G985)=0),"",ABS(F985-G985)*E985)</f>
        <v/>
      </c>
      <c r="U985" s="8">
        <f>IF(OR(B985="",P985=""),"",IF(D985="Venda",-1,1)*((N(J985)*N(K985)+N(L985)*N(M985)+N(N985)*N(O985))-(N(J985)+N(L985)+N(N985))*F985)-N(Q985))</f>
        <v/>
      </c>
      <c r="V985" s="9">
        <f>IF(OR(B985="",P985=""),"",U985/S985)</f>
        <v/>
      </c>
      <c r="W985">
        <f>IF(OR(B985="",P985=""),"",P985-C985)</f>
        <v/>
      </c>
      <c r="X985">
        <f>IF(B985="","",IF(P985="","Aberto","Fechado"))</f>
        <v/>
      </c>
    </row>
    <row r="986">
      <c r="C986" s="6" t="n"/>
      <c r="E986" s="10" t="n"/>
      <c r="F986" s="11" t="n"/>
      <c r="G986" s="11" t="n"/>
      <c r="H986" s="11" t="n"/>
      <c r="J986" s="10" t="n"/>
      <c r="K986" s="11" t="n"/>
      <c r="L986" s="10" t="n"/>
      <c r="M986" s="11" t="n"/>
      <c r="N986" s="10" t="n"/>
      <c r="O986" s="11" t="n"/>
      <c r="P986" s="6" t="n"/>
      <c r="Q986" s="11" t="n"/>
      <c r="S986" s="8">
        <f>IF(B986="","",E986*F986)</f>
        <v/>
      </c>
      <c r="T986" s="8">
        <f>IF(OR(B986="",N(G986)=0),"",ABS(F986-G986)*E986)</f>
        <v/>
      </c>
      <c r="U986" s="8">
        <f>IF(OR(B986="",P986=""),"",IF(D986="Venda",-1,1)*((N(J986)*N(K986)+N(L986)*N(M986)+N(N986)*N(O986))-(N(J986)+N(L986)+N(N986))*F986)-N(Q986))</f>
        <v/>
      </c>
      <c r="V986" s="9">
        <f>IF(OR(B986="",P986=""),"",U986/S986)</f>
        <v/>
      </c>
      <c r="W986">
        <f>IF(OR(B986="",P986=""),"",P986-C986)</f>
        <v/>
      </c>
      <c r="X986">
        <f>IF(B986="","",IF(P986="","Aberto","Fechado"))</f>
        <v/>
      </c>
    </row>
    <row r="987">
      <c r="C987" s="6" t="n"/>
      <c r="E987" s="10" t="n"/>
      <c r="F987" s="11" t="n"/>
      <c r="G987" s="11" t="n"/>
      <c r="H987" s="11" t="n"/>
      <c r="J987" s="10" t="n"/>
      <c r="K987" s="11" t="n"/>
      <c r="L987" s="10" t="n"/>
      <c r="M987" s="11" t="n"/>
      <c r="N987" s="10" t="n"/>
      <c r="O987" s="11" t="n"/>
      <c r="P987" s="6" t="n"/>
      <c r="Q987" s="11" t="n"/>
      <c r="S987" s="8">
        <f>IF(B987="","",E987*F987)</f>
        <v/>
      </c>
      <c r="T987" s="8">
        <f>IF(OR(B987="",N(G987)=0),"",ABS(F987-G987)*E987)</f>
        <v/>
      </c>
      <c r="U987" s="8">
        <f>IF(OR(B987="",P987=""),"",IF(D987="Venda",-1,1)*((N(J987)*N(K987)+N(L987)*N(M987)+N(N987)*N(O987))-(N(J987)+N(L987)+N(N987))*F987)-N(Q987))</f>
        <v/>
      </c>
      <c r="V987" s="9">
        <f>IF(OR(B987="",P987=""),"",U987/S987)</f>
        <v/>
      </c>
      <c r="W987">
        <f>IF(OR(B987="",P987=""),"",P987-C987)</f>
        <v/>
      </c>
      <c r="X987">
        <f>IF(B987="","",IF(P987="","Aberto","Fechado"))</f>
        <v/>
      </c>
    </row>
    <row r="988">
      <c r="C988" s="6" t="n"/>
      <c r="E988" s="10" t="n"/>
      <c r="F988" s="11" t="n"/>
      <c r="G988" s="11" t="n"/>
      <c r="H988" s="11" t="n"/>
      <c r="J988" s="10" t="n"/>
      <c r="K988" s="11" t="n"/>
      <c r="L988" s="10" t="n"/>
      <c r="M988" s="11" t="n"/>
      <c r="N988" s="10" t="n"/>
      <c r="O988" s="11" t="n"/>
      <c r="P988" s="6" t="n"/>
      <c r="Q988" s="11" t="n"/>
      <c r="S988" s="8">
        <f>IF(B988="","",E988*F988)</f>
        <v/>
      </c>
      <c r="T988" s="8">
        <f>IF(OR(B988="",N(G988)=0),"",ABS(F988-G988)*E988)</f>
        <v/>
      </c>
      <c r="U988" s="8">
        <f>IF(OR(B988="",P988=""),"",IF(D988="Venda",-1,1)*((N(J988)*N(K988)+N(L988)*N(M988)+N(N988)*N(O988))-(N(J988)+N(L988)+N(N988))*F988)-N(Q988))</f>
        <v/>
      </c>
      <c r="V988" s="9">
        <f>IF(OR(B988="",P988=""),"",U988/S988)</f>
        <v/>
      </c>
      <c r="W988">
        <f>IF(OR(B988="",P988=""),"",P988-C988)</f>
        <v/>
      </c>
      <c r="X988">
        <f>IF(B988="","",IF(P988="","Aberto","Fechado"))</f>
        <v/>
      </c>
    </row>
    <row r="989">
      <c r="C989" s="6" t="n"/>
      <c r="E989" s="10" t="n"/>
      <c r="F989" s="11" t="n"/>
      <c r="G989" s="11" t="n"/>
      <c r="H989" s="11" t="n"/>
      <c r="J989" s="10" t="n"/>
      <c r="K989" s="11" t="n"/>
      <c r="L989" s="10" t="n"/>
      <c r="M989" s="11" t="n"/>
      <c r="N989" s="10" t="n"/>
      <c r="O989" s="11" t="n"/>
      <c r="P989" s="6" t="n"/>
      <c r="Q989" s="11" t="n"/>
      <c r="S989" s="8">
        <f>IF(B989="","",E989*F989)</f>
        <v/>
      </c>
      <c r="T989" s="8">
        <f>IF(OR(B989="",N(G989)=0),"",ABS(F989-G989)*E989)</f>
        <v/>
      </c>
      <c r="U989" s="8">
        <f>IF(OR(B989="",P989=""),"",IF(D989="Venda",-1,1)*((N(J989)*N(K989)+N(L989)*N(M989)+N(N989)*N(O989))-(N(J989)+N(L989)+N(N989))*F989)-N(Q989))</f>
        <v/>
      </c>
      <c r="V989" s="9">
        <f>IF(OR(B989="",P989=""),"",U989/S989)</f>
        <v/>
      </c>
      <c r="W989">
        <f>IF(OR(B989="",P989=""),"",P989-C989)</f>
        <v/>
      </c>
      <c r="X989">
        <f>IF(B989="","",IF(P989="","Aberto","Fechado"))</f>
        <v/>
      </c>
    </row>
    <row r="990">
      <c r="C990" s="6" t="n"/>
      <c r="E990" s="10" t="n"/>
      <c r="F990" s="11" t="n"/>
      <c r="G990" s="11" t="n"/>
      <c r="H990" s="11" t="n"/>
      <c r="J990" s="10" t="n"/>
      <c r="K990" s="11" t="n"/>
      <c r="L990" s="10" t="n"/>
      <c r="M990" s="11" t="n"/>
      <c r="N990" s="10" t="n"/>
      <c r="O990" s="11" t="n"/>
      <c r="P990" s="6" t="n"/>
      <c r="Q990" s="11" t="n"/>
      <c r="S990" s="8">
        <f>IF(B990="","",E990*F990)</f>
        <v/>
      </c>
      <c r="T990" s="8">
        <f>IF(OR(B990="",N(G990)=0),"",ABS(F990-G990)*E990)</f>
        <v/>
      </c>
      <c r="U990" s="8">
        <f>IF(OR(B990="",P990=""),"",IF(D990="Venda",-1,1)*((N(J990)*N(K990)+N(L990)*N(M990)+N(N990)*N(O990))-(N(J990)+N(L990)+N(N990))*F990)-N(Q990))</f>
        <v/>
      </c>
      <c r="V990" s="9">
        <f>IF(OR(B990="",P990=""),"",U990/S990)</f>
        <v/>
      </c>
      <c r="W990">
        <f>IF(OR(B990="",P990=""),"",P990-C990)</f>
        <v/>
      </c>
      <c r="X990">
        <f>IF(B990="","",IF(P990="","Aberto","Fechado"))</f>
        <v/>
      </c>
    </row>
    <row r="991">
      <c r="C991" s="6" t="n"/>
      <c r="E991" s="10" t="n"/>
      <c r="F991" s="11" t="n"/>
      <c r="G991" s="11" t="n"/>
      <c r="H991" s="11" t="n"/>
      <c r="J991" s="10" t="n"/>
      <c r="K991" s="11" t="n"/>
      <c r="L991" s="10" t="n"/>
      <c r="M991" s="11" t="n"/>
      <c r="N991" s="10" t="n"/>
      <c r="O991" s="11" t="n"/>
      <c r="P991" s="6" t="n"/>
      <c r="Q991" s="11" t="n"/>
      <c r="S991" s="8">
        <f>IF(B991="","",E991*F991)</f>
        <v/>
      </c>
      <c r="T991" s="8">
        <f>IF(OR(B991="",N(G991)=0),"",ABS(F991-G991)*E991)</f>
        <v/>
      </c>
      <c r="U991" s="8">
        <f>IF(OR(B991="",P991=""),"",IF(D991="Venda",-1,1)*((N(J991)*N(K991)+N(L991)*N(M991)+N(N991)*N(O991))-(N(J991)+N(L991)+N(N991))*F991)-N(Q991))</f>
        <v/>
      </c>
      <c r="V991" s="9">
        <f>IF(OR(B991="",P991=""),"",U991/S991)</f>
        <v/>
      </c>
      <c r="W991">
        <f>IF(OR(B991="",P991=""),"",P991-C991)</f>
        <v/>
      </c>
      <c r="X991">
        <f>IF(B991="","",IF(P991="","Aberto","Fechado"))</f>
        <v/>
      </c>
    </row>
    <row r="992">
      <c r="C992" s="6" t="n"/>
      <c r="E992" s="10" t="n"/>
      <c r="F992" s="11" t="n"/>
      <c r="G992" s="11" t="n"/>
      <c r="H992" s="11" t="n"/>
      <c r="J992" s="10" t="n"/>
      <c r="K992" s="11" t="n"/>
      <c r="L992" s="10" t="n"/>
      <c r="M992" s="11" t="n"/>
      <c r="N992" s="10" t="n"/>
      <c r="O992" s="11" t="n"/>
      <c r="P992" s="6" t="n"/>
      <c r="Q992" s="11" t="n"/>
      <c r="S992" s="8">
        <f>IF(B992="","",E992*F992)</f>
        <v/>
      </c>
      <c r="T992" s="8">
        <f>IF(OR(B992="",N(G992)=0),"",ABS(F992-G992)*E992)</f>
        <v/>
      </c>
      <c r="U992" s="8">
        <f>IF(OR(B992="",P992=""),"",IF(D992="Venda",-1,1)*((N(J992)*N(K992)+N(L992)*N(M992)+N(N992)*N(O992))-(N(J992)+N(L992)+N(N992))*F992)-N(Q992))</f>
        <v/>
      </c>
      <c r="V992" s="9">
        <f>IF(OR(B992="",P992=""),"",U992/S992)</f>
        <v/>
      </c>
      <c r="W992">
        <f>IF(OR(B992="",P992=""),"",P992-C992)</f>
        <v/>
      </c>
      <c r="X992">
        <f>IF(B992="","",IF(P992="","Aberto","Fechado"))</f>
        <v/>
      </c>
    </row>
    <row r="993">
      <c r="C993" s="6" t="n"/>
      <c r="E993" s="10" t="n"/>
      <c r="F993" s="11" t="n"/>
      <c r="G993" s="11" t="n"/>
      <c r="H993" s="11" t="n"/>
      <c r="J993" s="10" t="n"/>
      <c r="K993" s="11" t="n"/>
      <c r="L993" s="10" t="n"/>
      <c r="M993" s="11" t="n"/>
      <c r="N993" s="10" t="n"/>
      <c r="O993" s="11" t="n"/>
      <c r="P993" s="6" t="n"/>
      <c r="Q993" s="11" t="n"/>
      <c r="S993" s="8">
        <f>IF(B993="","",E993*F993)</f>
        <v/>
      </c>
      <c r="T993" s="8">
        <f>IF(OR(B993="",N(G993)=0),"",ABS(F993-G993)*E993)</f>
        <v/>
      </c>
      <c r="U993" s="8">
        <f>IF(OR(B993="",P993=""),"",IF(D993="Venda",-1,1)*((N(J993)*N(K993)+N(L993)*N(M993)+N(N993)*N(O993))-(N(J993)+N(L993)+N(N993))*F993)-N(Q993))</f>
        <v/>
      </c>
      <c r="V993" s="9">
        <f>IF(OR(B993="",P993=""),"",U993/S993)</f>
        <v/>
      </c>
      <c r="W993">
        <f>IF(OR(B993="",P993=""),"",P993-C993)</f>
        <v/>
      </c>
      <c r="X993">
        <f>IF(B993="","",IF(P993="","Aberto","Fechado"))</f>
        <v/>
      </c>
    </row>
    <row r="994">
      <c r="C994" s="6" t="n"/>
      <c r="E994" s="10" t="n"/>
      <c r="F994" s="11" t="n"/>
      <c r="G994" s="11" t="n"/>
      <c r="H994" s="11" t="n"/>
      <c r="J994" s="10" t="n"/>
      <c r="K994" s="11" t="n"/>
      <c r="L994" s="10" t="n"/>
      <c r="M994" s="11" t="n"/>
      <c r="N994" s="10" t="n"/>
      <c r="O994" s="11" t="n"/>
      <c r="P994" s="6" t="n"/>
      <c r="Q994" s="11" t="n"/>
      <c r="S994" s="8">
        <f>IF(B994="","",E994*F994)</f>
        <v/>
      </c>
      <c r="T994" s="8">
        <f>IF(OR(B994="",N(G994)=0),"",ABS(F994-G994)*E994)</f>
        <v/>
      </c>
      <c r="U994" s="8">
        <f>IF(OR(B994="",P994=""),"",IF(D994="Venda",-1,1)*((N(J994)*N(K994)+N(L994)*N(M994)+N(N994)*N(O994))-(N(J994)+N(L994)+N(N994))*F994)-N(Q994))</f>
        <v/>
      </c>
      <c r="V994" s="9">
        <f>IF(OR(B994="",P994=""),"",U994/S994)</f>
        <v/>
      </c>
      <c r="W994">
        <f>IF(OR(B994="",P994=""),"",P994-C994)</f>
        <v/>
      </c>
      <c r="X994">
        <f>IF(B994="","",IF(P994="","Aberto","Fechado"))</f>
        <v/>
      </c>
    </row>
    <row r="995">
      <c r="C995" s="6" t="n"/>
      <c r="E995" s="10" t="n"/>
      <c r="F995" s="11" t="n"/>
      <c r="G995" s="11" t="n"/>
      <c r="H995" s="11" t="n"/>
      <c r="J995" s="10" t="n"/>
      <c r="K995" s="11" t="n"/>
      <c r="L995" s="10" t="n"/>
      <c r="M995" s="11" t="n"/>
      <c r="N995" s="10" t="n"/>
      <c r="O995" s="11" t="n"/>
      <c r="P995" s="6" t="n"/>
      <c r="Q995" s="11" t="n"/>
      <c r="S995" s="8">
        <f>IF(B995="","",E995*F995)</f>
        <v/>
      </c>
      <c r="T995" s="8">
        <f>IF(OR(B995="",N(G995)=0),"",ABS(F995-G995)*E995)</f>
        <v/>
      </c>
      <c r="U995" s="8">
        <f>IF(OR(B995="",P995=""),"",IF(D995="Venda",-1,1)*((N(J995)*N(K995)+N(L995)*N(M995)+N(N995)*N(O995))-(N(J995)+N(L995)+N(N995))*F995)-N(Q995))</f>
        <v/>
      </c>
      <c r="V995" s="9">
        <f>IF(OR(B995="",P995=""),"",U995/S995)</f>
        <v/>
      </c>
      <c r="W995">
        <f>IF(OR(B995="",P995=""),"",P995-C995)</f>
        <v/>
      </c>
      <c r="X995">
        <f>IF(B995="","",IF(P995="","Aberto","Fechado"))</f>
        <v/>
      </c>
    </row>
    <row r="996">
      <c r="C996" s="6" t="n"/>
      <c r="E996" s="10" t="n"/>
      <c r="F996" s="11" t="n"/>
      <c r="G996" s="11" t="n"/>
      <c r="H996" s="11" t="n"/>
      <c r="J996" s="10" t="n"/>
      <c r="K996" s="11" t="n"/>
      <c r="L996" s="10" t="n"/>
      <c r="M996" s="11" t="n"/>
      <c r="N996" s="10" t="n"/>
      <c r="O996" s="11" t="n"/>
      <c r="P996" s="6" t="n"/>
      <c r="Q996" s="11" t="n"/>
      <c r="S996" s="8">
        <f>IF(B996="","",E996*F996)</f>
        <v/>
      </c>
      <c r="T996" s="8">
        <f>IF(OR(B996="",N(G996)=0),"",ABS(F996-G996)*E996)</f>
        <v/>
      </c>
      <c r="U996" s="8">
        <f>IF(OR(B996="",P996=""),"",IF(D996="Venda",-1,1)*((N(J996)*N(K996)+N(L996)*N(M996)+N(N996)*N(O996))-(N(J996)+N(L996)+N(N996))*F996)-N(Q996))</f>
        <v/>
      </c>
      <c r="V996" s="9">
        <f>IF(OR(B996="",P996=""),"",U996/S996)</f>
        <v/>
      </c>
      <c r="W996">
        <f>IF(OR(B996="",P996=""),"",P996-C996)</f>
        <v/>
      </c>
      <c r="X996">
        <f>IF(B996="","",IF(P996="","Aberto","Fechado"))</f>
        <v/>
      </c>
    </row>
    <row r="997">
      <c r="C997" s="6" t="n"/>
      <c r="E997" s="10" t="n"/>
      <c r="F997" s="11" t="n"/>
      <c r="G997" s="11" t="n"/>
      <c r="H997" s="11" t="n"/>
      <c r="J997" s="10" t="n"/>
      <c r="K997" s="11" t="n"/>
      <c r="L997" s="10" t="n"/>
      <c r="M997" s="11" t="n"/>
      <c r="N997" s="10" t="n"/>
      <c r="O997" s="11" t="n"/>
      <c r="P997" s="6" t="n"/>
      <c r="Q997" s="11" t="n"/>
      <c r="S997" s="8">
        <f>IF(B997="","",E997*F997)</f>
        <v/>
      </c>
      <c r="T997" s="8">
        <f>IF(OR(B997="",N(G997)=0),"",ABS(F997-G997)*E997)</f>
        <v/>
      </c>
      <c r="U997" s="8">
        <f>IF(OR(B997="",P997=""),"",IF(D997="Venda",-1,1)*((N(J997)*N(K997)+N(L997)*N(M997)+N(N997)*N(O997))-(N(J997)+N(L997)+N(N997))*F997)-N(Q997))</f>
        <v/>
      </c>
      <c r="V997" s="9">
        <f>IF(OR(B997="",P997=""),"",U997/S997)</f>
        <v/>
      </c>
      <c r="W997">
        <f>IF(OR(B997="",P997=""),"",P997-C997)</f>
        <v/>
      </c>
      <c r="X997">
        <f>IF(B997="","",IF(P997="","Aberto","Fechado"))</f>
        <v/>
      </c>
    </row>
    <row r="998">
      <c r="C998" s="6" t="n"/>
      <c r="E998" s="10" t="n"/>
      <c r="F998" s="11" t="n"/>
      <c r="G998" s="11" t="n"/>
      <c r="H998" s="11" t="n"/>
      <c r="J998" s="10" t="n"/>
      <c r="K998" s="11" t="n"/>
      <c r="L998" s="10" t="n"/>
      <c r="M998" s="11" t="n"/>
      <c r="N998" s="10" t="n"/>
      <c r="O998" s="11" t="n"/>
      <c r="P998" s="6" t="n"/>
      <c r="Q998" s="11" t="n"/>
      <c r="S998" s="8">
        <f>IF(B998="","",E998*F998)</f>
        <v/>
      </c>
      <c r="T998" s="8">
        <f>IF(OR(B998="",N(G998)=0),"",ABS(F998-G998)*E998)</f>
        <v/>
      </c>
      <c r="U998" s="8">
        <f>IF(OR(B998="",P998=""),"",IF(D998="Venda",-1,1)*((N(J998)*N(K998)+N(L998)*N(M998)+N(N998)*N(O998))-(N(J998)+N(L998)+N(N998))*F998)-N(Q998))</f>
        <v/>
      </c>
      <c r="V998" s="9">
        <f>IF(OR(B998="",P998=""),"",U998/S998)</f>
        <v/>
      </c>
      <c r="W998">
        <f>IF(OR(B998="",P998=""),"",P998-C998)</f>
        <v/>
      </c>
      <c r="X998">
        <f>IF(B998="","",IF(P998="","Aberto","Fechado"))</f>
        <v/>
      </c>
    </row>
    <row r="999">
      <c r="C999" s="6" t="n"/>
      <c r="E999" s="10" t="n"/>
      <c r="F999" s="11" t="n"/>
      <c r="G999" s="11" t="n"/>
      <c r="H999" s="11" t="n"/>
      <c r="J999" s="10" t="n"/>
      <c r="K999" s="11" t="n"/>
      <c r="L999" s="10" t="n"/>
      <c r="M999" s="11" t="n"/>
      <c r="N999" s="10" t="n"/>
      <c r="O999" s="11" t="n"/>
      <c r="P999" s="6" t="n"/>
      <c r="Q999" s="11" t="n"/>
      <c r="S999" s="8">
        <f>IF(B999="","",E999*F999)</f>
        <v/>
      </c>
      <c r="T999" s="8">
        <f>IF(OR(B999="",N(G999)=0),"",ABS(F999-G999)*E999)</f>
        <v/>
      </c>
      <c r="U999" s="8">
        <f>IF(OR(B999="",P999=""),"",IF(D999="Venda",-1,1)*((N(J999)*N(K999)+N(L999)*N(M999)+N(N999)*N(O999))-(N(J999)+N(L999)+N(N999))*F999)-N(Q999))</f>
        <v/>
      </c>
      <c r="V999" s="9">
        <f>IF(OR(B999="",P999=""),"",U999/S999)</f>
        <v/>
      </c>
      <c r="W999">
        <f>IF(OR(B999="",P999=""),"",P999-C999)</f>
        <v/>
      </c>
      <c r="X999">
        <f>IF(B999="","",IF(P999="","Aberto","Fechado"))</f>
        <v/>
      </c>
    </row>
    <row r="1000">
      <c r="C1000" s="6" t="n"/>
      <c r="E1000" s="10" t="n"/>
      <c r="F1000" s="11" t="n"/>
      <c r="G1000" s="11" t="n"/>
      <c r="H1000" s="11" t="n"/>
      <c r="J1000" s="10" t="n"/>
      <c r="K1000" s="11" t="n"/>
      <c r="L1000" s="10" t="n"/>
      <c r="M1000" s="11" t="n"/>
      <c r="N1000" s="10" t="n"/>
      <c r="O1000" s="11" t="n"/>
      <c r="P1000" s="6" t="n"/>
      <c r="Q1000" s="11" t="n"/>
      <c r="S1000" s="8">
        <f>IF(B1000="","",E1000*F1000)</f>
        <v/>
      </c>
      <c r="T1000" s="8">
        <f>IF(OR(B1000="",N(G1000)=0),"",ABS(F1000-G1000)*E1000)</f>
        <v/>
      </c>
      <c r="U1000" s="8">
        <f>IF(OR(B1000="",P1000=""),"",IF(D1000="Venda",-1,1)*((N(J1000)*N(K1000)+N(L1000)*N(M1000)+N(N1000)*N(O1000))-(N(J1000)+N(L1000)+N(N1000))*F1000)-N(Q1000))</f>
        <v/>
      </c>
      <c r="V1000" s="9">
        <f>IF(OR(B1000="",P1000=""),"",U1000/S1000)</f>
        <v/>
      </c>
      <c r="W1000">
        <f>IF(OR(B1000="",P1000=""),"",P1000-C1000)</f>
        <v/>
      </c>
      <c r="X1000">
        <f>IF(B1000="","",IF(P1000="","Aberto","Fechado"))</f>
        <v/>
      </c>
    </row>
    <row r="1001">
      <c r="C1001" s="6" t="n"/>
      <c r="E1001" s="10" t="n"/>
      <c r="F1001" s="11" t="n"/>
      <c r="G1001" s="11" t="n"/>
      <c r="H1001" s="11" t="n"/>
      <c r="J1001" s="10" t="n"/>
      <c r="K1001" s="11" t="n"/>
      <c r="L1001" s="10" t="n"/>
      <c r="M1001" s="11" t="n"/>
      <c r="N1001" s="10" t="n"/>
      <c r="O1001" s="11" t="n"/>
      <c r="P1001" s="6" t="n"/>
      <c r="Q1001" s="11" t="n"/>
      <c r="S1001" s="8">
        <f>IF(B1001="","",E1001*F1001)</f>
        <v/>
      </c>
      <c r="T1001" s="8">
        <f>IF(OR(B1001="",N(G1001)=0),"",ABS(F1001-G1001)*E1001)</f>
        <v/>
      </c>
      <c r="U1001" s="8">
        <f>IF(OR(B1001="",P1001=""),"",IF(D1001="Venda",-1,1)*((N(J1001)*N(K1001)+N(L1001)*N(M1001)+N(N1001)*N(O1001))-(N(J1001)+N(L1001)+N(N1001))*F1001)-N(Q1001))</f>
        <v/>
      </c>
      <c r="V1001" s="9">
        <f>IF(OR(B1001="",P1001=""),"",U1001/S1001)</f>
        <v/>
      </c>
      <c r="W1001">
        <f>IF(OR(B1001="",P1001=""),"",P1001-C1001)</f>
        <v/>
      </c>
      <c r="X1001">
        <f>IF(B1001="","",IF(P1001="","Aberto","Fechado"))</f>
        <v/>
      </c>
    </row>
  </sheetData>
  <autoFilter ref="A1:X1001"/>
  <dataValidations count="2">
    <dataValidation sqref="D2:D1001" showDropDown="0" showInputMessage="0" showErrorMessage="0" allowBlank="1" type="list">
      <formula1>"Compra,Venda"</formula1>
    </dataValidation>
    <dataValidation sqref="I2:I1001" showDropDown="0" showInputMessage="0" showErrorMessage="0" allowBlank="1" type="list">
      <formula1>=Setups!$A$2:$A$100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24" customWidth="1" min="5" max="5"/>
  </cols>
  <sheetData>
    <row r="1">
      <c r="A1" s="12" t="inlineStr">
        <is>
          <t>Mercado</t>
        </is>
      </c>
      <c r="B1" s="12" t="inlineStr">
        <is>
          <t>Moeda</t>
        </is>
      </c>
      <c r="C1" s="12" t="inlineStr">
        <is>
          <t>Capital Inicial</t>
        </is>
      </c>
      <c r="D1" s="12" t="inlineStr">
        <is>
          <t>Taxa Livre de Risco (% a.a.)</t>
        </is>
      </c>
      <c r="E1" s="12" t="inlineStr">
        <is>
          <t>Dias de pregão no ano</t>
        </is>
      </c>
    </row>
    <row r="2">
      <c r="A2" t="inlineStr">
        <is>
          <t>B3</t>
        </is>
      </c>
      <c r="B2" t="inlineStr">
        <is>
          <t>R$</t>
        </is>
      </c>
      <c r="C2" s="8" t="n">
        <v>25000</v>
      </c>
      <c r="D2" t="n">
        <v>0</v>
      </c>
      <c r="E2" t="n">
        <v>252</v>
      </c>
    </row>
    <row r="3">
      <c r="A3" t="inlineStr">
        <is>
          <t>EUA</t>
        </is>
      </c>
      <c r="B3" t="inlineStr">
        <is>
          <t>US$</t>
        </is>
      </c>
      <c r="C3" s="8" t="n">
        <v>5000</v>
      </c>
      <c r="D3" t="n">
        <v>0</v>
      </c>
      <c r="E3" t="n">
        <v>252</v>
      </c>
    </row>
    <row r="4">
      <c r="A4" t="inlineStr">
        <is>
          <t>CRIPTO</t>
        </is>
      </c>
      <c r="B4" t="inlineStr">
        <is>
          <t>US$</t>
        </is>
      </c>
      <c r="C4" s="8" t="n">
        <v>5000</v>
      </c>
      <c r="D4" t="n">
        <v>0</v>
      </c>
      <c r="E4" t="n">
        <v>365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2" t="inlineStr">
        <is>
          <t>Estratégia</t>
        </is>
      </c>
      <c r="B1" s="12" t="inlineStr">
        <is>
          <t>Grupo</t>
        </is>
      </c>
    </row>
    <row r="2">
      <c r="A2" t="inlineStr">
        <is>
          <t>IFR2</t>
        </is>
      </c>
      <c r="B2" t="inlineStr">
        <is>
          <t>SWING</t>
        </is>
      </c>
    </row>
    <row r="3">
      <c r="A3" t="inlineStr">
        <is>
          <t>Romp. Cong. Clássica</t>
        </is>
      </c>
      <c r="B3" t="inlineStr">
        <is>
          <t>SWING</t>
        </is>
      </c>
    </row>
    <row r="4">
      <c r="A4" t="inlineStr">
        <is>
          <t>Pivot</t>
        </is>
      </c>
      <c r="B4" t="inlineStr">
        <is>
          <t>SWING</t>
        </is>
      </c>
    </row>
    <row r="5">
      <c r="A5" t="inlineStr">
        <is>
          <t>Correção</t>
        </is>
      </c>
      <c r="B5" t="inlineStr">
        <is>
          <t>SWING</t>
        </is>
      </c>
    </row>
    <row r="6">
      <c r="A6" t="inlineStr">
        <is>
          <t>Contra Tendência</t>
        </is>
      </c>
      <c r="B6" t="inlineStr">
        <is>
          <t>SWING</t>
        </is>
      </c>
    </row>
    <row r="7">
      <c r="A7" t="inlineStr">
        <is>
          <t>Dias em sequência</t>
        </is>
      </c>
      <c r="B7" t="inlineStr">
        <is>
          <t>SWING</t>
        </is>
      </c>
    </row>
    <row r="8">
      <c r="A8" t="inlineStr">
        <is>
          <t>Estreit. Bandas</t>
        </is>
      </c>
      <c r="B8" t="inlineStr">
        <is>
          <t>SWING</t>
        </is>
      </c>
    </row>
    <row r="9">
      <c r="A9" t="inlineStr">
        <is>
          <t>MILHO</t>
        </is>
      </c>
      <c r="B9" t="inlineStr">
        <is>
          <t>SWING</t>
        </is>
      </c>
    </row>
    <row r="10">
      <c r="A10" t="inlineStr">
        <is>
          <t>MMA 8</t>
        </is>
      </c>
      <c r="B10" t="inlineStr">
        <is>
          <t>POSITION</t>
        </is>
      </c>
    </row>
    <row r="11">
      <c r="A11" t="inlineStr">
        <is>
          <t>MME 8.a</t>
        </is>
      </c>
      <c r="B11" t="inlineStr">
        <is>
          <t>POSITION</t>
        </is>
      </c>
    </row>
    <row r="12">
      <c r="A12" t="inlineStr">
        <is>
          <t>Cointegração</t>
        </is>
      </c>
      <c r="B12" t="inlineStr">
        <is>
          <t>L&amp;S</t>
        </is>
      </c>
    </row>
    <row r="13">
      <c r="A13" t="inlineStr">
        <is>
          <t>Correlação</t>
        </is>
      </c>
      <c r="B13" t="inlineStr">
        <is>
          <t>L&amp;S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2026-09-30T23:38:49Z</dcterms:created>
  <dcterms:modified xsi:type="dcterms:W3CDTF">2026-09-30T23:38:50Z</dcterms:modified>
</cp:coreProperties>
</file>